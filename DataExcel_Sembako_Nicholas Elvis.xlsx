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BOOTCAMP\KARIRNEX\"/>
    </mc:Choice>
  </mc:AlternateContent>
  <xr:revisionPtr revIDLastSave="0" documentId="8_{64F424EC-7F74-4769-906E-88BBB0EC43A0}" xr6:coauthVersionLast="47" xr6:coauthVersionMax="47" xr10:uidLastSave="{00000000-0000-0000-0000-000000000000}"/>
  <bookViews>
    <workbookView xWindow="-108" yWindow="-108" windowWidth="23256" windowHeight="13176" tabRatio="333" firstSheet="1" activeTab="5" xr2:uid="{00000000-000D-0000-FFFF-FFFF00000000}"/>
  </bookViews>
  <sheets>
    <sheet name="Data" sheetId="1" r:id="rId1"/>
    <sheet name="Status" sheetId="2" r:id="rId2"/>
    <sheet name="Day2" sheetId="10" r:id="rId3"/>
    <sheet name="Day 3" sheetId="11" r:id="rId4"/>
    <sheet name="dash" sheetId="8" r:id="rId5"/>
    <sheet name="DASHBOARD" sheetId="9" r:id="rId6"/>
  </sheets>
  <definedNames>
    <definedName name="_xlnm._FilterDatabase" localSheetId="0" hidden="1">Data!$A$1:$R$2001</definedName>
    <definedName name="Slicer_Product_Name">#N/A</definedName>
  </definedNames>
  <calcPr calcId="191029"/>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uri="GoogleSheetsCustomDataVersion2">
      <go:sheetsCustomData xmlns:go="http://customooxmlschemas.google.com/" r:id="rId11" roundtripDataChecksum="GTvrnZ2cZPne12QPq7OaAsbhD3/RxRJekusOIUYbDic="/>
    </ext>
  </extLst>
</workbook>
</file>

<file path=xl/calcChain.xml><?xml version="1.0" encoding="utf-8"?>
<calcChain xmlns="http://schemas.openxmlformats.org/spreadsheetml/2006/main">
  <c r="E6" i="10" l="1"/>
  <c r="X23" i="1"/>
  <c r="X31" i="1"/>
  <c r="X27" i="1"/>
  <c r="X7"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S119" i="1"/>
  <c r="S120" i="1"/>
  <c r="S548" i="1"/>
  <c r="S549" i="1"/>
  <c r="S1005" i="1"/>
  <c r="S253" i="1"/>
  <c r="S1352" i="1"/>
  <c r="S1338" i="1"/>
  <c r="S129" i="1"/>
  <c r="S1072" i="1"/>
  <c r="S1397" i="1"/>
  <c r="S384" i="1"/>
  <c r="S1116" i="1"/>
  <c r="S1756" i="1"/>
  <c r="S1935" i="1"/>
  <c r="S1850" i="1"/>
  <c r="S1851" i="1"/>
  <c r="S1183" i="1"/>
  <c r="S1998" i="1"/>
  <c r="S1999" i="1"/>
  <c r="S1588" i="1"/>
  <c r="S347" i="1"/>
  <c r="S609" i="1"/>
  <c r="S247" i="1"/>
  <c r="S1018" i="1"/>
  <c r="S1921" i="1"/>
  <c r="S1856" i="1"/>
  <c r="S1805" i="1"/>
  <c r="S1605" i="1"/>
  <c r="S1606" i="1"/>
  <c r="S1330" i="1"/>
  <c r="S21" i="1"/>
  <c r="S22" i="1"/>
  <c r="S1563" i="1"/>
  <c r="S1564" i="1"/>
  <c r="S1890" i="1"/>
  <c r="S1503" i="1"/>
  <c r="S1480" i="1"/>
  <c r="S1481" i="1"/>
  <c r="S753" i="1"/>
  <c r="S327" i="1"/>
  <c r="S328" i="1"/>
  <c r="S1781" i="1"/>
  <c r="S1364" i="1"/>
  <c r="S139" i="1"/>
  <c r="S1795" i="1"/>
  <c r="S1616" i="1"/>
  <c r="S11" i="1"/>
  <c r="S12" i="1"/>
  <c r="S1041" i="1"/>
  <c r="S429" i="1"/>
  <c r="S430" i="1"/>
  <c r="S1158" i="1"/>
  <c r="S1231" i="1"/>
  <c r="S1439" i="1"/>
  <c r="S1257" i="1"/>
  <c r="S274" i="1"/>
  <c r="S356" i="1"/>
  <c r="S718" i="1"/>
  <c r="S1991" i="1"/>
  <c r="S1334" i="1"/>
  <c r="S1986" i="1"/>
  <c r="S298" i="1"/>
  <c r="S1043" i="1"/>
  <c r="S299" i="1"/>
  <c r="S300" i="1"/>
  <c r="S587" i="1"/>
  <c r="S588" i="1"/>
  <c r="S578" i="1"/>
  <c r="S653" i="1"/>
  <c r="S654" i="1"/>
  <c r="S1722" i="1"/>
  <c r="S1611" i="1"/>
  <c r="S737" i="1"/>
  <c r="S1275" i="1"/>
  <c r="S1907" i="1"/>
  <c r="S1388" i="1"/>
  <c r="S339" i="1"/>
  <c r="S624" i="1"/>
  <c r="S625" i="1"/>
  <c r="S684" i="1"/>
  <c r="S317" i="1"/>
  <c r="S318" i="1"/>
  <c r="S1066" i="1"/>
  <c r="S1761" i="1"/>
  <c r="S145" i="1"/>
  <c r="S1459" i="1"/>
  <c r="S1460" i="1"/>
  <c r="S1715" i="1"/>
  <c r="S1716" i="1"/>
  <c r="S799" i="1"/>
  <c r="S800" i="1"/>
  <c r="S1181" i="1"/>
  <c r="S1164" i="1"/>
  <c r="S487" i="1"/>
  <c r="S1030" i="1"/>
  <c r="S166" i="1"/>
  <c r="S776" i="1"/>
  <c r="S777" i="1"/>
  <c r="S454" i="1"/>
  <c r="S1402" i="1"/>
  <c r="S1268" i="1"/>
  <c r="S1054" i="1"/>
  <c r="S1613" i="1"/>
  <c r="S919" i="1"/>
  <c r="S1442" i="1"/>
  <c r="S330" i="1"/>
  <c r="S331" i="1"/>
  <c r="S1711" i="1"/>
  <c r="S388" i="1"/>
  <c r="S1655" i="1"/>
  <c r="S517" i="1"/>
  <c r="S638" i="1"/>
  <c r="S146" i="1"/>
  <c r="S147" i="1"/>
  <c r="S1110" i="1"/>
  <c r="S1050" i="1"/>
  <c r="S1772" i="1"/>
  <c r="S696" i="1"/>
  <c r="S1485" i="1"/>
  <c r="S816" i="1"/>
  <c r="S102" i="1"/>
  <c r="S559" i="1"/>
  <c r="S560" i="1"/>
  <c r="S1319" i="1"/>
  <c r="S1318" i="1"/>
  <c r="S325" i="1"/>
  <c r="S1911" i="1"/>
  <c r="S1912" i="1"/>
  <c r="S1625" i="1"/>
  <c r="S1626" i="1"/>
  <c r="S163" i="1"/>
  <c r="S1193" i="1"/>
  <c r="S1446" i="1"/>
  <c r="S849" i="1"/>
  <c r="S1208" i="1"/>
  <c r="S1814" i="1"/>
  <c r="S172" i="1"/>
  <c r="S280" i="1"/>
  <c r="S281" i="1"/>
  <c r="S1883" i="1"/>
  <c r="S523" i="1"/>
  <c r="S687" i="1"/>
  <c r="S186" i="1"/>
  <c r="S420" i="1"/>
  <c r="S178" i="1"/>
  <c r="S179" i="1"/>
  <c r="S1457" i="1"/>
  <c r="S456" i="1"/>
  <c r="S706" i="1"/>
  <c r="S707" i="1"/>
  <c r="S267" i="1"/>
  <c r="S1286" i="1"/>
  <c r="S226" i="1"/>
  <c r="S418" i="1"/>
  <c r="S786" i="1"/>
  <c r="S1870" i="1"/>
  <c r="S1303" i="1"/>
  <c r="S677" i="1"/>
  <c r="S1811" i="1"/>
  <c r="S1812" i="1"/>
  <c r="S795" i="1"/>
  <c r="S1191" i="1"/>
  <c r="S419" i="1"/>
  <c r="S652" i="1"/>
  <c r="S490" i="1"/>
  <c r="S491" i="1"/>
  <c r="S808" i="1"/>
  <c r="S809" i="1"/>
  <c r="S1200" i="1"/>
  <c r="S1201" i="1"/>
  <c r="S1086" i="1"/>
  <c r="S84" i="1"/>
  <c r="S1011" i="1"/>
  <c r="S59" i="1"/>
  <c r="S1799" i="1"/>
  <c r="S1800" i="1"/>
  <c r="S1683" i="1"/>
  <c r="S1444" i="1"/>
  <c r="S510" i="1"/>
  <c r="S511" i="1"/>
  <c r="S16" i="1"/>
  <c r="S1360" i="1"/>
  <c r="S1159" i="1"/>
  <c r="S79" i="1"/>
  <c r="S1026" i="1"/>
  <c r="S1180" i="1"/>
  <c r="S1137" i="1"/>
  <c r="S39" i="1"/>
  <c r="S1864" i="1"/>
  <c r="S1863" i="1"/>
  <c r="S1845" i="1"/>
  <c r="S861" i="1"/>
  <c r="S709" i="1"/>
  <c r="S931" i="1"/>
  <c r="S932" i="1"/>
  <c r="S959" i="1"/>
  <c r="S613" i="1"/>
  <c r="S614" i="1"/>
  <c r="S1666" i="1"/>
  <c r="S979" i="1"/>
  <c r="S980" i="1"/>
  <c r="S440" i="1"/>
  <c r="S441" i="1"/>
  <c r="S632" i="1"/>
  <c r="S633" i="1"/>
  <c r="S1261" i="1"/>
  <c r="S1572" i="1"/>
  <c r="S1573" i="1"/>
  <c r="S25" i="1"/>
  <c r="S1377" i="1"/>
  <c r="S1339" i="1"/>
  <c r="S1340" i="1"/>
  <c r="S1057" i="1"/>
  <c r="S1058" i="1"/>
  <c r="S997" i="1"/>
  <c r="S1351" i="1"/>
  <c r="S1114" i="1"/>
  <c r="S1593" i="1"/>
  <c r="S1594" i="1"/>
  <c r="S38" i="1"/>
  <c r="S788" i="1"/>
  <c r="S78" i="1"/>
  <c r="S1968" i="1"/>
  <c r="S1969" i="1"/>
  <c r="S109" i="1"/>
  <c r="S1981" i="1"/>
  <c r="S1034" i="1"/>
  <c r="S273" i="1"/>
  <c r="S1408" i="1"/>
  <c r="S1409" i="1"/>
  <c r="S1306" i="1"/>
  <c r="S1880" i="1"/>
  <c r="S1881" i="1"/>
  <c r="S1315" i="1"/>
  <c r="S620" i="1"/>
  <c r="S621" i="1"/>
  <c r="S1967" i="1"/>
  <c r="S503" i="1"/>
  <c r="S1630" i="1"/>
  <c r="S1631" i="1"/>
  <c r="S18" i="1"/>
  <c r="S1926" i="1"/>
  <c r="S1927" i="1"/>
  <c r="S1047" i="1"/>
  <c r="S721" i="1"/>
  <c r="S1002" i="1"/>
  <c r="S1903" i="1"/>
  <c r="S1895" i="1"/>
  <c r="S1353" i="1"/>
  <c r="S1891" i="1"/>
  <c r="S366" i="1"/>
  <c r="S885" i="1"/>
  <c r="S375" i="1"/>
  <c r="S1297" i="1"/>
  <c r="S380" i="1"/>
  <c r="S1256" i="1"/>
  <c r="S1358" i="1"/>
  <c r="S1359" i="1"/>
  <c r="S1067" i="1"/>
  <c r="S730" i="1"/>
  <c r="S731" i="1"/>
  <c r="S818" i="1"/>
  <c r="S819" i="1"/>
  <c r="S1061" i="1"/>
  <c r="S1417" i="1"/>
  <c r="S1639" i="1"/>
  <c r="S1640" i="1"/>
  <c r="S1491" i="1"/>
  <c r="S1874" i="1"/>
  <c r="S1875" i="1"/>
  <c r="S1024" i="1"/>
  <c r="S1140" i="1"/>
  <c r="S1141" i="1"/>
  <c r="S1953" i="1"/>
  <c r="S1798" i="1"/>
  <c r="S1620" i="1"/>
  <c r="S1414" i="1"/>
  <c r="S1413" i="1"/>
  <c r="S1064" i="1"/>
  <c r="S1429" i="1"/>
  <c r="S1246" i="1"/>
  <c r="S1784" i="1"/>
  <c r="S1785" i="1"/>
  <c r="S1345" i="1"/>
  <c r="S880" i="1"/>
  <c r="S1797" i="1"/>
  <c r="S1847" i="1"/>
  <c r="S1848" i="1"/>
  <c r="S1809" i="1"/>
  <c r="S1085" i="1"/>
  <c r="S1039" i="1"/>
  <c r="S1433" i="1"/>
  <c r="S1495" i="1"/>
  <c r="S1175" i="1"/>
  <c r="S1176" i="1"/>
  <c r="S65" i="1"/>
  <c r="S1898" i="1"/>
  <c r="S1769" i="1"/>
  <c r="S1976" i="1"/>
  <c r="S1037" i="1"/>
  <c r="S518" i="1"/>
  <c r="S530" i="1"/>
  <c r="S46" i="1"/>
  <c r="S1237" i="1"/>
  <c r="S1238" i="1"/>
  <c r="S151" i="1"/>
  <c r="S152" i="1"/>
  <c r="S164" i="1"/>
  <c r="S165" i="1"/>
  <c r="S650" i="1"/>
  <c r="S1212" i="1"/>
  <c r="S1634" i="1"/>
  <c r="S840" i="1"/>
  <c r="S935" i="1"/>
  <c r="S572" i="1"/>
  <c r="S583" i="1"/>
  <c r="S1272" i="1"/>
  <c r="S167" i="1"/>
  <c r="S1332" i="1"/>
  <c r="S900" i="1"/>
  <c r="S901" i="1"/>
  <c r="S761" i="1"/>
  <c r="S671" i="1"/>
  <c r="S672" i="1"/>
  <c r="S1102" i="1"/>
  <c r="S1103" i="1"/>
  <c r="S1569" i="1"/>
  <c r="S1437" i="1"/>
  <c r="S351" i="1"/>
  <c r="S352" i="1"/>
  <c r="S1259" i="1"/>
  <c r="S1006" i="1"/>
  <c r="S54" i="1"/>
  <c r="S55" i="1"/>
  <c r="S646" i="1"/>
  <c r="S377" i="1"/>
  <c r="S378" i="1"/>
  <c r="S1831" i="1"/>
  <c r="S355" i="1"/>
  <c r="S143" i="1"/>
  <c r="S1835" i="1"/>
  <c r="S1600" i="1"/>
  <c r="S213" i="1"/>
  <c r="S1044" i="1"/>
  <c r="S1195" i="1"/>
  <c r="S1789" i="1"/>
  <c r="S1790" i="1"/>
  <c r="S1815" i="1"/>
  <c r="S368" i="1"/>
  <c r="S875" i="1"/>
  <c r="S1320" i="1"/>
  <c r="S348" i="1"/>
  <c r="S1101" i="1"/>
  <c r="S364" i="1"/>
  <c r="S238" i="1"/>
  <c r="S1854" i="1"/>
  <c r="S1125" i="1"/>
  <c r="S484" i="1"/>
  <c r="S1522" i="1"/>
  <c r="S558" i="1"/>
  <c r="S1215" i="1"/>
  <c r="S453" i="1"/>
  <c r="S291" i="1"/>
  <c r="S290" i="1"/>
  <c r="S101" i="1"/>
  <c r="S100" i="1"/>
  <c r="S257" i="1"/>
  <c r="S930" i="1"/>
  <c r="S1681" i="1"/>
  <c r="S363" i="1"/>
  <c r="S17" i="1"/>
  <c r="S1513" i="1"/>
  <c r="S446" i="1"/>
  <c r="S447" i="1"/>
  <c r="S1109" i="1"/>
  <c r="S19" i="1"/>
  <c r="S20" i="1"/>
  <c r="S15" i="1"/>
  <c r="S1827" i="1"/>
  <c r="S991" i="1"/>
  <c r="S990" i="1"/>
  <c r="S1808" i="1"/>
  <c r="S416" i="1"/>
  <c r="S723" i="1"/>
  <c r="S724" i="1"/>
  <c r="S499" i="1"/>
  <c r="S1241" i="1"/>
  <c r="S402" i="1"/>
  <c r="S403" i="1"/>
  <c r="S1122" i="1"/>
  <c r="S579" i="1"/>
  <c r="S1586" i="1"/>
  <c r="S1463" i="1"/>
  <c r="S681" i="1"/>
  <c r="S555" i="1"/>
  <c r="S556" i="1"/>
  <c r="S668" i="1"/>
  <c r="S669" i="1"/>
  <c r="S1527" i="1"/>
  <c r="S1528" i="1"/>
  <c r="S385" i="1"/>
  <c r="S85" i="1"/>
  <c r="S995" i="1"/>
  <c r="S319" i="1"/>
  <c r="S805" i="1"/>
  <c r="S806" i="1"/>
  <c r="S1996" i="1"/>
  <c r="S1093" i="1"/>
  <c r="S1775" i="1"/>
  <c r="S755" i="1"/>
  <c r="S1596" i="1"/>
  <c r="S1394" i="1"/>
  <c r="S58" i="1"/>
  <c r="S255" i="1"/>
  <c r="S1705" i="1"/>
  <c r="S462" i="1"/>
  <c r="S1873" i="1"/>
  <c r="S1313" i="1"/>
  <c r="S239" i="1"/>
  <c r="S185" i="1"/>
  <c r="S381" i="1"/>
  <c r="S964" i="1"/>
  <c r="S463" i="1"/>
  <c r="S657" i="1"/>
  <c r="S423" i="1"/>
  <c r="S149" i="1"/>
  <c r="S1654" i="1"/>
  <c r="S125" i="1"/>
  <c r="S606" i="1"/>
  <c r="S607" i="1"/>
  <c r="S951" i="1"/>
  <c r="S952" i="1"/>
  <c r="S728" i="1"/>
  <c r="S768" i="1"/>
  <c r="S769" i="1"/>
  <c r="S1504" i="1"/>
  <c r="S1505" i="1"/>
  <c r="S1167" i="1"/>
  <c r="S907" i="1"/>
  <c r="S908" i="1"/>
  <c r="S1511" i="1"/>
  <c r="S189" i="1"/>
  <c r="S159" i="1"/>
  <c r="S1669" i="1"/>
  <c r="S224" i="1"/>
  <c r="S269" i="1"/>
  <c r="S1486" i="1"/>
  <c r="S1371" i="1"/>
  <c r="S1372" i="1"/>
  <c r="S963" i="1"/>
  <c r="S832" i="1"/>
  <c r="S833" i="1"/>
  <c r="S1590" i="1"/>
  <c r="S1675" i="1"/>
  <c r="S1676" i="1"/>
  <c r="S123" i="1"/>
  <c r="S770" i="1"/>
  <c r="S1950" i="1"/>
  <c r="S1951" i="1"/>
  <c r="S394" i="1"/>
  <c r="S1344" i="1"/>
  <c r="S1514" i="1"/>
  <c r="S202" i="1"/>
  <c r="S897" i="1"/>
  <c r="S898" i="1"/>
  <c r="S1205" i="1"/>
  <c r="S1645" i="1"/>
  <c r="S1646" i="1"/>
  <c r="S181" i="1"/>
  <c r="S1876" i="1"/>
  <c r="S1637" i="1"/>
  <c r="S1671" i="1"/>
  <c r="S261" i="1"/>
  <c r="S495" i="1"/>
  <c r="S1824" i="1"/>
  <c r="S1825" i="1"/>
  <c r="S746" i="1"/>
  <c r="S747" i="1"/>
  <c r="S749" i="1"/>
  <c r="S1577" i="1"/>
  <c r="S435" i="1"/>
  <c r="S827" i="1"/>
  <c r="S828" i="1"/>
  <c r="S32" i="1"/>
  <c r="S33" i="1"/>
  <c r="S1965" i="1"/>
  <c r="S1966" i="1"/>
  <c r="S1735" i="1"/>
  <c r="S1736" i="1"/>
  <c r="S97" i="1"/>
  <c r="S1382" i="1"/>
  <c r="S1383" i="1"/>
  <c r="S1638" i="1"/>
  <c r="S1376" i="1"/>
  <c r="S1375" i="1"/>
  <c r="S779" i="1"/>
  <c r="S1635" i="1"/>
  <c r="S1636" i="1"/>
  <c r="S1056" i="1"/>
  <c r="S271" i="1"/>
  <c r="S1509" i="1"/>
  <c r="S1510" i="1"/>
  <c r="S127" i="1"/>
  <c r="S1627" i="1"/>
  <c r="S1975" i="1"/>
  <c r="S1608" i="1"/>
  <c r="S1609" i="1"/>
  <c r="S1134" i="1"/>
  <c r="S1434" i="1"/>
  <c r="S1435" i="1"/>
  <c r="S868" i="1"/>
  <c r="S206" i="1"/>
  <c r="S207" i="1"/>
  <c r="S1661" i="1"/>
  <c r="S1348" i="1"/>
  <c r="S1997" i="1"/>
  <c r="S1031" i="1"/>
  <c r="S1419" i="1"/>
  <c r="S1420" i="1"/>
  <c r="S999" i="1"/>
  <c r="S1000" i="1"/>
  <c r="S580" i="1"/>
  <c r="S337" i="1"/>
  <c r="S338" i="1"/>
  <c r="S710" i="1"/>
  <c r="S711" i="1"/>
  <c r="S294" i="1"/>
  <c r="S1312" i="1"/>
  <c r="S1311" i="1"/>
  <c r="S1136" i="1"/>
  <c r="S1368" i="1"/>
  <c r="S1892" i="1"/>
  <c r="S676" i="1"/>
  <c r="S391" i="1"/>
  <c r="S451" i="1"/>
  <c r="S452" i="1"/>
  <c r="S528" i="1"/>
  <c r="S529" i="1"/>
  <c r="S1203" i="1"/>
  <c r="S1674" i="1"/>
  <c r="S329" i="1"/>
  <c r="S1400" i="1"/>
  <c r="S1401" i="1"/>
  <c r="S1550" i="1"/>
  <c r="S1192" i="1"/>
  <c r="S1933" i="1"/>
  <c r="S1469" i="1"/>
  <c r="S1138" i="1"/>
  <c r="S961" i="1"/>
  <c r="S858" i="1"/>
  <c r="S1703" i="1"/>
  <c r="S1704" i="1"/>
  <c r="S1553" i="1"/>
  <c r="S570" i="1"/>
  <c r="S1091" i="1"/>
  <c r="S1092" i="1"/>
  <c r="S1430" i="1"/>
  <c r="S1174" i="1"/>
  <c r="S1649" i="1"/>
  <c r="S1650" i="1"/>
  <c r="S1391" i="1"/>
  <c r="S1392" i="1"/>
  <c r="S433" i="1"/>
  <c r="S13" i="1"/>
  <c r="S408" i="1"/>
  <c r="S409" i="1"/>
  <c r="S1157" i="1"/>
  <c r="S1148" i="1"/>
  <c r="S1610" i="1"/>
  <c r="S1961" i="1"/>
  <c r="S1697" i="1"/>
  <c r="S1698" i="1"/>
  <c r="S234" i="1"/>
  <c r="S235" i="1"/>
  <c r="S1866" i="1"/>
  <c r="S757" i="1"/>
  <c r="S758" i="1"/>
  <c r="S1169" i="1"/>
  <c r="S1597" i="1"/>
  <c r="S686" i="1"/>
  <c r="S219" i="1"/>
  <c r="S220" i="1"/>
  <c r="S829" i="1"/>
  <c r="S1266" i="1"/>
  <c r="S1267" i="1"/>
  <c r="S500" i="1"/>
  <c r="S1249" i="1"/>
  <c r="S1248" i="1"/>
  <c r="S1938" i="1"/>
  <c r="S27" i="1"/>
  <c r="S28" i="1"/>
  <c r="S87" i="1"/>
  <c r="S573" i="1"/>
  <c r="S574" i="1"/>
  <c r="S414" i="1"/>
  <c r="S957" i="1"/>
  <c r="S1687" i="1"/>
  <c r="S426" i="1"/>
  <c r="S1021" i="1"/>
  <c r="S1022" i="1"/>
  <c r="S1133" i="1"/>
  <c r="S1461" i="1"/>
  <c r="S1462" i="1"/>
  <c r="S341" i="1"/>
  <c r="S342" i="1"/>
  <c r="S1288" i="1"/>
  <c r="S71" i="1"/>
  <c r="S1289" i="1"/>
  <c r="S1304" i="1"/>
  <c r="S358" i="1"/>
  <c r="S460" i="1"/>
  <c r="S1836" i="1"/>
  <c r="S697" i="1"/>
  <c r="S326" i="1"/>
  <c r="S1233" i="1"/>
  <c r="S792" i="1"/>
  <c r="S594" i="1"/>
  <c r="S784" i="1"/>
  <c r="S785" i="1"/>
  <c r="S494" i="1"/>
  <c r="S740" i="1"/>
  <c r="S774" i="1"/>
  <c r="S1467" i="1"/>
  <c r="S1252" i="1"/>
  <c r="S1088" i="1"/>
  <c r="S1089" i="1"/>
  <c r="S1097" i="1"/>
  <c r="S883" i="1"/>
  <c r="S1955" i="1"/>
  <c r="S245" i="1"/>
  <c r="S244" i="1"/>
  <c r="S1069" i="1"/>
  <c r="S1070" i="1"/>
  <c r="S683" i="1"/>
  <c r="S762" i="1"/>
  <c r="S1923" i="1"/>
  <c r="S1657" i="1"/>
  <c r="S764" i="1"/>
  <c r="S285" i="1"/>
  <c r="S1168" i="1"/>
  <c r="S1451" i="1"/>
  <c r="S1454" i="1"/>
  <c r="S1774" i="1"/>
  <c r="S1659" i="1"/>
  <c r="S1479" i="1"/>
  <c r="S1680" i="1"/>
  <c r="S1083" i="1"/>
  <c r="S1628" i="1"/>
  <c r="S413" i="1"/>
  <c r="S1199" i="1"/>
  <c r="S660" i="1"/>
  <c r="S1779" i="1"/>
  <c r="S1475" i="1"/>
  <c r="S1920" i="1"/>
  <c r="S1833" i="1"/>
  <c r="S1323" i="1"/>
  <c r="S1126" i="1"/>
  <c r="S1178" i="1"/>
  <c r="S1214" i="1"/>
  <c r="S37" i="1"/>
  <c r="S1422" i="1"/>
  <c r="S1087" i="1"/>
  <c r="S910" i="1"/>
  <c r="S1307" i="1"/>
  <c r="S822" i="1"/>
  <c r="S1871" i="1"/>
  <c r="S1321" i="1"/>
  <c r="S1642" i="1"/>
  <c r="S1556" i="1"/>
  <c r="S987" i="1"/>
  <c r="S1623" i="1"/>
  <c r="S1583" i="1"/>
  <c r="S132" i="1"/>
  <c r="S1693" i="1"/>
  <c r="S1568" i="1"/>
  <c r="S1960" i="1"/>
  <c r="S1829" i="1"/>
  <c r="S161" i="1"/>
  <c r="S1373" i="1"/>
  <c r="S376" i="1"/>
  <c r="S1658" i="1"/>
  <c r="S912" i="1"/>
  <c r="S387" i="1"/>
  <c r="S1206" i="1"/>
  <c r="S118" i="1"/>
  <c r="S2" i="1"/>
  <c r="S698" i="1"/>
  <c r="S43" i="1"/>
  <c r="S1415" i="1"/>
  <c r="S223" i="1"/>
  <c r="S242" i="1"/>
  <c r="S1985" i="1"/>
  <c r="S464" i="1"/>
  <c r="S270" i="1"/>
  <c r="S1943" i="1"/>
  <c r="S126" i="1"/>
  <c r="S1539" i="1"/>
  <c r="S1008" i="1"/>
  <c r="S1559" i="1"/>
  <c r="S157" i="1"/>
  <c r="S314" i="1"/>
  <c r="S1357" i="1"/>
  <c r="S645" i="1"/>
  <c r="S612" i="1"/>
  <c r="S243" i="1"/>
  <c r="S1517" i="1"/>
  <c r="S1244" i="1"/>
  <c r="S1754" i="1"/>
  <c r="S1694" i="1"/>
  <c r="S302" i="1"/>
  <c r="S505" i="1"/>
  <c r="S752" i="1"/>
  <c r="S1643" i="1"/>
  <c r="S133" i="1"/>
  <c r="S732" i="1"/>
  <c r="S248" i="1"/>
  <c r="S1530" i="1"/>
  <c r="S1859" i="1"/>
  <c r="S1270" i="1"/>
  <c r="S393" i="1"/>
  <c r="S1197" i="1"/>
  <c r="S1776" i="1"/>
  <c r="S1389" i="1"/>
  <c r="S1519" i="1"/>
  <c r="S1291" i="1"/>
  <c r="S7" i="1"/>
  <c r="S479" i="1"/>
  <c r="S661" i="1"/>
  <c r="S974" i="1"/>
  <c r="S284" i="1"/>
  <c r="S169" i="1"/>
  <c r="S1355" i="1"/>
  <c r="S1934" i="1"/>
  <c r="S1385" i="1"/>
  <c r="S229" i="1"/>
  <c r="S936" i="1"/>
  <c r="S349" i="1"/>
  <c r="S1062" i="1"/>
  <c r="S942" i="1"/>
  <c r="S589" i="1"/>
  <c r="S1013" i="1"/>
  <c r="S1260" i="1"/>
  <c r="S29" i="1"/>
  <c r="S188" i="1"/>
  <c r="S1889" i="1"/>
  <c r="S521" i="1"/>
  <c r="S1314" i="1"/>
  <c r="S201" i="1"/>
  <c r="S1423" i="1"/>
  <c r="S283" i="1"/>
  <c r="S1677" i="1"/>
  <c r="S1939" i="1"/>
  <c r="S1032" i="1"/>
  <c r="S421" i="1"/>
  <c r="S174" i="1"/>
  <c r="S1347" i="1"/>
  <c r="S1908" i="1"/>
  <c r="S927" i="1"/>
  <c r="S205" i="1"/>
  <c r="S1717" i="1"/>
  <c r="S1992" i="1"/>
  <c r="S35" i="1"/>
  <c r="S745" i="1"/>
  <c r="S237" i="1"/>
  <c r="S1897" i="1"/>
  <c r="S1958" i="1"/>
  <c r="S1990" i="1"/>
  <c r="S586" i="1"/>
  <c r="S673" i="1"/>
  <c r="S689" i="1"/>
  <c r="S1508" i="1"/>
  <c r="S772" i="1"/>
  <c r="S1844" i="1"/>
  <c r="S1367" i="1"/>
  <c r="S1425" i="1"/>
  <c r="S1166" i="1"/>
  <c r="S1993" i="1"/>
  <c r="S1592" i="1"/>
  <c r="S1644" i="1"/>
  <c r="S47" i="1"/>
  <c r="S735" i="1"/>
  <c r="S1806" i="1"/>
  <c r="S514" i="1"/>
  <c r="S1004" i="1"/>
  <c r="S222" i="1"/>
  <c r="S1744" i="1"/>
  <c r="S353" i="1"/>
  <c r="S141" i="1"/>
  <c r="S1407" i="1"/>
  <c r="S1663" i="1"/>
  <c r="S1341" i="1"/>
  <c r="S26" i="1"/>
  <c r="S1803" i="1"/>
  <c r="S1692" i="1"/>
  <c r="S1652" i="1"/>
  <c r="S1452" i="1"/>
  <c r="S175" i="1"/>
  <c r="S296" i="1"/>
  <c r="S848" i="1"/>
  <c r="S1499" i="1"/>
  <c r="S468" i="1"/>
  <c r="S251" i="1"/>
  <c r="S1416" i="1"/>
  <c r="S493" i="1"/>
  <c r="S739" i="1"/>
  <c r="S741" i="1"/>
  <c r="S1721" i="1"/>
  <c r="S1236" i="1"/>
  <c r="S8" i="1"/>
  <c r="S1418" i="1"/>
  <c r="S1561" i="1"/>
  <c r="S1882" i="1"/>
  <c r="S138" i="1"/>
  <c r="S1749" i="1"/>
  <c r="S656" i="1"/>
  <c r="S563" i="1"/>
  <c r="S1691" i="1"/>
  <c r="S662" i="1"/>
  <c r="S1929" i="1"/>
  <c r="S5" i="1"/>
  <c r="S756" i="1"/>
  <c r="S1947" i="1"/>
  <c r="S575" i="1"/>
  <c r="S497" i="1"/>
  <c r="S552" i="1"/>
  <c r="S567" i="1"/>
  <c r="S538" i="1"/>
  <c r="S1957" i="1"/>
  <c r="S1766" i="1"/>
  <c r="S1720" i="1"/>
  <c r="S789" i="1"/>
  <c r="S1879" i="1"/>
  <c r="S3" i="1"/>
  <c r="S1931" i="1"/>
  <c r="S1196" i="1"/>
  <c r="S336" i="1"/>
  <c r="S1393" i="1"/>
  <c r="S830" i="1"/>
  <c r="S1682" i="1"/>
  <c r="S699" i="1"/>
  <c r="S31" i="1"/>
  <c r="S790" i="1"/>
  <c r="S1455" i="1"/>
  <c r="S233" i="1"/>
  <c r="S1308" i="1"/>
  <c r="S1071" i="1"/>
  <c r="S852" i="1"/>
  <c r="S622" i="1"/>
  <c r="S1862" i="1"/>
  <c r="S258" i="1"/>
  <c r="S137" i="1"/>
  <c r="S509" i="1"/>
  <c r="S250" i="1"/>
  <c r="S304" i="1"/>
  <c r="S295" i="1"/>
  <c r="S94" i="1"/>
  <c r="S1428" i="1"/>
  <c r="S1472" i="1"/>
  <c r="S183" i="1"/>
  <c r="S1198" i="1"/>
  <c r="S938" i="1"/>
  <c r="S845" i="1"/>
  <c r="S798" i="1"/>
  <c r="S36" i="1"/>
  <c r="S823" i="1"/>
  <c r="S1830" i="1"/>
  <c r="S1186" i="1"/>
  <c r="S1768" i="1"/>
  <c r="S425" i="1"/>
  <c r="S474" i="1"/>
  <c r="S230" i="1"/>
  <c r="S81" i="1"/>
  <c r="S533" i="1"/>
  <c r="S1901" i="1"/>
  <c r="S722" i="1"/>
  <c r="S797" i="1"/>
  <c r="S886" i="1"/>
  <c r="S276" i="1"/>
  <c r="S1849" i="1"/>
  <c r="S1816" i="1"/>
  <c r="S1440" i="1"/>
  <c r="S1310" i="1"/>
  <c r="S968" i="1"/>
  <c r="S811" i="1"/>
  <c r="S659" i="1"/>
  <c r="S1737" i="1"/>
  <c r="S1852" i="1"/>
  <c r="S6" i="1"/>
  <c r="S225" i="1"/>
  <c r="S193" i="1"/>
  <c r="S600" i="1"/>
  <c r="S1028" i="1"/>
  <c r="S61" i="1"/>
  <c r="S1622" i="1"/>
  <c r="S1536" i="1"/>
  <c r="S1322" i="1"/>
  <c r="S812" i="1"/>
  <c r="S315" i="1"/>
  <c r="S619" i="1"/>
  <c r="S278" i="1"/>
  <c r="S565" i="1"/>
  <c r="S504" i="1"/>
  <c r="S473" i="1"/>
  <c r="S894" i="1"/>
  <c r="S923" i="1"/>
  <c r="S1273" i="1"/>
  <c r="S675" i="1"/>
  <c r="S1187" i="1"/>
  <c r="S312" i="1"/>
  <c r="S1082" i="1"/>
  <c r="S690" i="1"/>
  <c r="S1548" i="1"/>
  <c r="S1612" i="1"/>
  <c r="S1707" i="1"/>
  <c r="S1793" i="1"/>
  <c r="S80" i="1"/>
  <c r="S1010" i="1"/>
  <c r="S1445" i="1"/>
  <c r="S354" i="1"/>
  <c r="S934" i="1"/>
  <c r="S1076" i="1"/>
  <c r="S1601" i="1"/>
  <c r="S1052" i="1"/>
  <c r="S77" i="1"/>
  <c r="S308" i="1"/>
  <c r="S1139" i="1"/>
  <c r="S1726" i="1"/>
  <c r="S1730" i="1"/>
  <c r="S1783" i="1"/>
  <c r="S754" i="1"/>
  <c r="S1095" i="1"/>
  <c r="S1081" i="1"/>
  <c r="S1899" i="1"/>
  <c r="S1801" i="1"/>
  <c r="S729" i="1"/>
  <c r="S1264" i="1"/>
  <c r="S695" i="1"/>
  <c r="S1029" i="1"/>
  <c r="S958" i="1"/>
  <c r="S1832" i="1"/>
  <c r="S1532" i="1"/>
  <c r="S1421" i="1"/>
  <c r="S52" i="1"/>
  <c r="S1971" i="1"/>
  <c r="S1329" i="1"/>
  <c r="S971" i="1"/>
  <c r="S68" i="1"/>
  <c r="S128" i="1"/>
  <c r="S1753" i="1"/>
  <c r="S813" i="1"/>
  <c r="S501" i="1"/>
  <c r="S603" i="1"/>
  <c r="S107" i="1"/>
  <c r="S1740" i="1"/>
  <c r="S158" i="1"/>
  <c r="S1468" i="1"/>
  <c r="S1450" i="1"/>
  <c r="S526" i="1"/>
  <c r="S1227" i="1"/>
  <c r="S1708" i="1"/>
  <c r="S1916" i="1"/>
  <c r="S554" i="1"/>
  <c r="S1343" i="1"/>
  <c r="S867" i="1"/>
  <c r="S1656" i="1"/>
  <c r="S216" i="1"/>
  <c r="S902" i="1"/>
  <c r="S1771" i="1"/>
  <c r="S1755" i="1"/>
  <c r="S1177" i="1"/>
  <c r="S940" i="1"/>
  <c r="S227" i="1"/>
  <c r="S853" i="1"/>
  <c r="S929" i="1"/>
  <c r="S272" i="1"/>
  <c r="S1665" i="1"/>
  <c r="S1988" i="1"/>
  <c r="S1387" i="1"/>
  <c r="S86" i="1"/>
  <c r="S516" i="1"/>
  <c r="S744" i="1"/>
  <c r="S482" i="1"/>
  <c r="S1182" i="1"/>
  <c r="S1405" i="1"/>
  <c r="S905" i="1"/>
  <c r="S51" i="1"/>
  <c r="S1226" i="1"/>
  <c r="S865" i="1"/>
  <c r="S984" i="1"/>
  <c r="S1956" i="1"/>
  <c r="S323" i="1"/>
  <c r="S1770" i="1"/>
  <c r="S14" i="1"/>
  <c r="S1447" i="1"/>
  <c r="S1928" i="1"/>
  <c r="S787" i="1"/>
  <c r="S642" i="1"/>
  <c r="S1474" i="1"/>
  <c r="S1065" i="1"/>
  <c r="S73" i="1"/>
  <c r="S1840" i="1"/>
  <c r="S63" i="1"/>
  <c r="S1685" i="1"/>
  <c r="S1535" i="1"/>
  <c r="S1290" i="1"/>
  <c r="S108" i="1"/>
  <c r="S1887" i="1"/>
  <c r="S1702" i="1"/>
  <c r="S1562" i="1"/>
  <c r="S700" i="1"/>
  <c r="S477" i="1"/>
  <c r="S1618" i="1"/>
  <c r="S214" i="1"/>
  <c r="S760" i="1"/>
  <c r="S1465" i="1"/>
  <c r="S843" i="1"/>
  <c r="S309" i="1"/>
  <c r="S1904" i="1"/>
  <c r="S977" i="1"/>
  <c r="S1534" i="1"/>
  <c r="S1651" i="1"/>
  <c r="S1131" i="1"/>
  <c r="S537" i="1"/>
  <c r="S873" i="1"/>
  <c r="S1129" i="1"/>
  <c r="S1040" i="1"/>
  <c r="S485" i="1"/>
  <c r="S1184" i="1"/>
  <c r="S766" i="1"/>
  <c r="S802" i="1"/>
  <c r="S240" i="1"/>
  <c r="S759" i="1"/>
  <c r="S1107" i="1"/>
  <c r="S826" i="1"/>
  <c r="S40" i="1"/>
  <c r="S1615" i="1"/>
  <c r="S1706" i="1"/>
  <c r="S1777" i="1"/>
  <c r="S72" i="1"/>
  <c r="S1221" i="1"/>
  <c r="S1699" i="1"/>
  <c r="S1752" i="1"/>
  <c r="S1828" i="1"/>
  <c r="S150" i="1"/>
  <c r="S173" i="1"/>
  <c r="S256" i="1"/>
  <c r="S335" i="1"/>
  <c r="S1017" i="1"/>
  <c r="S1449" i="1"/>
  <c r="S564" i="1"/>
  <c r="S1557" i="1"/>
  <c r="S1202" i="1"/>
  <c r="S260" i="1"/>
  <c r="S889" i="1"/>
  <c r="S1524" i="1"/>
  <c r="S428" i="1"/>
  <c r="S708" i="1"/>
  <c r="S1342" i="1"/>
  <c r="S1147" i="1"/>
  <c r="S1853" i="1"/>
  <c r="S1906" i="1"/>
  <c r="S498" i="1"/>
  <c r="S1712" i="1"/>
  <c r="S1326" i="1"/>
  <c r="S1565" i="1"/>
  <c r="S1974" i="1"/>
  <c r="S634" i="1"/>
  <c r="S111" i="1"/>
  <c r="S1523" i="1"/>
  <c r="S67" i="1"/>
  <c r="S265" i="1"/>
  <c r="S1727" i="1"/>
  <c r="S1549" i="1"/>
  <c r="S856" i="1"/>
  <c r="S815" i="1"/>
  <c r="S1494" i="1"/>
  <c r="S507" i="1"/>
  <c r="S831" i="1"/>
  <c r="S1987" i="1"/>
  <c r="S545" i="1"/>
  <c r="S1305" i="1"/>
  <c r="S945" i="1"/>
  <c r="S581" i="1"/>
  <c r="S1398" i="1"/>
  <c r="S1764" i="1"/>
  <c r="S116" i="1"/>
  <c r="S1989" i="1"/>
  <c r="S1003" i="1"/>
  <c r="S1869" i="1"/>
  <c r="S1059" i="1"/>
  <c r="S1948" i="1"/>
  <c r="S1802" i="1"/>
  <c r="S1381" i="1"/>
  <c r="S1438" i="1"/>
  <c r="S444" i="1"/>
  <c r="S361" i="1"/>
  <c r="S1078" i="1"/>
  <c r="S775" i="1"/>
  <c r="S1165" i="1"/>
  <c r="S1724" i="1"/>
  <c r="S1294" i="1"/>
  <c r="S869" i="1"/>
  <c r="S1119" i="1"/>
  <c r="S903" i="1"/>
  <c r="S1748" i="1"/>
  <c r="S876" i="1"/>
  <c r="S1384" i="1"/>
  <c r="S1204" i="1"/>
  <c r="S1258" i="1"/>
  <c r="S1366" i="1"/>
  <c r="S401" i="1"/>
  <c r="S817" i="1"/>
  <c r="S1346" i="1"/>
  <c r="S75" i="1"/>
  <c r="S1118" i="1"/>
  <c r="S855" i="1"/>
  <c r="S232" i="1"/>
  <c r="S863" i="1"/>
  <c r="S344" i="1"/>
  <c r="S1813" i="1"/>
  <c r="S1247" i="1"/>
  <c r="S1471" i="1"/>
  <c r="S736" i="1"/>
  <c r="S1533" i="1"/>
  <c r="S882" i="1"/>
  <c r="S1759" i="1"/>
  <c r="S1051" i="1"/>
  <c r="S1810" i="1"/>
  <c r="S1453" i="1"/>
  <c r="S471" i="1"/>
  <c r="S717" i="1"/>
  <c r="S1271" i="1"/>
  <c r="S543" i="1"/>
  <c r="S1484" i="1"/>
  <c r="S30" i="1"/>
  <c r="S1723" i="1"/>
  <c r="S1190" i="1"/>
  <c r="S884" i="1"/>
  <c r="S1545" i="1"/>
  <c r="S345" i="1"/>
  <c r="S1295" i="1"/>
  <c r="S986" i="1"/>
  <c r="S1554" i="1"/>
  <c r="S49" i="1"/>
  <c r="S411" i="1"/>
  <c r="S422" i="1"/>
  <c r="S1861" i="1"/>
  <c r="S871" i="1"/>
  <c r="S994" i="1"/>
  <c r="S1493" i="1"/>
  <c r="S532" i="1"/>
  <c r="S390" i="1"/>
  <c r="S862" i="1"/>
  <c r="S943" i="1"/>
  <c r="S1386" i="1"/>
  <c r="S1482" i="1"/>
  <c r="S921" i="1"/>
  <c r="S1033" i="1"/>
  <c r="S595" i="1"/>
  <c r="S617" i="1"/>
  <c r="S1077" i="1"/>
  <c r="S1441" i="1"/>
  <c r="S1796" i="1"/>
  <c r="S398" i="1"/>
  <c r="S95" i="1"/>
  <c r="S508" i="1"/>
  <c r="S1473" i="1"/>
  <c r="S412" i="1"/>
  <c r="S1507" i="1"/>
  <c r="S259" i="1"/>
  <c r="S547" i="1"/>
  <c r="S527" i="1"/>
  <c r="S982" i="1"/>
  <c r="S525" i="1"/>
  <c r="S1936" i="1"/>
  <c r="S156" i="1"/>
  <c r="S1516" i="1"/>
  <c r="S1492" i="1"/>
  <c r="S1787" i="1"/>
  <c r="S1954" i="1"/>
  <c r="S70" i="1"/>
  <c r="S34" i="1"/>
  <c r="S1746" i="1"/>
  <c r="S1390" i="1"/>
  <c r="S1865" i="1"/>
  <c r="S1300" i="1"/>
  <c r="S1396" i="1"/>
  <c r="S1123" i="1"/>
  <c r="S321" i="1"/>
  <c r="S1684" i="1"/>
  <c r="S1073" i="1"/>
  <c r="S1925" i="1"/>
  <c r="S1982" i="1"/>
  <c r="S417" i="1"/>
  <c r="S1328" i="1"/>
  <c r="S1868" i="1"/>
  <c r="S655" i="1"/>
  <c r="S1432" i="1"/>
  <c r="S1369" i="1"/>
  <c r="S1171" i="1"/>
  <c r="S680" i="1"/>
  <c r="S847" i="1"/>
  <c r="S297" i="1"/>
  <c r="S1395" i="1"/>
  <c r="S887" i="1"/>
  <c r="S1128" i="1"/>
  <c r="S906" i="1"/>
  <c r="S725" i="1"/>
  <c r="S960" i="1"/>
  <c r="S1284" i="1"/>
  <c r="S1502" i="1"/>
  <c r="S1915" i="1"/>
  <c r="S713" i="1"/>
  <c r="S1235" i="1"/>
  <c r="S630" i="1"/>
  <c r="S965" i="1"/>
  <c r="S1913" i="1"/>
  <c r="S117" i="1"/>
  <c r="S649" i="1"/>
  <c r="S1151" i="1"/>
  <c r="S1778" i="1"/>
  <c r="S74" i="1"/>
  <c r="S846" i="1"/>
  <c r="S1263" i="1"/>
  <c r="S370" i="1"/>
  <c r="S306" i="1"/>
  <c r="S288" i="1"/>
  <c r="S1222" i="1"/>
  <c r="S362" i="1"/>
  <c r="S62" i="1"/>
  <c r="S279" i="1"/>
  <c r="S1547" i="1"/>
  <c r="S557" i="1"/>
  <c r="S1719" i="1"/>
  <c r="S891" i="1"/>
  <c r="S424" i="1"/>
  <c r="S1834" i="1"/>
  <c r="S1758" i="1"/>
  <c r="S1843" i="1"/>
  <c r="S933" i="1"/>
  <c r="S1672" i="1"/>
  <c r="S1599" i="1"/>
  <c r="S577" i="1"/>
  <c r="S781" i="1"/>
  <c r="S720" i="1"/>
  <c r="S1932" i="1"/>
  <c r="S246" i="1"/>
  <c r="S568" i="1"/>
  <c r="S1701" i="1"/>
  <c r="S357" i="1"/>
  <c r="S1074" i="1"/>
  <c r="S1718" i="1"/>
  <c r="S154" i="1"/>
  <c r="S1412" i="1"/>
  <c r="S1179" i="1"/>
  <c r="S1591" i="1"/>
  <c r="S1738" i="1"/>
  <c r="S1734" i="1"/>
  <c r="S1234" i="1"/>
  <c r="S1292" i="1"/>
  <c r="S1964" i="1"/>
  <c r="S395" i="1"/>
  <c r="S715" i="1"/>
  <c r="S1585" i="1"/>
  <c r="S1042" i="1"/>
  <c r="S1380" i="1"/>
  <c r="S610" i="1"/>
  <c r="S1080" i="1"/>
  <c r="S374" i="1"/>
  <c r="S502" i="1"/>
  <c r="S1540" i="1"/>
  <c r="S1458" i="1"/>
  <c r="S734" i="1"/>
  <c r="S904" i="1"/>
  <c r="S458" i="1"/>
  <c r="S386" i="1"/>
  <c r="S1476" i="1"/>
  <c r="S1946" i="1"/>
  <c r="S1496" i="1"/>
  <c r="S1135" i="1"/>
  <c r="S539" i="1"/>
  <c r="S1839" i="1"/>
  <c r="S975" i="1"/>
  <c r="S1930" i="1"/>
  <c r="S639" i="1"/>
  <c r="S191" i="1"/>
  <c r="S1106" i="1"/>
  <c r="S648" i="1"/>
  <c r="S1817" i="1"/>
  <c r="S820" i="1"/>
  <c r="S110" i="1"/>
  <c r="S200" i="1"/>
  <c r="S1983" i="1"/>
  <c r="S783" i="1"/>
  <c r="S287" i="1"/>
  <c r="S1884" i="1"/>
  <c r="S780" i="1"/>
  <c r="S837" i="1"/>
  <c r="S198" i="1"/>
  <c r="S665" i="1"/>
  <c r="S1254" i="1"/>
  <c r="S1909" i="1"/>
  <c r="S814" i="1"/>
  <c r="S1209" i="1"/>
  <c r="S890" i="1"/>
  <c r="S1219" i="1"/>
  <c r="S691" i="1"/>
  <c r="S1019" i="1"/>
  <c r="S551" i="1"/>
  <c r="S1686" i="1"/>
  <c r="S1020" i="1"/>
  <c r="S623" i="1"/>
  <c r="S1265" i="1"/>
  <c r="S569" i="1"/>
  <c r="S1370" i="1"/>
  <c r="S41" i="1"/>
  <c r="S461" i="1"/>
  <c r="S197" i="1"/>
  <c r="S472" i="1"/>
  <c r="S1512" i="1"/>
  <c r="S983" i="1"/>
  <c r="S1250" i="1"/>
  <c r="S1949" i="1"/>
  <c r="S1207" i="1"/>
  <c r="S1555" i="1"/>
  <c r="S1578" i="1"/>
  <c r="S939" i="1"/>
  <c r="S703" i="1"/>
  <c r="S457" i="1"/>
  <c r="S1940" i="1"/>
  <c r="S1617" i="1"/>
  <c r="S99" i="1"/>
  <c r="S1710" i="1"/>
  <c r="S1846" i="1"/>
  <c r="S1807" i="1"/>
  <c r="S716" i="1"/>
  <c r="S763" i="1"/>
  <c r="S1624" i="1"/>
  <c r="S1747" i="1"/>
  <c r="S561" i="1"/>
  <c r="S1995" i="1"/>
  <c r="S1149" i="1"/>
  <c r="S666" i="1"/>
  <c r="S989" i="1"/>
  <c r="S1558" i="1"/>
  <c r="S670" i="1"/>
  <c r="S1670" i="1"/>
  <c r="S218" i="1"/>
  <c r="S407" i="1"/>
  <c r="S1007" i="1"/>
  <c r="S1733" i="1"/>
  <c r="S954" i="1"/>
  <c r="S1117" i="1"/>
  <c r="S909" i="1"/>
  <c r="S406" i="1"/>
  <c r="S1194" i="1"/>
  <c r="S599" i="1"/>
  <c r="S611" i="1"/>
  <c r="S1025" i="1"/>
  <c r="S667" i="1"/>
  <c r="S432" i="1"/>
  <c r="S515" i="1"/>
  <c r="S535" i="1"/>
  <c r="S664" i="1"/>
  <c r="S1821" i="1"/>
  <c r="S1910" i="1"/>
  <c r="S1349" i="1"/>
  <c r="S1279" i="1"/>
  <c r="S192" i="1"/>
  <c r="S1100" i="1"/>
  <c r="S1282" i="1"/>
  <c r="S1293" i="1"/>
  <c r="S1280" i="1"/>
  <c r="S168" i="1"/>
  <c r="S140" i="1"/>
  <c r="S115" i="1"/>
  <c r="S1150" i="1"/>
  <c r="S450" i="1"/>
  <c r="S1571" i="1"/>
  <c r="S584" i="1"/>
  <c r="S1518" i="1"/>
  <c r="S57" i="1"/>
  <c r="S333" i="1"/>
  <c r="S1363" i="1"/>
  <c r="S616" i="1"/>
  <c r="S389" i="1"/>
  <c r="S988" i="1"/>
  <c r="S1023" i="1"/>
  <c r="S203" i="1"/>
  <c r="S379" i="1"/>
  <c r="S928" i="1"/>
  <c r="S1750" i="1"/>
  <c r="S93" i="1"/>
  <c r="S410" i="1"/>
  <c r="S324" i="1"/>
  <c r="S1794" i="1"/>
  <c r="S618" i="1"/>
  <c r="S1470" i="1"/>
  <c r="S1240" i="1"/>
  <c r="S651" i="1"/>
  <c r="S264" i="1"/>
  <c r="S916" i="1"/>
  <c r="S144" i="1"/>
  <c r="S1048" i="1"/>
  <c r="S631" i="1"/>
  <c r="S209" i="1"/>
  <c r="S956" i="1"/>
  <c r="S1144" i="1"/>
  <c r="S973" i="1"/>
  <c r="S519" i="1"/>
  <c r="S1581" i="1"/>
  <c r="S966" i="1"/>
  <c r="S1791" i="1"/>
  <c r="S1154" i="1"/>
  <c r="S1124" i="1"/>
  <c r="S1917" i="1"/>
  <c r="S322" i="1"/>
  <c r="S196" i="1"/>
  <c r="S877" i="1"/>
  <c r="S113" i="1"/>
  <c r="S1287" i="1"/>
  <c r="S153" i="1"/>
  <c r="S1501" i="1"/>
  <c r="S1374" i="1"/>
  <c r="S1331" i="1"/>
  <c r="S1728" i="1"/>
  <c r="S888" i="1"/>
  <c r="S791" i="1"/>
  <c r="S941" i="1"/>
  <c r="S442" i="1"/>
  <c r="S64" i="1"/>
  <c r="S60" i="1"/>
  <c r="S1229" i="1"/>
  <c r="S970" i="1"/>
  <c r="S804" i="1"/>
  <c r="S793" i="1"/>
  <c r="S1576" i="1"/>
  <c r="S301" i="1"/>
  <c r="S1217" i="1"/>
  <c r="S1732" i="1"/>
  <c r="S1860" i="1"/>
  <c r="S98" i="1"/>
  <c r="S1487" i="1"/>
  <c r="S1162" i="1"/>
  <c r="S838" i="1"/>
  <c r="S895" i="1"/>
  <c r="S10" i="1"/>
  <c r="S436" i="1"/>
  <c r="S1725" i="1"/>
  <c r="S967" i="1"/>
  <c r="S1274" i="1"/>
  <c r="S879" i="1"/>
  <c r="S1302" i="1"/>
  <c r="S208" i="1"/>
  <c r="S155" i="1"/>
  <c r="S1765" i="1"/>
  <c r="S184" i="1"/>
  <c r="S1773" i="1"/>
  <c r="S685" i="1"/>
  <c r="S1713" i="1"/>
  <c r="S1751" i="1"/>
  <c r="S360" i="1"/>
  <c r="S1602" i="1"/>
  <c r="S481" i="1"/>
  <c r="S122" i="1"/>
  <c r="S733" i="1"/>
  <c r="S1826" i="1"/>
  <c r="S1269" i="1"/>
  <c r="S915" i="1"/>
  <c r="S1399" i="1"/>
  <c r="S199" i="1"/>
  <c r="S771" i="1"/>
  <c r="S1696" i="1"/>
  <c r="S1251" i="1"/>
  <c r="S1333" i="1"/>
  <c r="S221" i="1"/>
  <c r="S332" i="1"/>
  <c r="S1488" i="1"/>
  <c r="S45" i="1"/>
  <c r="S1760" i="1"/>
  <c r="S962" i="1"/>
  <c r="S1170" i="1"/>
  <c r="S131" i="1"/>
  <c r="S663" i="1"/>
  <c r="S1424" i="1"/>
  <c r="S1660" i="1"/>
  <c r="S719" i="1"/>
  <c r="S926" i="1"/>
  <c r="S1937" i="1"/>
  <c r="S1464" i="1"/>
  <c r="S483" i="1"/>
  <c r="S466" i="1"/>
  <c r="S437" i="1"/>
  <c r="S1036" i="1"/>
  <c r="S727" i="1"/>
  <c r="S1296" i="1"/>
  <c r="S1035" i="1"/>
  <c r="S396" i="1"/>
  <c r="S427" i="1"/>
  <c r="S346" i="1"/>
  <c r="S334" i="1"/>
  <c r="S1324" i="1"/>
  <c r="S841" i="1"/>
  <c r="S1278" i="1"/>
  <c r="S854" i="1"/>
  <c r="S1526" i="1"/>
  <c r="S1038" i="1"/>
  <c r="S1551" i="1"/>
  <c r="S1276" i="1"/>
  <c r="S1919" i="1"/>
  <c r="S773" i="1"/>
  <c r="S782" i="1"/>
  <c r="S1500" i="1"/>
  <c r="S310" i="1"/>
  <c r="S541" i="1"/>
  <c r="S892" i="1"/>
  <c r="S566" i="1"/>
  <c r="S91" i="1"/>
  <c r="S204" i="1"/>
  <c r="S598" i="1"/>
  <c r="S996" i="1"/>
  <c r="S1121" i="1"/>
  <c r="S307" i="1"/>
  <c r="S69" i="1"/>
  <c r="S1113" i="1"/>
  <c r="S705" i="1"/>
  <c r="S1411" i="1"/>
  <c r="S1922" i="1"/>
  <c r="S585" i="1"/>
  <c r="S496" i="1"/>
  <c r="S130" i="1"/>
  <c r="S371" i="1"/>
  <c r="S266" i="1"/>
  <c r="S1111" i="1"/>
  <c r="S969" i="1"/>
  <c r="S1633" i="1"/>
  <c r="S1521" i="1"/>
  <c r="S263" i="1"/>
  <c r="S1641" i="1"/>
  <c r="S1255" i="1"/>
  <c r="S726" i="1"/>
  <c r="S1820" i="1"/>
  <c r="S1741" i="1"/>
  <c r="S688" i="1"/>
  <c r="S268" i="1"/>
  <c r="S1690" i="1"/>
  <c r="S1972" i="1"/>
  <c r="S1094" i="1"/>
  <c r="S946" i="1"/>
  <c r="S874" i="1"/>
  <c r="S602" i="1"/>
  <c r="S643" i="1"/>
  <c r="S1905" i="1"/>
  <c r="S682" i="1"/>
  <c r="S1745" i="1"/>
  <c r="S540" i="1"/>
  <c r="S1336" i="1"/>
  <c r="S692" i="1"/>
  <c r="S641" i="1"/>
  <c r="S1120" i="1"/>
  <c r="S1541" i="1"/>
  <c r="S190" i="1"/>
  <c r="S1218" i="1"/>
  <c r="S803" i="1"/>
  <c r="S512" i="1"/>
  <c r="S1404" i="1"/>
  <c r="S88" i="1"/>
  <c r="S1819" i="1"/>
  <c r="S289" i="1"/>
  <c r="S1084" i="1"/>
  <c r="S1662" i="1"/>
  <c r="S1604" i="1"/>
  <c r="S236" i="1"/>
  <c r="S864" i="1"/>
  <c r="S465" i="1"/>
  <c r="S513" i="1"/>
  <c r="S83" i="1"/>
  <c r="S953" i="1"/>
  <c r="S748" i="1"/>
  <c r="S1225" i="1"/>
  <c r="S859" i="1"/>
  <c r="S1477" i="1"/>
  <c r="S950" i="1"/>
  <c r="S1361" i="1"/>
  <c r="S857" i="1"/>
  <c r="S1090" i="1"/>
  <c r="S1962" i="1"/>
  <c r="S1896" i="1"/>
  <c r="S124" i="1"/>
  <c r="S629" i="1"/>
  <c r="S449" i="1"/>
  <c r="S1001" i="1"/>
  <c r="S1667" i="1"/>
  <c r="S1327" i="1"/>
  <c r="S1143" i="1"/>
  <c r="S534" i="1"/>
  <c r="S1566" i="1"/>
  <c r="S1466" i="1"/>
  <c r="S522" i="1"/>
  <c r="S340" i="1"/>
  <c r="S82" i="1"/>
  <c r="S704" i="1"/>
  <c r="S448" i="1"/>
  <c r="S1155" i="1"/>
  <c r="S56" i="1"/>
  <c r="S914" i="1"/>
  <c r="S627" i="1"/>
  <c r="S1189" i="1"/>
  <c r="S1232" i="1"/>
  <c r="S1822" i="1"/>
  <c r="S976" i="1"/>
  <c r="S42" i="1"/>
  <c r="S1243" i="1"/>
  <c r="S1914" i="1"/>
  <c r="S48" i="1"/>
  <c r="S1053" i="1"/>
  <c r="S947" i="1"/>
  <c r="S1841" i="1"/>
  <c r="S742" i="1"/>
  <c r="S1498" i="1"/>
  <c r="S998" i="1"/>
  <c r="S1281" i="1"/>
  <c r="S1105" i="1"/>
  <c r="S1431" i="1"/>
  <c r="S839" i="1"/>
  <c r="S1127" i="1"/>
  <c r="S171" i="1"/>
  <c r="S1595" i="1"/>
  <c r="S180" i="1"/>
  <c r="S1483" i="1"/>
  <c r="S1567" i="1"/>
  <c r="S911" i="1"/>
  <c r="S1335" i="1"/>
  <c r="S228" i="1"/>
  <c r="S985" i="1"/>
  <c r="S103" i="1"/>
  <c r="S1245" i="1"/>
  <c r="S1678" i="1"/>
  <c r="S1607" i="1"/>
  <c r="S1973" i="1"/>
  <c r="S311" i="1"/>
  <c r="S850" i="1"/>
  <c r="S282" i="1"/>
  <c r="S1587" i="1"/>
  <c r="S870" i="1"/>
  <c r="S524" i="1"/>
  <c r="S1552" i="1"/>
  <c r="S1478" i="1"/>
  <c r="S1299" i="1"/>
  <c r="S546" i="1"/>
  <c r="S1354" i="1"/>
  <c r="S1574" i="1"/>
  <c r="S1406" i="1"/>
  <c r="S1210" i="1"/>
  <c r="S469" i="1"/>
  <c r="S553" i="1"/>
  <c r="S835" i="1"/>
  <c r="S121" i="1"/>
  <c r="S918" i="1"/>
  <c r="S955" i="1"/>
  <c r="S320" i="1"/>
  <c r="S1978" i="1"/>
  <c r="S1984" i="1"/>
  <c r="S597" i="1"/>
  <c r="S658" i="1"/>
  <c r="S443" i="1"/>
  <c r="S860" i="1"/>
  <c r="S1560" i="1"/>
  <c r="S1049" i="1"/>
  <c r="S1079" i="1"/>
  <c r="S1531" i="1"/>
  <c r="S1619" i="1"/>
  <c r="S1172" i="1"/>
  <c r="S1230" i="1"/>
  <c r="S195" i="1"/>
  <c r="S1788" i="1"/>
  <c r="S1900" i="1"/>
  <c r="S1142" i="1"/>
  <c r="S254" i="1"/>
  <c r="S1780" i="1"/>
  <c r="S1228" i="1"/>
  <c r="S1427" i="1"/>
  <c r="S1970" i="1"/>
  <c r="S162" i="1"/>
  <c r="S893" i="1"/>
  <c r="S104" i="1"/>
  <c r="S1731" i="1"/>
  <c r="S89" i="1"/>
  <c r="S1894" i="1"/>
  <c r="S1185" i="1"/>
  <c r="S1888" i="1"/>
  <c r="S1963" i="1"/>
  <c r="S1952" i="1"/>
  <c r="S1537" i="1"/>
  <c r="S842" i="1"/>
  <c r="S920" i="1"/>
  <c r="S383" i="1"/>
  <c r="S1792" i="1"/>
  <c r="S4" i="1"/>
  <c r="S1283" i="1"/>
  <c r="S1012" i="1"/>
  <c r="S1298" i="1"/>
  <c r="S550" i="1"/>
  <c r="S92" i="1"/>
  <c r="S1104" i="1"/>
  <c r="S1239" i="1"/>
  <c r="S1520" i="1"/>
  <c r="S1146" i="1"/>
  <c r="S1924" i="1"/>
  <c r="S949" i="1"/>
  <c r="S1045" i="1"/>
  <c r="S1632" i="1"/>
  <c r="S1668" i="1"/>
  <c r="S1063" i="1"/>
  <c r="S1525" i="1"/>
  <c r="S1096" i="1"/>
  <c r="S1664" i="1"/>
  <c r="S1763" i="1"/>
  <c r="S1603" i="1"/>
  <c r="S23" i="1"/>
  <c r="S44" i="1"/>
  <c r="S112" i="1"/>
  <c r="S536" i="1"/>
  <c r="S492" i="1"/>
  <c r="S866" i="1"/>
  <c r="S475" i="1"/>
  <c r="S796" i="1"/>
  <c r="S647" i="1"/>
  <c r="S1163" i="1"/>
  <c r="S365" i="1"/>
  <c r="S176" i="1"/>
  <c r="S136" i="1"/>
  <c r="S1497" i="1"/>
  <c r="S1823" i="1"/>
  <c r="S628" i="1"/>
  <c r="S1055" i="1"/>
  <c r="S640" i="1"/>
  <c r="S1689" i="1"/>
  <c r="S1277" i="1"/>
  <c r="S1570" i="1"/>
  <c r="S937" i="1"/>
  <c r="S701" i="1"/>
  <c r="S1885" i="1"/>
  <c r="S824" i="1"/>
  <c r="S367" i="1"/>
  <c r="S211" i="1"/>
  <c r="S182" i="1"/>
  <c r="S397" i="1"/>
  <c r="S1621" i="1"/>
  <c r="S1153" i="1"/>
  <c r="S114" i="1"/>
  <c r="S1709" i="1"/>
  <c r="S592" i="1"/>
  <c r="S531" i="1"/>
  <c r="S106" i="1"/>
  <c r="S582" i="1"/>
  <c r="S404" i="1"/>
  <c r="S249" i="1"/>
  <c r="S1173" i="1"/>
  <c r="S217" i="1"/>
  <c r="S369" i="1"/>
  <c r="S778" i="1"/>
  <c r="S1842" i="1"/>
  <c r="S399" i="1"/>
  <c r="S972" i="1"/>
  <c r="S1112" i="1"/>
  <c r="S90" i="1"/>
  <c r="S591" i="1"/>
  <c r="S1647" i="1"/>
  <c r="S303" i="1"/>
  <c r="S1858" i="1"/>
  <c r="S1362" i="1"/>
  <c r="S821" i="1"/>
  <c r="S678" i="1"/>
  <c r="S313" i="1"/>
  <c r="S1893" i="1"/>
  <c r="S1515" i="1"/>
  <c r="S415" i="1"/>
  <c r="S1941" i="1"/>
  <c r="S1108" i="1"/>
  <c r="S431" i="1"/>
  <c r="S1538" i="1"/>
  <c r="S844" i="1"/>
  <c r="S562" i="1"/>
  <c r="S1443" i="1"/>
  <c r="S1223" i="1"/>
  <c r="S596" i="1"/>
  <c r="S1529" i="1"/>
  <c r="S1009" i="1"/>
  <c r="S1156" i="1"/>
  <c r="S1542" i="1"/>
  <c r="S1582" i="1"/>
  <c r="S1211" i="1"/>
  <c r="S1506" i="1"/>
  <c r="S1152" i="1"/>
  <c r="S743" i="1"/>
  <c r="S1994" i="1"/>
  <c r="S636" i="1"/>
  <c r="S194" i="1"/>
  <c r="S1629" i="1"/>
  <c r="S1979" i="1"/>
  <c r="S1098" i="1"/>
  <c r="S1589" i="1"/>
  <c r="S1977" i="1"/>
  <c r="S1700" i="1"/>
  <c r="S1301" i="1"/>
  <c r="S1872" i="1"/>
  <c r="S1378" i="1"/>
  <c r="S372" i="1"/>
  <c r="S1714" i="1"/>
  <c r="S1543" i="1"/>
  <c r="S851" i="1"/>
  <c r="S187" i="1"/>
  <c r="S1317" i="1"/>
  <c r="S644" i="1"/>
  <c r="S215" i="1"/>
  <c r="S439" i="1"/>
  <c r="S135" i="1"/>
  <c r="S924" i="1"/>
  <c r="S765" i="1"/>
  <c r="S50" i="1"/>
  <c r="S520" i="1"/>
  <c r="S241" i="1"/>
  <c r="S1253" i="1"/>
  <c r="S896" i="1"/>
  <c r="S1959" i="1"/>
  <c r="S382" i="1"/>
  <c r="S1579" i="1"/>
  <c r="S1130" i="1"/>
  <c r="S1837" i="1"/>
  <c r="S593" i="1"/>
  <c r="S148" i="1"/>
  <c r="S1742" i="1"/>
  <c r="S24" i="1"/>
  <c r="S1325" i="1"/>
  <c r="S1060" i="1"/>
  <c r="S1688" i="1"/>
  <c r="S922" i="1"/>
  <c r="S1224" i="1"/>
  <c r="S1838" i="1"/>
  <c r="S1786" i="1"/>
  <c r="S674" i="1"/>
  <c r="S1575" i="1"/>
  <c r="S1584" i="1"/>
  <c r="S1767" i="1"/>
  <c r="S635" i="1"/>
  <c r="S801" i="1"/>
  <c r="S1350" i="1"/>
  <c r="S1942" i="1"/>
  <c r="S712" i="1"/>
  <c r="S231" i="1"/>
  <c r="S767" i="1"/>
  <c r="S1782" i="1"/>
  <c r="S981" i="1"/>
  <c r="S605" i="1"/>
  <c r="S1855" i="1"/>
  <c r="S350" i="1"/>
  <c r="S1673" i="1"/>
  <c r="S1918" i="1"/>
  <c r="S488" i="1"/>
  <c r="S1448" i="1"/>
  <c r="S1316" i="1"/>
  <c r="S1980" i="1"/>
  <c r="S1145" i="1"/>
  <c r="S1743" i="1"/>
  <c r="S694" i="1"/>
  <c r="S1068" i="1"/>
  <c r="S1161" i="1"/>
  <c r="S359" i="1"/>
  <c r="S478" i="1"/>
  <c r="S1075" i="1"/>
  <c r="S1804" i="1"/>
  <c r="S544" i="1"/>
  <c r="S2000" i="1"/>
  <c r="S210" i="1"/>
  <c r="S66" i="1"/>
  <c r="S571" i="1"/>
  <c r="S286" i="1"/>
  <c r="S878" i="1"/>
  <c r="S679" i="1"/>
  <c r="S160" i="1"/>
  <c r="S455" i="1"/>
  <c r="S637" i="1"/>
  <c r="S1878" i="1"/>
  <c r="S917" i="1"/>
  <c r="S1489" i="1"/>
  <c r="S702" i="1"/>
  <c r="S836" i="1"/>
  <c r="S486" i="1"/>
  <c r="S807" i="1"/>
  <c r="S1410" i="1"/>
  <c r="S925" i="1"/>
  <c r="S142" i="1"/>
  <c r="S1188" i="1"/>
  <c r="S1262" i="1"/>
  <c r="S1944" i="1"/>
  <c r="S1436" i="1"/>
  <c r="S316" i="1"/>
  <c r="S542" i="1"/>
  <c r="S1546" i="1"/>
  <c r="S1653" i="1"/>
  <c r="S1648" i="1"/>
  <c r="S1867" i="1"/>
  <c r="S262" i="1"/>
  <c r="S948" i="1"/>
  <c r="S1580" i="1"/>
  <c r="S899" i="1"/>
  <c r="S1729" i="1"/>
  <c r="S992" i="1"/>
  <c r="S608" i="1"/>
  <c r="S1242" i="1"/>
  <c r="S738" i="1"/>
  <c r="S604" i="1"/>
  <c r="S1902" i="1"/>
  <c r="S1285" i="1"/>
  <c r="S275" i="1"/>
  <c r="S714" i="1"/>
  <c r="S293" i="1"/>
  <c r="S434" i="1"/>
  <c r="S405" i="1"/>
  <c r="S467" i="1"/>
  <c r="S1115" i="1"/>
  <c r="S489" i="1"/>
  <c r="S134" i="1"/>
  <c r="S913" i="1"/>
  <c r="S834" i="1"/>
  <c r="S1027" i="1"/>
  <c r="S1046" i="1"/>
  <c r="S1945" i="1"/>
  <c r="S9" i="1"/>
  <c r="S1679" i="1"/>
  <c r="S1160" i="1"/>
  <c r="S825" i="1"/>
  <c r="S506" i="1"/>
  <c r="S177" i="1"/>
  <c r="S1403" i="1"/>
  <c r="S1818" i="1"/>
  <c r="S1356" i="1"/>
  <c r="S993" i="1"/>
  <c r="S626" i="1"/>
  <c r="S277" i="1"/>
  <c r="S438" i="1"/>
  <c r="S1220" i="1"/>
  <c r="S212" i="1"/>
  <c r="S750" i="1"/>
  <c r="S1456" i="1"/>
  <c r="S105" i="1"/>
  <c r="S1544" i="1"/>
  <c r="S1886" i="1"/>
  <c r="S1309" i="1"/>
  <c r="S944" i="1"/>
  <c r="S1099" i="1"/>
  <c r="S96" i="1"/>
  <c r="S1379" i="1"/>
  <c r="S1762" i="1"/>
  <c r="S1216" i="1"/>
  <c r="S470" i="1"/>
  <c r="S392" i="1"/>
  <c r="S872" i="1"/>
  <c r="S1614" i="1"/>
  <c r="S170" i="1"/>
  <c r="S1132" i="1"/>
  <c r="S794" i="1"/>
  <c r="S1490" i="1"/>
  <c r="S1213" i="1"/>
  <c r="S1877" i="1"/>
  <c r="S1016" i="1"/>
  <c r="S1739" i="1"/>
  <c r="S400" i="1"/>
  <c r="S292" i="1"/>
  <c r="S576" i="1"/>
  <c r="S693" i="1"/>
  <c r="S476" i="1"/>
  <c r="S1014" i="1"/>
  <c r="S76" i="1"/>
  <c r="S978" i="1"/>
  <c r="S1857" i="1"/>
  <c r="S445" i="1"/>
  <c r="S53" i="1"/>
  <c r="S881" i="1"/>
  <c r="S1365" i="1"/>
  <c r="S1015" i="1"/>
  <c r="S1337" i="1"/>
  <c r="S1695" i="1"/>
  <c r="S459" i="1"/>
  <c r="S1757" i="1"/>
  <c r="S1426" i="1"/>
  <c r="S2001" i="1"/>
  <c r="S343" i="1"/>
  <c r="S1598" i="1"/>
  <c r="S252" i="1"/>
  <c r="S810" i="1"/>
  <c r="S305" i="1"/>
  <c r="S590" i="1"/>
  <c r="S751" i="1"/>
  <c r="S373" i="1"/>
  <c r="S480" i="1"/>
  <c r="S615" i="1"/>
  <c r="S601" i="1"/>
  <c r="I2001" i="1"/>
  <c r="J2001" i="1" s="1"/>
  <c r="T2001" i="1" s="1"/>
  <c r="I2000" i="1"/>
  <c r="I1998" i="1"/>
  <c r="I1999" i="1"/>
  <c r="I1997" i="1"/>
  <c r="I1996" i="1"/>
  <c r="I1995" i="1"/>
  <c r="J1995" i="1" s="1"/>
  <c r="T1995" i="1" s="1"/>
  <c r="I1994" i="1"/>
  <c r="J1994" i="1" s="1"/>
  <c r="I1993" i="1"/>
  <c r="J1993" i="1" s="1"/>
  <c r="T1993" i="1" s="1"/>
  <c r="I1992" i="1"/>
  <c r="I1991" i="1"/>
  <c r="I1990" i="1"/>
  <c r="I1989" i="1"/>
  <c r="I1988" i="1"/>
  <c r="I1987" i="1"/>
  <c r="I1986" i="1"/>
  <c r="J1986" i="1" s="1"/>
  <c r="I1985" i="1"/>
  <c r="I1984" i="1"/>
  <c r="I1983" i="1"/>
  <c r="I1982" i="1"/>
  <c r="I1981" i="1"/>
  <c r="I1980" i="1"/>
  <c r="J1980" i="1" s="1"/>
  <c r="T1980" i="1" s="1"/>
  <c r="I1979" i="1"/>
  <c r="I1978" i="1"/>
  <c r="J1978" i="1" s="1"/>
  <c r="I1977" i="1"/>
  <c r="J1977" i="1" s="1"/>
  <c r="T1977" i="1" s="1"/>
  <c r="I1976" i="1"/>
  <c r="I1975" i="1"/>
  <c r="J1975" i="1" s="1"/>
  <c r="I1974" i="1"/>
  <c r="J1974" i="1" s="1"/>
  <c r="I1973" i="1"/>
  <c r="I1972" i="1"/>
  <c r="I1971" i="1"/>
  <c r="I1970" i="1"/>
  <c r="J1970" i="1" s="1"/>
  <c r="I1968" i="1"/>
  <c r="I1969" i="1"/>
  <c r="I1967" i="1"/>
  <c r="I1965" i="1"/>
  <c r="I1966" i="1"/>
  <c r="I1964" i="1"/>
  <c r="J1964" i="1" s="1"/>
  <c r="T1964" i="1" s="1"/>
  <c r="I1963" i="1"/>
  <c r="J1963" i="1" s="1"/>
  <c r="T1963" i="1" s="1"/>
  <c r="I1962" i="1"/>
  <c r="J1962" i="1" s="1"/>
  <c r="I1961" i="1"/>
  <c r="J1961" i="1" s="1"/>
  <c r="T1961" i="1" s="1"/>
  <c r="I1960" i="1"/>
  <c r="I1959" i="1"/>
  <c r="J1959" i="1" s="1"/>
  <c r="I1958" i="1"/>
  <c r="I1957" i="1"/>
  <c r="I1956" i="1"/>
  <c r="J1956" i="1" s="1"/>
  <c r="T1956" i="1" s="1"/>
  <c r="I1955" i="1"/>
  <c r="I1954" i="1"/>
  <c r="J1954" i="1" s="1"/>
  <c r="I1953" i="1"/>
  <c r="J1953" i="1" s="1"/>
  <c r="T1953" i="1" s="1"/>
  <c r="I1952" i="1"/>
  <c r="J1952" i="1" s="1"/>
  <c r="I1950" i="1"/>
  <c r="I1951" i="1"/>
  <c r="I1949" i="1"/>
  <c r="J1949" i="1" s="1"/>
  <c r="T1949" i="1" s="1"/>
  <c r="I1948" i="1"/>
  <c r="J1948" i="1" s="1"/>
  <c r="T1948" i="1" s="1"/>
  <c r="I1947" i="1"/>
  <c r="J1947" i="1" s="1"/>
  <c r="T1947" i="1" s="1"/>
  <c r="I1946" i="1"/>
  <c r="J1946" i="1" s="1"/>
  <c r="I1945" i="1"/>
  <c r="J1945" i="1" s="1"/>
  <c r="T1945" i="1" s="1"/>
  <c r="I1944" i="1"/>
  <c r="I1943" i="1"/>
  <c r="I1942" i="1"/>
  <c r="I1941" i="1"/>
  <c r="J1941" i="1" s="1"/>
  <c r="T1941" i="1" s="1"/>
  <c r="I1940" i="1"/>
  <c r="I1939" i="1"/>
  <c r="I1938" i="1"/>
  <c r="I1937" i="1"/>
  <c r="J1937" i="1" s="1"/>
  <c r="T1937" i="1" s="1"/>
  <c r="I1936" i="1"/>
  <c r="I1935" i="1"/>
  <c r="I1934" i="1"/>
  <c r="I1933" i="1"/>
  <c r="J1933" i="1" s="1"/>
  <c r="T1933" i="1" s="1"/>
  <c r="I1932" i="1"/>
  <c r="J1932" i="1" s="1"/>
  <c r="T1932" i="1" s="1"/>
  <c r="I1931" i="1"/>
  <c r="I1930" i="1"/>
  <c r="J1930" i="1" s="1"/>
  <c r="I1929" i="1"/>
  <c r="J1929" i="1" s="1"/>
  <c r="T1929" i="1" s="1"/>
  <c r="I1928" i="1"/>
  <c r="I1926" i="1"/>
  <c r="I1927" i="1"/>
  <c r="I1925" i="1"/>
  <c r="I1924" i="1"/>
  <c r="J1924" i="1" s="1"/>
  <c r="T1924" i="1" s="1"/>
  <c r="I1923" i="1"/>
  <c r="I1922" i="1"/>
  <c r="J1922" i="1" s="1"/>
  <c r="I1921" i="1"/>
  <c r="J1921" i="1" s="1"/>
  <c r="T1921" i="1" s="1"/>
  <c r="I1920" i="1"/>
  <c r="I1919" i="1"/>
  <c r="I1918" i="1"/>
  <c r="J1918" i="1" s="1"/>
  <c r="I1917" i="1"/>
  <c r="I1916" i="1"/>
  <c r="I1915" i="1"/>
  <c r="J1915" i="1" s="1"/>
  <c r="T1915" i="1" s="1"/>
  <c r="I1914" i="1"/>
  <c r="J1914" i="1" s="1"/>
  <c r="I1913" i="1"/>
  <c r="J1913" i="1" s="1"/>
  <c r="T1913" i="1" s="1"/>
  <c r="I1911" i="1"/>
  <c r="I1912" i="1"/>
  <c r="I1910" i="1"/>
  <c r="I1909" i="1"/>
  <c r="I1908" i="1"/>
  <c r="I1907" i="1"/>
  <c r="I1906" i="1"/>
  <c r="J1906" i="1" s="1"/>
  <c r="I1905" i="1"/>
  <c r="J1905" i="1" s="1"/>
  <c r="T1905" i="1" s="1"/>
  <c r="I1904" i="1"/>
  <c r="J1904" i="1" s="1"/>
  <c r="I1903" i="1"/>
  <c r="I1902" i="1"/>
  <c r="I1901" i="1"/>
  <c r="J1901" i="1" s="1"/>
  <c r="T1901" i="1" s="1"/>
  <c r="I1900" i="1"/>
  <c r="I1899" i="1"/>
  <c r="I1898" i="1"/>
  <c r="J1898" i="1" s="1"/>
  <c r="I1897" i="1"/>
  <c r="I1896" i="1"/>
  <c r="I1895" i="1"/>
  <c r="I1894" i="1"/>
  <c r="I1893" i="1"/>
  <c r="I1892" i="1"/>
  <c r="I1891" i="1"/>
  <c r="J1891" i="1" s="1"/>
  <c r="T1891" i="1" s="1"/>
  <c r="I1890" i="1"/>
  <c r="I1889" i="1"/>
  <c r="J1889" i="1" s="1"/>
  <c r="T1889" i="1" s="1"/>
  <c r="I1888" i="1"/>
  <c r="I1887" i="1"/>
  <c r="I1886" i="1"/>
  <c r="J1886" i="1" s="1"/>
  <c r="I1885" i="1"/>
  <c r="I1884" i="1"/>
  <c r="I1883" i="1"/>
  <c r="I1882" i="1"/>
  <c r="I1880" i="1"/>
  <c r="I1881" i="1"/>
  <c r="J1881" i="1" s="1"/>
  <c r="T1881" i="1" s="1"/>
  <c r="I1879" i="1"/>
  <c r="I1878" i="1"/>
  <c r="I1877" i="1"/>
  <c r="I1876" i="1"/>
  <c r="J1876" i="1" s="1"/>
  <c r="T1876" i="1" s="1"/>
  <c r="I1874" i="1"/>
  <c r="I1875" i="1"/>
  <c r="J1875" i="1" s="1"/>
  <c r="T1875" i="1" s="1"/>
  <c r="I1873" i="1"/>
  <c r="J1873" i="1" s="1"/>
  <c r="I1872" i="1"/>
  <c r="I1871" i="1"/>
  <c r="I1870" i="1"/>
  <c r="I1869" i="1"/>
  <c r="I1868" i="1"/>
  <c r="J1868" i="1" s="1"/>
  <c r="T1868" i="1" s="1"/>
  <c r="I1867" i="1"/>
  <c r="J1867" i="1" s="1"/>
  <c r="T1867" i="1" s="1"/>
  <c r="I1866" i="1"/>
  <c r="I1865" i="1"/>
  <c r="J1865" i="1" s="1"/>
  <c r="I1864" i="1"/>
  <c r="I1863" i="1"/>
  <c r="I1862" i="1"/>
  <c r="I1861" i="1"/>
  <c r="J1861" i="1" s="1"/>
  <c r="T1861" i="1" s="1"/>
  <c r="I1860" i="1"/>
  <c r="I1859" i="1"/>
  <c r="J1859" i="1" s="1"/>
  <c r="T1859" i="1" s="1"/>
  <c r="I1858" i="1"/>
  <c r="J1858" i="1" s="1"/>
  <c r="I1857" i="1"/>
  <c r="J1857" i="1" s="1"/>
  <c r="I1856" i="1"/>
  <c r="I1855" i="1"/>
  <c r="I1854" i="1"/>
  <c r="I1853" i="1"/>
  <c r="I1852" i="1"/>
  <c r="I1850" i="1"/>
  <c r="I1851" i="1"/>
  <c r="I1849" i="1"/>
  <c r="I1847" i="1"/>
  <c r="I1848" i="1"/>
  <c r="I1846" i="1"/>
  <c r="J1846" i="1" s="1"/>
  <c r="I1845" i="1"/>
  <c r="I1844" i="1"/>
  <c r="I1843" i="1"/>
  <c r="I1842" i="1"/>
  <c r="J1842" i="1" s="1"/>
  <c r="I1841" i="1"/>
  <c r="J1841" i="1" s="1"/>
  <c r="T1841" i="1" s="1"/>
  <c r="I1840" i="1"/>
  <c r="I1839" i="1"/>
  <c r="I1838" i="1"/>
  <c r="I1837" i="1"/>
  <c r="I1836" i="1"/>
  <c r="I1835" i="1"/>
  <c r="I1834" i="1"/>
  <c r="J1834" i="1" s="1"/>
  <c r="I1833" i="1"/>
  <c r="I1832" i="1"/>
  <c r="I1831" i="1"/>
  <c r="J1831" i="1" s="1"/>
  <c r="I1830" i="1"/>
  <c r="I1829" i="1"/>
  <c r="I1828" i="1"/>
  <c r="J1828" i="1" s="1"/>
  <c r="T1828" i="1" s="1"/>
  <c r="I1827" i="1"/>
  <c r="I1826" i="1"/>
  <c r="J1826" i="1" s="1"/>
  <c r="I1824" i="1"/>
  <c r="I1825" i="1"/>
  <c r="I1823" i="1"/>
  <c r="J1823" i="1" s="1"/>
  <c r="I1822" i="1"/>
  <c r="I1821" i="1"/>
  <c r="I1820" i="1"/>
  <c r="J1820" i="1" s="1"/>
  <c r="T1820" i="1" s="1"/>
  <c r="I1819" i="1"/>
  <c r="I1818" i="1"/>
  <c r="J1818" i="1" s="1"/>
  <c r="I1817" i="1"/>
  <c r="J1817" i="1" s="1"/>
  <c r="T1817" i="1" s="1"/>
  <c r="I1816" i="1"/>
  <c r="I1815" i="1"/>
  <c r="I1814" i="1"/>
  <c r="I1813" i="1"/>
  <c r="I1811" i="1"/>
  <c r="I1812" i="1"/>
  <c r="I1810" i="1"/>
  <c r="J1810" i="1" s="1"/>
  <c r="I1809" i="1"/>
  <c r="J1809" i="1" s="1"/>
  <c r="I1808" i="1"/>
  <c r="I1807" i="1"/>
  <c r="I1806" i="1"/>
  <c r="I1805" i="1"/>
  <c r="I1804" i="1"/>
  <c r="I1803" i="1"/>
  <c r="J1803" i="1" s="1"/>
  <c r="T1803" i="1" s="1"/>
  <c r="I1802" i="1"/>
  <c r="J1802" i="1" s="1"/>
  <c r="I1801" i="1"/>
  <c r="J1801" i="1" s="1"/>
  <c r="I1799" i="1"/>
  <c r="I1800" i="1"/>
  <c r="I1798" i="1"/>
  <c r="I1797" i="1"/>
  <c r="I1796" i="1"/>
  <c r="I1795" i="1"/>
  <c r="I1794" i="1"/>
  <c r="J1794" i="1" s="1"/>
  <c r="I1793" i="1"/>
  <c r="J1793" i="1" s="1"/>
  <c r="I1792" i="1"/>
  <c r="J1792" i="1" s="1"/>
  <c r="T1792" i="1" s="1"/>
  <c r="I1791" i="1"/>
  <c r="J1791" i="1" s="1"/>
  <c r="I1789" i="1"/>
  <c r="I1790" i="1"/>
  <c r="I1788" i="1"/>
  <c r="I1787" i="1"/>
  <c r="J1787" i="1" s="1"/>
  <c r="T1787" i="1" s="1"/>
  <c r="I1786" i="1"/>
  <c r="I1784" i="1"/>
  <c r="J1784" i="1" s="1"/>
  <c r="I1785" i="1"/>
  <c r="I1783" i="1"/>
  <c r="I1782" i="1"/>
  <c r="J1782" i="1" s="1"/>
  <c r="I1781" i="1"/>
  <c r="I1780" i="1"/>
  <c r="I1779" i="1"/>
  <c r="I1778" i="1"/>
  <c r="J1778" i="1" s="1"/>
  <c r="I1777" i="1"/>
  <c r="J1777" i="1" s="1"/>
  <c r="T1777" i="1" s="1"/>
  <c r="I1776" i="1"/>
  <c r="I1775" i="1"/>
  <c r="J1775" i="1" s="1"/>
  <c r="I1774" i="1"/>
  <c r="I1773" i="1"/>
  <c r="I1772" i="1"/>
  <c r="I1771" i="1"/>
  <c r="I1770" i="1"/>
  <c r="I1769" i="1"/>
  <c r="J1769" i="1" s="1"/>
  <c r="I1768" i="1"/>
  <c r="I1767" i="1"/>
  <c r="J1767" i="1" s="1"/>
  <c r="I1766" i="1"/>
  <c r="I1765" i="1"/>
  <c r="I1764" i="1"/>
  <c r="I1763" i="1"/>
  <c r="J1763" i="1" s="1"/>
  <c r="T1763" i="1" s="1"/>
  <c r="I1762" i="1"/>
  <c r="J1762" i="1" s="1"/>
  <c r="I1761" i="1"/>
  <c r="I1760" i="1"/>
  <c r="I1759" i="1"/>
  <c r="I1758" i="1"/>
  <c r="I1757" i="1"/>
  <c r="J1757" i="1" s="1"/>
  <c r="T1757" i="1" s="1"/>
  <c r="I1756" i="1"/>
  <c r="I1755" i="1"/>
  <c r="J1755" i="1" s="1"/>
  <c r="T1755" i="1" s="1"/>
  <c r="I1754" i="1"/>
  <c r="I1753" i="1"/>
  <c r="I1752" i="1"/>
  <c r="J1752" i="1" s="1"/>
  <c r="T1752" i="1" s="1"/>
  <c r="I1751" i="1"/>
  <c r="J1751" i="1" s="1"/>
  <c r="I1750" i="1"/>
  <c r="I1749" i="1"/>
  <c r="I1748" i="1"/>
  <c r="I1747" i="1"/>
  <c r="J1747" i="1" s="1"/>
  <c r="T1747" i="1" s="1"/>
  <c r="I1746" i="1"/>
  <c r="I1745" i="1"/>
  <c r="J1745" i="1" s="1"/>
  <c r="I1744" i="1"/>
  <c r="I1743" i="1"/>
  <c r="I1742" i="1"/>
  <c r="I1741" i="1"/>
  <c r="I1740" i="1"/>
  <c r="J1740" i="1" s="1"/>
  <c r="T1740" i="1" s="1"/>
  <c r="I1739" i="1"/>
  <c r="I1738" i="1"/>
  <c r="I1737" i="1"/>
  <c r="J1737" i="1" s="1"/>
  <c r="I1735" i="1"/>
  <c r="I1736" i="1"/>
  <c r="I1734" i="1"/>
  <c r="J1734" i="1" s="1"/>
  <c r="I1733" i="1"/>
  <c r="I1732" i="1"/>
  <c r="I1731" i="1"/>
  <c r="I1730" i="1"/>
  <c r="I1729" i="1"/>
  <c r="J1729" i="1" s="1"/>
  <c r="I1728" i="1"/>
  <c r="J1728" i="1" s="1"/>
  <c r="T1728" i="1" s="1"/>
  <c r="I1727" i="1"/>
  <c r="I1726" i="1"/>
  <c r="I1725" i="1"/>
  <c r="I1724" i="1"/>
  <c r="I1723" i="1"/>
  <c r="I1722" i="1"/>
  <c r="I1721" i="1"/>
  <c r="I1720" i="1"/>
  <c r="J1720" i="1" s="1"/>
  <c r="I1719" i="1"/>
  <c r="J1719" i="1" s="1"/>
  <c r="I1718" i="1"/>
  <c r="I1717" i="1"/>
  <c r="I1715" i="1"/>
  <c r="I1716" i="1"/>
  <c r="I1714" i="1"/>
  <c r="J1714" i="1" s="1"/>
  <c r="I1713" i="1"/>
  <c r="J1713" i="1" s="1"/>
  <c r="T1713" i="1" s="1"/>
  <c r="I1712" i="1"/>
  <c r="I1711" i="1"/>
  <c r="I1710" i="1"/>
  <c r="J1710" i="1" s="1"/>
  <c r="I1709" i="1"/>
  <c r="I1708" i="1"/>
  <c r="I1707" i="1"/>
  <c r="I1706" i="1"/>
  <c r="J1706" i="1" s="1"/>
  <c r="I1705" i="1"/>
  <c r="I1703" i="1"/>
  <c r="I1704" i="1"/>
  <c r="I1702" i="1"/>
  <c r="I1701" i="1"/>
  <c r="I1700" i="1"/>
  <c r="J1700" i="1" s="1"/>
  <c r="T1700" i="1" s="1"/>
  <c r="I1699" i="1"/>
  <c r="I1697" i="1"/>
  <c r="J1697" i="1" s="1"/>
  <c r="T1697" i="1" s="1"/>
  <c r="I1698" i="1"/>
  <c r="I1696" i="1"/>
  <c r="I1695" i="1"/>
  <c r="I1694" i="1"/>
  <c r="I1693" i="1"/>
  <c r="I1692" i="1"/>
  <c r="I1691" i="1"/>
  <c r="I1690" i="1"/>
  <c r="J1690" i="1" s="1"/>
  <c r="I1689" i="1"/>
  <c r="J1689" i="1" s="1"/>
  <c r="T1689" i="1" s="1"/>
  <c r="I1688" i="1"/>
  <c r="J1688" i="1" s="1"/>
  <c r="T1688" i="1" s="1"/>
  <c r="I1687" i="1"/>
  <c r="I1686" i="1"/>
  <c r="J1686" i="1" s="1"/>
  <c r="I1685" i="1"/>
  <c r="J1685" i="1" s="1"/>
  <c r="T1685" i="1" s="1"/>
  <c r="I1684" i="1"/>
  <c r="I1683" i="1"/>
  <c r="I1682" i="1"/>
  <c r="I1681" i="1"/>
  <c r="J1681" i="1" s="1"/>
  <c r="I1680" i="1"/>
  <c r="J1680" i="1" s="1"/>
  <c r="I1679" i="1"/>
  <c r="J1679" i="1" s="1"/>
  <c r="I1678" i="1"/>
  <c r="I1677" i="1"/>
  <c r="I1675" i="1"/>
  <c r="I1676" i="1"/>
  <c r="I1674" i="1"/>
  <c r="I1673" i="1"/>
  <c r="J1673" i="1" s="1"/>
  <c r="I1672" i="1"/>
  <c r="I1671" i="1"/>
  <c r="I1670" i="1"/>
  <c r="J1670" i="1" s="1"/>
  <c r="I1669" i="1"/>
  <c r="I1668" i="1"/>
  <c r="I1667" i="1"/>
  <c r="I1666" i="1"/>
  <c r="I1665" i="1"/>
  <c r="I1664" i="1"/>
  <c r="J1664" i="1" s="1"/>
  <c r="T1664" i="1" s="1"/>
  <c r="I1663" i="1"/>
  <c r="I1662" i="1"/>
  <c r="I1661" i="1"/>
  <c r="I1660" i="1"/>
  <c r="J1660" i="1" s="1"/>
  <c r="T1660" i="1" s="1"/>
  <c r="I1659" i="1"/>
  <c r="I1658" i="1"/>
  <c r="J1658" i="1" s="1"/>
  <c r="I1657" i="1"/>
  <c r="I1656" i="1"/>
  <c r="I1655" i="1"/>
  <c r="I1654" i="1"/>
  <c r="I1653" i="1"/>
  <c r="J1653" i="1" s="1"/>
  <c r="T1653" i="1" s="1"/>
  <c r="I1652" i="1"/>
  <c r="J1652" i="1" s="1"/>
  <c r="T1652" i="1" s="1"/>
  <c r="I1651" i="1"/>
  <c r="J1651" i="1" s="1"/>
  <c r="T1651" i="1" s="1"/>
  <c r="I1649" i="1"/>
  <c r="I1650" i="1"/>
  <c r="I1648" i="1"/>
  <c r="I1647" i="1"/>
  <c r="I1645" i="1"/>
  <c r="I1646" i="1"/>
  <c r="I1644" i="1"/>
  <c r="J1644" i="1" s="1"/>
  <c r="T1644" i="1" s="1"/>
  <c r="I1643" i="1"/>
  <c r="J1643" i="1" s="1"/>
  <c r="T1643" i="1" s="1"/>
  <c r="I1642" i="1"/>
  <c r="I1641" i="1"/>
  <c r="J1641" i="1" s="1"/>
  <c r="I1639" i="1"/>
  <c r="I1640" i="1"/>
  <c r="I1638" i="1"/>
  <c r="I1637" i="1"/>
  <c r="I1635" i="1"/>
  <c r="I1636" i="1"/>
  <c r="I1634" i="1"/>
  <c r="I1633" i="1"/>
  <c r="J1633" i="1" s="1"/>
  <c r="I1632" i="1"/>
  <c r="I1630" i="1"/>
  <c r="I1631" i="1"/>
  <c r="I1629" i="1"/>
  <c r="I1628" i="1"/>
  <c r="I1627" i="1"/>
  <c r="I1625" i="1"/>
  <c r="J1625" i="1" s="1"/>
  <c r="T1625" i="1" s="1"/>
  <c r="I1626" i="1"/>
  <c r="J1626" i="1" s="1"/>
  <c r="I1624" i="1"/>
  <c r="J1624" i="1" s="1"/>
  <c r="T1624" i="1" s="1"/>
  <c r="I1623" i="1"/>
  <c r="I1622" i="1"/>
  <c r="I1621" i="1"/>
  <c r="I1620" i="1"/>
  <c r="I1619" i="1"/>
  <c r="I1618" i="1"/>
  <c r="J1618" i="1" s="1"/>
  <c r="I1617" i="1"/>
  <c r="J1617" i="1" s="1"/>
  <c r="I1616" i="1"/>
  <c r="I1615" i="1"/>
  <c r="I1614" i="1"/>
  <c r="I1613" i="1"/>
  <c r="I1612" i="1"/>
  <c r="I1611" i="1"/>
  <c r="J1611" i="1" s="1"/>
  <c r="T1611" i="1" s="1"/>
  <c r="I1610" i="1"/>
  <c r="J1610" i="1" s="1"/>
  <c r="I1608" i="1"/>
  <c r="J1608" i="1" s="1"/>
  <c r="I1609" i="1"/>
  <c r="I1607" i="1"/>
  <c r="I1605" i="1"/>
  <c r="I1606" i="1"/>
  <c r="I1604" i="1"/>
  <c r="I1603" i="1"/>
  <c r="I1602" i="1"/>
  <c r="I1601" i="1"/>
  <c r="J1601" i="1" s="1"/>
  <c r="I1600" i="1"/>
  <c r="J1600" i="1" s="1"/>
  <c r="I1599" i="1"/>
  <c r="I1598" i="1"/>
  <c r="I1597" i="1"/>
  <c r="I1596" i="1"/>
  <c r="I1595" i="1"/>
  <c r="J1595" i="1" s="1"/>
  <c r="I1593" i="1"/>
  <c r="I1594" i="1"/>
  <c r="I1592" i="1"/>
  <c r="J1592" i="1" s="1"/>
  <c r="I1591" i="1"/>
  <c r="I1590" i="1"/>
  <c r="I1589" i="1"/>
  <c r="J1589" i="1" s="1"/>
  <c r="T1589" i="1" s="1"/>
  <c r="I1588" i="1"/>
  <c r="I1587" i="1"/>
  <c r="J1587" i="1" s="1"/>
  <c r="I1586" i="1"/>
  <c r="I1585" i="1"/>
  <c r="I1584" i="1"/>
  <c r="J1584" i="1" s="1"/>
  <c r="I1583" i="1"/>
  <c r="I1582" i="1"/>
  <c r="I1581" i="1"/>
  <c r="J1581" i="1" s="1"/>
  <c r="T1581" i="1" s="1"/>
  <c r="I1580" i="1"/>
  <c r="I1579" i="1"/>
  <c r="J1579" i="1" s="1"/>
  <c r="I1578" i="1"/>
  <c r="J1578" i="1" s="1"/>
  <c r="I1577" i="1"/>
  <c r="I1576" i="1"/>
  <c r="J1576" i="1" s="1"/>
  <c r="I1575" i="1"/>
  <c r="J1575" i="1" s="1"/>
  <c r="I1574" i="1"/>
  <c r="I1572" i="1"/>
  <c r="I1573" i="1"/>
  <c r="I1571" i="1"/>
  <c r="J1571" i="1" s="1"/>
  <c r="I1570" i="1"/>
  <c r="J1570" i="1" s="1"/>
  <c r="I1569" i="1"/>
  <c r="I1568" i="1"/>
  <c r="I1567" i="1"/>
  <c r="I1566" i="1"/>
  <c r="I1565" i="1"/>
  <c r="I1563" i="1"/>
  <c r="I1564" i="1"/>
  <c r="I1562" i="1"/>
  <c r="I1561" i="1"/>
  <c r="J1561" i="1" s="1"/>
  <c r="I1560" i="1"/>
  <c r="J1560" i="1" s="1"/>
  <c r="I1559" i="1"/>
  <c r="J1559" i="1" s="1"/>
  <c r="I1558" i="1"/>
  <c r="I1557" i="1"/>
  <c r="I1556" i="1"/>
  <c r="I1555" i="1"/>
  <c r="J1555" i="1" s="1"/>
  <c r="I1554" i="1"/>
  <c r="I1553" i="1"/>
  <c r="J1553" i="1" s="1"/>
  <c r="I1552" i="1"/>
  <c r="I1551" i="1"/>
  <c r="I1550" i="1"/>
  <c r="I1549" i="1"/>
  <c r="I1548" i="1"/>
  <c r="I1547" i="1"/>
  <c r="I1546" i="1"/>
  <c r="J1546" i="1" s="1"/>
  <c r="I1545" i="1"/>
  <c r="J1545" i="1" s="1"/>
  <c r="I1544" i="1"/>
  <c r="I1543" i="1"/>
  <c r="J1543" i="1" s="1"/>
  <c r="I1542" i="1"/>
  <c r="J1542" i="1" s="1"/>
  <c r="I1541" i="1"/>
  <c r="I1540" i="1"/>
  <c r="I1539" i="1"/>
  <c r="J1539" i="1" s="1"/>
  <c r="I1538" i="1"/>
  <c r="J1538" i="1" s="1"/>
  <c r="I1537" i="1"/>
  <c r="J1537" i="1" s="1"/>
  <c r="I1536" i="1"/>
  <c r="I1535" i="1"/>
  <c r="J1535" i="1" s="1"/>
  <c r="I1534" i="1"/>
  <c r="I1533" i="1"/>
  <c r="I1532" i="1"/>
  <c r="I1531" i="1"/>
  <c r="I1530" i="1"/>
  <c r="I1529" i="1"/>
  <c r="J1529" i="1" s="1"/>
  <c r="I1527" i="1"/>
  <c r="I1528" i="1"/>
  <c r="I1526" i="1"/>
  <c r="J1526" i="1" s="1"/>
  <c r="I1525" i="1"/>
  <c r="I1524" i="1"/>
  <c r="I1523" i="1"/>
  <c r="J1523" i="1" s="1"/>
  <c r="I1522" i="1"/>
  <c r="I1521" i="1"/>
  <c r="I1520" i="1"/>
  <c r="J1520" i="1" s="1"/>
  <c r="I1519" i="1"/>
  <c r="I1518" i="1"/>
  <c r="I1517" i="1"/>
  <c r="I1516" i="1"/>
  <c r="I1515" i="1"/>
  <c r="I1514" i="1"/>
  <c r="J1514" i="1" s="1"/>
  <c r="I1513" i="1"/>
  <c r="I1512" i="1"/>
  <c r="I1511" i="1"/>
  <c r="J1511" i="1" s="1"/>
  <c r="I1509" i="1"/>
  <c r="I1510" i="1"/>
  <c r="I1508" i="1"/>
  <c r="I1507" i="1"/>
  <c r="I1506" i="1"/>
  <c r="J1506" i="1" s="1"/>
  <c r="I1504" i="1"/>
  <c r="I1505" i="1"/>
  <c r="I1503" i="1"/>
  <c r="I1502" i="1"/>
  <c r="J1502" i="1" s="1"/>
  <c r="I1501" i="1"/>
  <c r="I1500" i="1"/>
  <c r="I1499" i="1"/>
  <c r="I1498" i="1"/>
  <c r="J1498" i="1" s="1"/>
  <c r="I1497" i="1"/>
  <c r="J1497" i="1" s="1"/>
  <c r="I1496" i="1"/>
  <c r="I1495" i="1"/>
  <c r="I1494" i="1"/>
  <c r="I1493" i="1"/>
  <c r="I1492" i="1"/>
  <c r="I1491" i="1"/>
  <c r="I1490" i="1"/>
  <c r="J1490" i="1" s="1"/>
  <c r="I1489" i="1"/>
  <c r="J1489" i="1" s="1"/>
  <c r="I1488" i="1"/>
  <c r="J1488" i="1" s="1"/>
  <c r="I1487" i="1"/>
  <c r="I1486" i="1"/>
  <c r="I1485" i="1"/>
  <c r="I1484" i="1"/>
  <c r="I1483" i="1"/>
  <c r="J1483" i="1" s="1"/>
  <c r="I1482" i="1"/>
  <c r="J1482" i="1" s="1"/>
  <c r="I1480" i="1"/>
  <c r="I1481" i="1"/>
  <c r="I1479" i="1"/>
  <c r="I1478" i="1"/>
  <c r="I1477" i="1"/>
  <c r="I1476" i="1"/>
  <c r="I1475" i="1"/>
  <c r="I1474" i="1"/>
  <c r="J1474" i="1" s="1"/>
  <c r="I1473" i="1"/>
  <c r="I1472" i="1"/>
  <c r="J1472" i="1" s="1"/>
  <c r="I1471" i="1"/>
  <c r="J1471" i="1" s="1"/>
  <c r="I1470" i="1"/>
  <c r="J1470" i="1" s="1"/>
  <c r="I1469" i="1"/>
  <c r="I1468" i="1"/>
  <c r="I1467" i="1"/>
  <c r="I1466" i="1"/>
  <c r="J1466" i="1" s="1"/>
  <c r="I1465" i="1"/>
  <c r="I1464" i="1"/>
  <c r="J1464" i="1" s="1"/>
  <c r="I1463" i="1"/>
  <c r="I1461" i="1"/>
  <c r="J1461" i="1" s="1"/>
  <c r="I1462" i="1"/>
  <c r="I1459" i="1"/>
  <c r="I1460" i="1"/>
  <c r="I1458" i="1"/>
  <c r="I1457" i="1"/>
  <c r="I1456" i="1"/>
  <c r="I1455" i="1"/>
  <c r="I1454" i="1"/>
  <c r="I1453" i="1"/>
  <c r="I1452" i="1"/>
  <c r="I1451" i="1"/>
  <c r="I1450" i="1"/>
  <c r="I1449" i="1"/>
  <c r="I1448" i="1"/>
  <c r="I1447" i="1"/>
  <c r="J1447" i="1" s="1"/>
  <c r="I1446" i="1"/>
  <c r="I1445" i="1"/>
  <c r="I1444" i="1"/>
  <c r="I1443" i="1"/>
  <c r="I1442" i="1"/>
  <c r="I1441" i="1"/>
  <c r="J1441" i="1" s="1"/>
  <c r="I1440" i="1"/>
  <c r="I1439" i="1"/>
  <c r="I1438" i="1"/>
  <c r="J1438" i="1" s="1"/>
  <c r="I1437" i="1"/>
  <c r="I1436" i="1"/>
  <c r="I1434" i="1"/>
  <c r="I1435" i="1"/>
  <c r="J1435" i="1" s="1"/>
  <c r="I1433" i="1"/>
  <c r="I1432" i="1"/>
  <c r="I1431" i="1"/>
  <c r="I1430" i="1"/>
  <c r="I1429" i="1"/>
  <c r="I1428" i="1"/>
  <c r="J1428" i="1" s="1"/>
  <c r="T1428" i="1" s="1"/>
  <c r="I1427" i="1"/>
  <c r="J1427" i="1" s="1"/>
  <c r="I1426" i="1"/>
  <c r="J1426" i="1" s="1"/>
  <c r="I1425" i="1"/>
  <c r="I1424" i="1"/>
  <c r="I1423" i="1"/>
  <c r="I1422" i="1"/>
  <c r="I1421" i="1"/>
  <c r="I1419" i="1"/>
  <c r="I1420" i="1"/>
  <c r="I1418" i="1"/>
  <c r="J1418" i="1" s="1"/>
  <c r="I1417" i="1"/>
  <c r="I1416" i="1"/>
  <c r="I1415" i="1"/>
  <c r="I1414" i="1"/>
  <c r="I1413" i="1"/>
  <c r="I1412" i="1"/>
  <c r="I1411" i="1"/>
  <c r="I1410" i="1"/>
  <c r="J1410" i="1" s="1"/>
  <c r="I1408" i="1"/>
  <c r="I1409" i="1"/>
  <c r="J1409" i="1" s="1"/>
  <c r="I1407" i="1"/>
  <c r="I1406" i="1"/>
  <c r="J1406" i="1" s="1"/>
  <c r="I1405" i="1"/>
  <c r="I1404" i="1"/>
  <c r="J1404" i="1" s="1"/>
  <c r="T1404" i="1" s="1"/>
  <c r="I1403" i="1"/>
  <c r="I1402" i="1"/>
  <c r="I1400" i="1"/>
  <c r="I1401" i="1"/>
  <c r="I1399" i="1"/>
  <c r="I1398" i="1"/>
  <c r="I1397" i="1"/>
  <c r="I1396" i="1"/>
  <c r="I1395" i="1"/>
  <c r="J1395" i="1" s="1"/>
  <c r="I1394" i="1"/>
  <c r="I1393" i="1"/>
  <c r="I1391" i="1"/>
  <c r="I1392" i="1"/>
  <c r="I1390" i="1"/>
  <c r="I1389" i="1"/>
  <c r="I1388" i="1"/>
  <c r="I1387" i="1"/>
  <c r="J1387" i="1" s="1"/>
  <c r="I1386" i="1"/>
  <c r="J1386" i="1" s="1"/>
  <c r="I1385" i="1"/>
  <c r="I1384" i="1"/>
  <c r="J1384" i="1" s="1"/>
  <c r="I1382" i="1"/>
  <c r="I1383" i="1"/>
  <c r="I1381" i="1"/>
  <c r="J1381" i="1" s="1"/>
  <c r="T1381" i="1" s="1"/>
  <c r="I1380" i="1"/>
  <c r="I1379" i="1"/>
  <c r="J1379" i="1" s="1"/>
  <c r="I1378" i="1"/>
  <c r="I1377" i="1"/>
  <c r="I1376" i="1"/>
  <c r="I1375" i="1"/>
  <c r="I1374" i="1"/>
  <c r="I1373" i="1"/>
  <c r="I1371" i="1"/>
  <c r="I1372" i="1"/>
  <c r="I1370" i="1"/>
  <c r="J1370" i="1" s="1"/>
  <c r="I1369" i="1"/>
  <c r="I1368" i="1"/>
  <c r="I1367" i="1"/>
  <c r="J1367" i="1" s="1"/>
  <c r="I1366" i="1"/>
  <c r="I1365" i="1"/>
  <c r="J1365" i="1" s="1"/>
  <c r="T1365" i="1" s="1"/>
  <c r="I1364" i="1"/>
  <c r="I1363" i="1"/>
  <c r="I1362" i="1"/>
  <c r="J1362" i="1" s="1"/>
  <c r="I1361" i="1"/>
  <c r="I1360" i="1"/>
  <c r="I1358" i="1"/>
  <c r="I1359" i="1"/>
  <c r="J1359" i="1" s="1"/>
  <c r="I1357" i="1"/>
  <c r="J1357" i="1" s="1"/>
  <c r="T1357" i="1" s="1"/>
  <c r="I1356" i="1"/>
  <c r="I1355" i="1"/>
  <c r="I1354" i="1"/>
  <c r="J1354" i="1" s="1"/>
  <c r="I1353" i="1"/>
  <c r="I1352" i="1"/>
  <c r="I1351" i="1"/>
  <c r="I1350" i="1"/>
  <c r="I1349" i="1"/>
  <c r="I1348" i="1"/>
  <c r="I1347" i="1"/>
  <c r="I1346" i="1"/>
  <c r="I1345" i="1"/>
  <c r="I1344" i="1"/>
  <c r="I1343" i="1"/>
  <c r="I1342" i="1"/>
  <c r="J1342" i="1" s="1"/>
  <c r="I1341" i="1"/>
  <c r="I1339" i="1"/>
  <c r="I1340" i="1"/>
  <c r="I1338" i="1"/>
  <c r="I1337" i="1"/>
  <c r="J1337" i="1" s="1"/>
  <c r="I1336" i="1"/>
  <c r="I1335" i="1"/>
  <c r="I1334" i="1"/>
  <c r="I1333" i="1"/>
  <c r="J1333" i="1" s="1"/>
  <c r="I1332" i="1"/>
  <c r="I1331" i="1"/>
  <c r="I1330" i="1"/>
  <c r="I1329" i="1"/>
  <c r="I1328" i="1"/>
  <c r="J1328" i="1" s="1"/>
  <c r="I1327" i="1"/>
  <c r="J1327" i="1" s="1"/>
  <c r="I1326" i="1"/>
  <c r="I1325" i="1"/>
  <c r="J1325" i="1" s="1"/>
  <c r="I1324" i="1"/>
  <c r="J1324" i="1" s="1"/>
  <c r="I1323" i="1"/>
  <c r="I1322" i="1"/>
  <c r="I1321" i="1"/>
  <c r="J1321" i="1" s="1"/>
  <c r="I1320" i="1"/>
  <c r="I1319" i="1"/>
  <c r="I1318" i="1"/>
  <c r="I1317" i="1"/>
  <c r="J1317" i="1" s="1"/>
  <c r="I1316" i="1"/>
  <c r="I1315" i="1"/>
  <c r="J1315" i="1" s="1"/>
  <c r="T1315" i="1" s="1"/>
  <c r="I1314" i="1"/>
  <c r="J1314" i="1" s="1"/>
  <c r="T1314" i="1" s="1"/>
  <c r="I1313" i="1"/>
  <c r="I1312" i="1"/>
  <c r="I1311" i="1"/>
  <c r="I1310" i="1"/>
  <c r="I1309" i="1"/>
  <c r="J1309" i="1" s="1"/>
  <c r="I1308" i="1"/>
  <c r="I1307" i="1"/>
  <c r="I1306" i="1"/>
  <c r="I1305" i="1"/>
  <c r="I1304" i="1"/>
  <c r="I1303" i="1"/>
  <c r="I1302" i="1"/>
  <c r="J1302" i="1" s="1"/>
  <c r="I1301" i="1"/>
  <c r="I1300" i="1"/>
  <c r="J1300" i="1" s="1"/>
  <c r="T1300" i="1" s="1"/>
  <c r="I1299" i="1"/>
  <c r="I1298" i="1"/>
  <c r="J1298" i="1" s="1"/>
  <c r="I1297" i="1"/>
  <c r="I1296" i="1"/>
  <c r="I1295" i="1"/>
  <c r="J1295" i="1" s="1"/>
  <c r="I1294" i="1"/>
  <c r="I1293" i="1"/>
  <c r="J1293" i="1" s="1"/>
  <c r="I1292" i="1"/>
  <c r="J1292" i="1" s="1"/>
  <c r="I1291" i="1"/>
  <c r="I1290" i="1"/>
  <c r="J1290" i="1" s="1"/>
  <c r="T1290" i="1" s="1"/>
  <c r="I1289" i="1"/>
  <c r="I1288" i="1"/>
  <c r="I1287" i="1"/>
  <c r="I1286" i="1"/>
  <c r="I1285" i="1"/>
  <c r="I1284" i="1"/>
  <c r="J1284" i="1" s="1"/>
  <c r="I1283" i="1"/>
  <c r="I1282" i="1"/>
  <c r="J1282" i="1" s="1"/>
  <c r="T1282" i="1" s="1"/>
  <c r="I1281" i="1"/>
  <c r="I1280" i="1"/>
  <c r="J1280" i="1" s="1"/>
  <c r="I1279" i="1"/>
  <c r="I1278" i="1"/>
  <c r="I1277" i="1"/>
  <c r="I1276" i="1"/>
  <c r="I1275" i="1"/>
  <c r="I1274" i="1"/>
  <c r="J1274" i="1" s="1"/>
  <c r="I1273" i="1"/>
  <c r="J1273" i="1" s="1"/>
  <c r="I1272" i="1"/>
  <c r="I1271" i="1"/>
  <c r="J1271" i="1" s="1"/>
  <c r="I1270" i="1"/>
  <c r="I1269" i="1"/>
  <c r="I1268" i="1"/>
  <c r="I1266" i="1"/>
  <c r="I1267" i="1"/>
  <c r="J1267" i="1" s="1"/>
  <c r="I1265" i="1"/>
  <c r="I1264" i="1"/>
  <c r="I1263" i="1"/>
  <c r="I1262" i="1"/>
  <c r="J1262" i="1" s="1"/>
  <c r="I1261" i="1"/>
  <c r="J1261" i="1" s="1"/>
  <c r="I1260" i="1"/>
  <c r="I1259" i="1"/>
  <c r="I1258" i="1"/>
  <c r="J1258" i="1" s="1"/>
  <c r="T1258" i="1" s="1"/>
  <c r="I1257" i="1"/>
  <c r="I1256" i="1"/>
  <c r="I1255" i="1"/>
  <c r="J1255" i="1" s="1"/>
  <c r="I1254" i="1"/>
  <c r="I1253" i="1"/>
  <c r="I1252" i="1"/>
  <c r="I1251" i="1"/>
  <c r="I1250" i="1"/>
  <c r="J1250" i="1" s="1"/>
  <c r="T1250" i="1" s="1"/>
  <c r="I1249" i="1"/>
  <c r="I1248" i="1"/>
  <c r="I1247" i="1"/>
  <c r="I1246" i="1"/>
  <c r="I1245" i="1"/>
  <c r="I1244" i="1"/>
  <c r="I1243" i="1"/>
  <c r="I1242" i="1"/>
  <c r="J1242" i="1" s="1"/>
  <c r="I1241" i="1"/>
  <c r="I1240" i="1"/>
  <c r="I1239" i="1"/>
  <c r="J1239" i="1" s="1"/>
  <c r="I1237" i="1"/>
  <c r="I1238" i="1"/>
  <c r="I1236" i="1"/>
  <c r="I1235" i="1"/>
  <c r="I1234" i="1"/>
  <c r="J1234" i="1" s="1"/>
  <c r="I1233" i="1"/>
  <c r="I1232" i="1"/>
  <c r="I1231" i="1"/>
  <c r="I1230" i="1"/>
  <c r="I1229" i="1"/>
  <c r="I1228" i="1"/>
  <c r="I1227" i="1"/>
  <c r="I1226" i="1"/>
  <c r="J1226" i="1" s="1"/>
  <c r="T1226" i="1" s="1"/>
  <c r="I1225" i="1"/>
  <c r="J1225" i="1" s="1"/>
  <c r="I1224" i="1"/>
  <c r="I1223" i="1"/>
  <c r="I1222" i="1"/>
  <c r="I1221" i="1"/>
  <c r="I1220" i="1"/>
  <c r="J1220" i="1" s="1"/>
  <c r="I1219" i="1"/>
  <c r="I1218" i="1"/>
  <c r="J1218" i="1" s="1"/>
  <c r="T1218" i="1" s="1"/>
  <c r="I1217" i="1"/>
  <c r="I1216" i="1"/>
  <c r="I1215" i="1"/>
  <c r="I1214" i="1"/>
  <c r="I1213" i="1"/>
  <c r="J1213" i="1" s="1"/>
  <c r="I1212" i="1"/>
  <c r="I1211" i="1"/>
  <c r="I1210" i="1"/>
  <c r="J1210" i="1" s="1"/>
  <c r="I1209" i="1"/>
  <c r="I1208" i="1"/>
  <c r="I1207" i="1"/>
  <c r="J1207" i="1" s="1"/>
  <c r="T1207" i="1" s="1"/>
  <c r="I1206" i="1"/>
  <c r="I1205" i="1"/>
  <c r="J1205" i="1" s="1"/>
  <c r="I1204" i="1"/>
  <c r="J1204" i="1" s="1"/>
  <c r="T1204" i="1" s="1"/>
  <c r="I1203" i="1"/>
  <c r="I1202" i="1"/>
  <c r="J1202" i="1" s="1"/>
  <c r="I1200" i="1"/>
  <c r="J1200" i="1" s="1"/>
  <c r="I1201" i="1"/>
  <c r="J1201" i="1" s="1"/>
  <c r="I1199" i="1"/>
  <c r="J1199" i="1" s="1"/>
  <c r="I1198" i="1"/>
  <c r="I1197" i="1"/>
  <c r="I1196" i="1"/>
  <c r="I1195" i="1"/>
  <c r="I1194" i="1"/>
  <c r="J1194" i="1" s="1"/>
  <c r="T1194" i="1" s="1"/>
  <c r="I1193" i="1"/>
  <c r="I1192" i="1"/>
  <c r="I1191" i="1"/>
  <c r="J1191" i="1" s="1"/>
  <c r="I1190" i="1"/>
  <c r="I1189" i="1"/>
  <c r="I1188" i="1"/>
  <c r="I1187" i="1"/>
  <c r="I1186" i="1"/>
  <c r="I1185" i="1"/>
  <c r="I1184" i="1"/>
  <c r="J1184" i="1" s="1"/>
  <c r="I1183" i="1"/>
  <c r="I1182" i="1"/>
  <c r="I1181" i="1"/>
  <c r="I1180" i="1"/>
  <c r="I1179" i="1"/>
  <c r="I1178" i="1"/>
  <c r="I1177" i="1"/>
  <c r="I1175" i="1"/>
  <c r="I1176" i="1"/>
  <c r="I1174" i="1"/>
  <c r="I1173" i="1"/>
  <c r="I1172" i="1"/>
  <c r="I1171" i="1"/>
  <c r="I1170" i="1"/>
  <c r="J1170" i="1" s="1"/>
  <c r="I1169" i="1"/>
  <c r="I1168" i="1"/>
  <c r="I1167" i="1"/>
  <c r="I1166" i="1"/>
  <c r="I1165" i="1"/>
  <c r="I1164" i="1"/>
  <c r="I1163" i="1"/>
  <c r="I1162" i="1"/>
  <c r="J1162" i="1" s="1"/>
  <c r="T1162" i="1" s="1"/>
  <c r="I1161" i="1"/>
  <c r="J1161" i="1" s="1"/>
  <c r="I1160" i="1"/>
  <c r="J1160" i="1" s="1"/>
  <c r="I1159" i="1"/>
  <c r="I1158" i="1"/>
  <c r="I1157" i="1"/>
  <c r="I1156" i="1"/>
  <c r="J1156" i="1" s="1"/>
  <c r="I1155" i="1"/>
  <c r="J1155" i="1" s="1"/>
  <c r="T1155" i="1" s="1"/>
  <c r="I1154" i="1"/>
  <c r="J1154" i="1" s="1"/>
  <c r="T1154" i="1" s="1"/>
  <c r="I1153" i="1"/>
  <c r="I1152" i="1"/>
  <c r="J1152" i="1" s="1"/>
  <c r="I1151" i="1"/>
  <c r="J1151" i="1" s="1"/>
  <c r="I1150" i="1"/>
  <c r="I1149" i="1"/>
  <c r="I1148" i="1"/>
  <c r="I1147" i="1"/>
  <c r="I1146" i="1"/>
  <c r="J1146" i="1" s="1"/>
  <c r="I1145" i="1"/>
  <c r="I1144" i="1"/>
  <c r="I1143" i="1"/>
  <c r="J1143" i="1" s="1"/>
  <c r="I1142" i="1"/>
  <c r="J1142" i="1" s="1"/>
  <c r="I1140" i="1"/>
  <c r="I1141" i="1"/>
  <c r="J1141" i="1" s="1"/>
  <c r="I1139" i="1"/>
  <c r="J1139" i="1" s="1"/>
  <c r="I1138" i="1"/>
  <c r="I1137" i="1"/>
  <c r="I1136" i="1"/>
  <c r="I1135" i="1"/>
  <c r="I1134" i="1"/>
  <c r="I1133" i="1"/>
  <c r="J1133" i="1" s="1"/>
  <c r="I1132" i="1"/>
  <c r="J1132" i="1" s="1"/>
  <c r="I1131" i="1"/>
  <c r="I1130" i="1"/>
  <c r="J1130" i="1" s="1"/>
  <c r="T1130" i="1" s="1"/>
  <c r="I1129" i="1"/>
  <c r="I1128" i="1"/>
  <c r="J1128" i="1" s="1"/>
  <c r="T1128" i="1" s="1"/>
  <c r="I1127" i="1"/>
  <c r="I1126" i="1"/>
  <c r="I1125" i="1"/>
  <c r="I1124" i="1"/>
  <c r="I1123" i="1"/>
  <c r="I1122" i="1"/>
  <c r="I1121" i="1"/>
  <c r="I1120" i="1"/>
  <c r="I1119" i="1"/>
  <c r="I1118" i="1"/>
  <c r="I1117" i="1"/>
  <c r="I1116" i="1"/>
  <c r="I1115" i="1"/>
  <c r="J1115" i="1" s="1"/>
  <c r="T1115" i="1" s="1"/>
  <c r="I1114" i="1"/>
  <c r="J1114" i="1" s="1"/>
  <c r="I1113" i="1"/>
  <c r="J1113" i="1" s="1"/>
  <c r="I1112" i="1"/>
  <c r="J1112" i="1" s="1"/>
  <c r="I1111" i="1"/>
  <c r="I1110" i="1"/>
  <c r="I1109" i="1"/>
  <c r="I1108" i="1"/>
  <c r="J1108" i="1" s="1"/>
  <c r="T1108" i="1" s="1"/>
  <c r="I1107" i="1"/>
  <c r="I1106" i="1"/>
  <c r="I1105" i="1"/>
  <c r="I1104" i="1"/>
  <c r="I1102" i="1"/>
  <c r="I1103" i="1"/>
  <c r="I1101" i="1"/>
  <c r="I1100" i="1"/>
  <c r="I1099" i="1"/>
  <c r="I1098" i="1"/>
  <c r="J1098" i="1" s="1"/>
  <c r="I1097" i="1"/>
  <c r="I1096" i="1"/>
  <c r="I1095" i="1"/>
  <c r="I1094" i="1"/>
  <c r="I1093" i="1"/>
  <c r="I1091" i="1"/>
  <c r="I1092" i="1"/>
  <c r="I1090" i="1"/>
  <c r="J1090" i="1" s="1"/>
  <c r="I1088" i="1"/>
  <c r="I1089" i="1"/>
  <c r="I1087" i="1"/>
  <c r="I1086" i="1"/>
  <c r="I1085" i="1"/>
  <c r="I1084" i="1"/>
  <c r="J1084" i="1" s="1"/>
  <c r="I1083" i="1"/>
  <c r="I1082" i="1"/>
  <c r="J1082" i="1" s="1"/>
  <c r="I1081" i="1"/>
  <c r="I1080" i="1"/>
  <c r="I1079" i="1"/>
  <c r="J1079" i="1" s="1"/>
  <c r="I1078" i="1"/>
  <c r="I1077" i="1"/>
  <c r="I1076" i="1"/>
  <c r="I1075" i="1"/>
  <c r="I1074" i="1"/>
  <c r="J1074" i="1" s="1"/>
  <c r="I1073" i="1"/>
  <c r="I1072" i="1"/>
  <c r="I1071" i="1"/>
  <c r="J1071" i="1" s="1"/>
  <c r="T1071" i="1" s="1"/>
  <c r="I1069" i="1"/>
  <c r="I1070" i="1"/>
  <c r="I1068" i="1"/>
  <c r="J1068" i="1" s="1"/>
  <c r="T1068" i="1" s="1"/>
  <c r="I1067" i="1"/>
  <c r="I1066" i="1"/>
  <c r="I1065" i="1"/>
  <c r="I1064" i="1"/>
  <c r="I1063" i="1"/>
  <c r="I1062" i="1"/>
  <c r="I1061" i="1"/>
  <c r="I1060" i="1"/>
  <c r="J1060" i="1" s="1"/>
  <c r="I1059" i="1"/>
  <c r="I1057" i="1"/>
  <c r="I1058" i="1"/>
  <c r="I1056" i="1"/>
  <c r="I1055" i="1"/>
  <c r="I1054" i="1"/>
  <c r="I1053" i="1"/>
  <c r="I1052" i="1"/>
  <c r="J1052" i="1" s="1"/>
  <c r="T1052" i="1" s="1"/>
  <c r="I1051" i="1"/>
  <c r="I1050" i="1"/>
  <c r="I1049" i="1"/>
  <c r="J1049" i="1" s="1"/>
  <c r="I1048" i="1"/>
  <c r="I1047" i="1"/>
  <c r="I1046" i="1"/>
  <c r="I1045" i="1"/>
  <c r="I1044" i="1"/>
  <c r="I1043" i="1"/>
  <c r="I1042" i="1"/>
  <c r="I1041" i="1"/>
  <c r="J1041" i="1" s="1"/>
  <c r="I1040" i="1"/>
  <c r="I1039" i="1"/>
  <c r="I1038" i="1"/>
  <c r="I1037" i="1"/>
  <c r="I1036" i="1"/>
  <c r="I1035" i="1"/>
  <c r="I1034" i="1"/>
  <c r="I1033" i="1"/>
  <c r="J1033" i="1" s="1"/>
  <c r="I1032" i="1"/>
  <c r="I1031" i="1"/>
  <c r="I1030" i="1"/>
  <c r="I1029" i="1"/>
  <c r="I1028" i="1"/>
  <c r="I1027" i="1"/>
  <c r="J1027" i="1" s="1"/>
  <c r="I1026" i="1"/>
  <c r="J1026" i="1" s="1"/>
  <c r="I1025" i="1"/>
  <c r="I1024" i="1"/>
  <c r="I1023" i="1"/>
  <c r="J1023" i="1" s="1"/>
  <c r="I1021" i="1"/>
  <c r="I1022" i="1"/>
  <c r="I1020" i="1"/>
  <c r="I1019" i="1"/>
  <c r="J1019" i="1" s="1"/>
  <c r="T1019" i="1" s="1"/>
  <c r="I1018" i="1"/>
  <c r="I1017" i="1"/>
  <c r="I1016" i="1"/>
  <c r="I1015" i="1"/>
  <c r="J1015" i="1" s="1"/>
  <c r="I1014" i="1"/>
  <c r="J1014" i="1" s="1"/>
  <c r="I1013" i="1"/>
  <c r="I1012" i="1"/>
  <c r="I1011" i="1"/>
  <c r="I1010" i="1"/>
  <c r="I1009" i="1"/>
  <c r="J1009" i="1" s="1"/>
  <c r="I1008" i="1"/>
  <c r="J1008" i="1" s="1"/>
  <c r="I1007" i="1"/>
  <c r="J1007" i="1" s="1"/>
  <c r="I1006" i="1"/>
  <c r="I1005" i="1"/>
  <c r="I1004" i="1"/>
  <c r="I1003" i="1"/>
  <c r="I1002" i="1"/>
  <c r="I1001" i="1"/>
  <c r="I999" i="1"/>
  <c r="I1000" i="1"/>
  <c r="I998" i="1"/>
  <c r="I997" i="1"/>
  <c r="I996" i="1"/>
  <c r="I995" i="1"/>
  <c r="I994" i="1"/>
  <c r="J994" i="1" s="1"/>
  <c r="I993" i="1"/>
  <c r="J993" i="1" s="1"/>
  <c r="I992" i="1"/>
  <c r="J992" i="1" s="1"/>
  <c r="I991" i="1"/>
  <c r="I990" i="1"/>
  <c r="I989" i="1"/>
  <c r="I988" i="1"/>
  <c r="J988" i="1" s="1"/>
  <c r="I987" i="1"/>
  <c r="J987" i="1" s="1"/>
  <c r="T987" i="1" s="1"/>
  <c r="I986" i="1"/>
  <c r="J986" i="1" s="1"/>
  <c r="I985" i="1"/>
  <c r="I984" i="1"/>
  <c r="J984" i="1" s="1"/>
  <c r="I983" i="1"/>
  <c r="I982" i="1"/>
  <c r="I981" i="1"/>
  <c r="J981" i="1" s="1"/>
  <c r="I979" i="1"/>
  <c r="I980" i="1"/>
  <c r="I978" i="1"/>
  <c r="I977" i="1"/>
  <c r="J977" i="1" s="1"/>
  <c r="I976" i="1"/>
  <c r="I975" i="1"/>
  <c r="J975" i="1" s="1"/>
  <c r="I974" i="1"/>
  <c r="J974" i="1" s="1"/>
  <c r="I973" i="1"/>
  <c r="I972" i="1"/>
  <c r="I971" i="1"/>
  <c r="I970" i="1"/>
  <c r="J970" i="1" s="1"/>
  <c r="I969" i="1"/>
  <c r="I968" i="1"/>
  <c r="I967" i="1"/>
  <c r="J967" i="1" s="1"/>
  <c r="I966" i="1"/>
  <c r="J966" i="1" s="1"/>
  <c r="I965" i="1"/>
  <c r="I964" i="1"/>
  <c r="I963" i="1"/>
  <c r="I962" i="1"/>
  <c r="I961" i="1"/>
  <c r="I960" i="1"/>
  <c r="I959" i="1"/>
  <c r="I958" i="1"/>
  <c r="I957" i="1"/>
  <c r="I956" i="1"/>
  <c r="I955" i="1"/>
  <c r="I954" i="1"/>
  <c r="I953" i="1"/>
  <c r="J953" i="1" s="1"/>
  <c r="I951" i="1"/>
  <c r="I952" i="1"/>
  <c r="I950" i="1"/>
  <c r="I949" i="1"/>
  <c r="I948" i="1"/>
  <c r="I947" i="1"/>
  <c r="I946" i="1"/>
  <c r="J946" i="1" s="1"/>
  <c r="I945" i="1"/>
  <c r="J945" i="1" s="1"/>
  <c r="I944" i="1"/>
  <c r="J944" i="1" s="1"/>
  <c r="I943" i="1"/>
  <c r="I942" i="1"/>
  <c r="I941" i="1"/>
  <c r="I940" i="1"/>
  <c r="J940" i="1" s="1"/>
  <c r="I939" i="1"/>
  <c r="I938" i="1"/>
  <c r="I937" i="1"/>
  <c r="J937" i="1" s="1"/>
  <c r="I936" i="1"/>
  <c r="I935" i="1"/>
  <c r="I934" i="1"/>
  <c r="I933" i="1"/>
  <c r="I931" i="1"/>
  <c r="J931" i="1" s="1"/>
  <c r="I932" i="1"/>
  <c r="I930" i="1"/>
  <c r="I929" i="1"/>
  <c r="I928" i="1"/>
  <c r="I927" i="1"/>
  <c r="J927" i="1" s="1"/>
  <c r="I926" i="1"/>
  <c r="I925" i="1"/>
  <c r="I924" i="1"/>
  <c r="I923" i="1"/>
  <c r="J923" i="1" s="1"/>
  <c r="T923" i="1" s="1"/>
  <c r="I922" i="1"/>
  <c r="J922" i="1" s="1"/>
  <c r="I921" i="1"/>
  <c r="J921" i="1" s="1"/>
  <c r="I920" i="1"/>
  <c r="I919" i="1"/>
  <c r="I918" i="1"/>
  <c r="J918" i="1" s="1"/>
  <c r="I917" i="1"/>
  <c r="J917" i="1" s="1"/>
  <c r="T917" i="1" s="1"/>
  <c r="I916" i="1"/>
  <c r="J916" i="1" s="1"/>
  <c r="I915" i="1"/>
  <c r="I914" i="1"/>
  <c r="J914" i="1" s="1"/>
  <c r="I913" i="1"/>
  <c r="I912" i="1"/>
  <c r="I911" i="1"/>
  <c r="I910" i="1"/>
  <c r="I909" i="1"/>
  <c r="I907" i="1"/>
  <c r="I908" i="1"/>
  <c r="I906" i="1"/>
  <c r="I905" i="1"/>
  <c r="I904" i="1"/>
  <c r="J904" i="1" s="1"/>
  <c r="I903" i="1"/>
  <c r="I902" i="1"/>
  <c r="I900" i="1"/>
  <c r="I901" i="1"/>
  <c r="I899" i="1"/>
  <c r="J899" i="1" s="1"/>
  <c r="I897" i="1"/>
  <c r="I898" i="1"/>
  <c r="I896" i="1"/>
  <c r="I895" i="1"/>
  <c r="I894" i="1"/>
  <c r="I893" i="1"/>
  <c r="I892" i="1"/>
  <c r="J892" i="1" s="1"/>
  <c r="I891" i="1"/>
  <c r="J891" i="1" s="1"/>
  <c r="I890" i="1"/>
  <c r="I889" i="1"/>
  <c r="J889" i="1" s="1"/>
  <c r="I888" i="1"/>
  <c r="J888" i="1" s="1"/>
  <c r="I887" i="1"/>
  <c r="J887" i="1" s="1"/>
  <c r="I886" i="1"/>
  <c r="I885" i="1"/>
  <c r="I884" i="1"/>
  <c r="I883" i="1"/>
  <c r="I882" i="1"/>
  <c r="J882" i="1" s="1"/>
  <c r="I881" i="1"/>
  <c r="I880" i="1"/>
  <c r="I879" i="1"/>
  <c r="J879" i="1" s="1"/>
  <c r="I878" i="1"/>
  <c r="J878" i="1" s="1"/>
  <c r="I877" i="1"/>
  <c r="I876" i="1"/>
  <c r="J876" i="1" s="1"/>
  <c r="I875" i="1"/>
  <c r="I874" i="1"/>
  <c r="J874" i="1" s="1"/>
  <c r="I873" i="1"/>
  <c r="I872" i="1"/>
  <c r="J872" i="1" s="1"/>
  <c r="I871" i="1"/>
  <c r="I870" i="1"/>
  <c r="J870" i="1" s="1"/>
  <c r="I869" i="1"/>
  <c r="J869" i="1" s="1"/>
  <c r="I868" i="1"/>
  <c r="I867" i="1"/>
  <c r="I866" i="1"/>
  <c r="J866" i="1" s="1"/>
  <c r="I865" i="1"/>
  <c r="J865" i="1" s="1"/>
  <c r="I864" i="1"/>
  <c r="I863" i="1"/>
  <c r="J863" i="1" s="1"/>
  <c r="I862" i="1"/>
  <c r="I861" i="1"/>
  <c r="I860" i="1"/>
  <c r="J860" i="1" s="1"/>
  <c r="I859" i="1"/>
  <c r="J859" i="1" s="1"/>
  <c r="I858" i="1"/>
  <c r="J858" i="1" s="1"/>
  <c r="I857" i="1"/>
  <c r="I856" i="1"/>
  <c r="I855" i="1"/>
  <c r="J855" i="1" s="1"/>
  <c r="I854" i="1"/>
  <c r="I853" i="1"/>
  <c r="I852" i="1"/>
  <c r="I851" i="1"/>
  <c r="J851" i="1" s="1"/>
  <c r="I850" i="1"/>
  <c r="J850" i="1" s="1"/>
  <c r="I849" i="1"/>
  <c r="I848" i="1"/>
  <c r="I847" i="1"/>
  <c r="I846" i="1"/>
  <c r="I845" i="1"/>
  <c r="I844" i="1"/>
  <c r="J844" i="1" s="1"/>
  <c r="I843" i="1"/>
  <c r="I842" i="1"/>
  <c r="I841" i="1"/>
  <c r="I840" i="1"/>
  <c r="J840" i="1" s="1"/>
  <c r="I839" i="1"/>
  <c r="I838" i="1"/>
  <c r="I837" i="1"/>
  <c r="J837" i="1" s="1"/>
  <c r="I836" i="1"/>
  <c r="I835" i="1"/>
  <c r="I834" i="1"/>
  <c r="J834" i="1" s="1"/>
  <c r="I832" i="1"/>
  <c r="I833" i="1"/>
  <c r="I831" i="1"/>
  <c r="J831" i="1" s="1"/>
  <c r="T831" i="1" s="1"/>
  <c r="I830" i="1"/>
  <c r="I829" i="1"/>
  <c r="I827" i="1"/>
  <c r="J827" i="1" s="1"/>
  <c r="I828" i="1"/>
  <c r="I826" i="1"/>
  <c r="J826" i="1" s="1"/>
  <c r="I825" i="1"/>
  <c r="J825" i="1" s="1"/>
  <c r="I824" i="1"/>
  <c r="I823" i="1"/>
  <c r="I822" i="1"/>
  <c r="I821" i="1"/>
  <c r="J821" i="1" s="1"/>
  <c r="T821" i="1" s="1"/>
  <c r="I820" i="1"/>
  <c r="I818" i="1"/>
  <c r="I819" i="1"/>
  <c r="I817" i="1"/>
  <c r="I816" i="1"/>
  <c r="I815" i="1"/>
  <c r="I814" i="1"/>
  <c r="I813" i="1"/>
  <c r="I812" i="1"/>
  <c r="I811" i="1"/>
  <c r="I810" i="1"/>
  <c r="I808" i="1"/>
  <c r="I809" i="1"/>
  <c r="I807" i="1"/>
  <c r="J807" i="1" s="1"/>
  <c r="I805" i="1"/>
  <c r="I806" i="1"/>
  <c r="J806" i="1" s="1"/>
  <c r="I804" i="1"/>
  <c r="I803" i="1"/>
  <c r="J803" i="1" s="1"/>
  <c r="I802" i="1"/>
  <c r="J802" i="1" s="1"/>
  <c r="I801" i="1"/>
  <c r="J801" i="1" s="1"/>
  <c r="I799" i="1"/>
  <c r="I800" i="1"/>
  <c r="I798" i="1"/>
  <c r="I797" i="1"/>
  <c r="I796" i="1"/>
  <c r="I795" i="1"/>
  <c r="I794" i="1"/>
  <c r="J794" i="1" s="1"/>
  <c r="I793" i="1"/>
  <c r="J793" i="1" s="1"/>
  <c r="T793" i="1" s="1"/>
  <c r="I792" i="1"/>
  <c r="I791" i="1"/>
  <c r="J791" i="1" s="1"/>
  <c r="T791" i="1" s="1"/>
  <c r="I790" i="1"/>
  <c r="I789" i="1"/>
  <c r="I788" i="1"/>
  <c r="I787" i="1"/>
  <c r="I786" i="1"/>
  <c r="I784" i="1"/>
  <c r="J784" i="1" s="1"/>
  <c r="I785" i="1"/>
  <c r="J785" i="1" s="1"/>
  <c r="I783" i="1"/>
  <c r="J783" i="1" s="1"/>
  <c r="I782" i="1"/>
  <c r="I781" i="1"/>
  <c r="J781" i="1" s="1"/>
  <c r="T781" i="1" s="1"/>
  <c r="I780" i="1"/>
  <c r="I779" i="1"/>
  <c r="I778" i="1"/>
  <c r="J778" i="1" s="1"/>
  <c r="I776" i="1"/>
  <c r="I777" i="1"/>
  <c r="I775" i="1"/>
  <c r="I774" i="1"/>
  <c r="J774" i="1" s="1"/>
  <c r="I773" i="1"/>
  <c r="I772" i="1"/>
  <c r="I771" i="1"/>
  <c r="I770" i="1"/>
  <c r="I768" i="1"/>
  <c r="I769" i="1"/>
  <c r="I767" i="1"/>
  <c r="I766" i="1"/>
  <c r="J766" i="1" s="1"/>
  <c r="I765" i="1"/>
  <c r="I764" i="1"/>
  <c r="I763" i="1"/>
  <c r="I762" i="1"/>
  <c r="J762" i="1" s="1"/>
  <c r="I761" i="1"/>
  <c r="I760" i="1"/>
  <c r="J760" i="1" s="1"/>
  <c r="I759" i="1"/>
  <c r="I757" i="1"/>
  <c r="I758" i="1"/>
  <c r="I756" i="1"/>
  <c r="I755" i="1"/>
  <c r="I754" i="1"/>
  <c r="I753" i="1"/>
  <c r="I752" i="1"/>
  <c r="I751" i="1"/>
  <c r="J751" i="1" s="1"/>
  <c r="I750" i="1"/>
  <c r="I749" i="1"/>
  <c r="I748" i="1"/>
  <c r="J748" i="1" s="1"/>
  <c r="I746" i="1"/>
  <c r="I747" i="1"/>
  <c r="I745" i="1"/>
  <c r="I744" i="1"/>
  <c r="I743" i="1"/>
  <c r="I742" i="1"/>
  <c r="J742" i="1" s="1"/>
  <c r="I741" i="1"/>
  <c r="J741" i="1" s="1"/>
  <c r="T741" i="1" s="1"/>
  <c r="I740" i="1"/>
  <c r="I739" i="1"/>
  <c r="I738" i="1"/>
  <c r="I737" i="1"/>
  <c r="I736" i="1"/>
  <c r="I735" i="1"/>
  <c r="I734" i="1"/>
  <c r="I733" i="1"/>
  <c r="J733" i="1" s="1"/>
  <c r="I732" i="1"/>
  <c r="I730" i="1"/>
  <c r="I731" i="1"/>
  <c r="I729" i="1"/>
  <c r="I728" i="1"/>
  <c r="I727" i="1"/>
  <c r="I726" i="1"/>
  <c r="J726" i="1" s="1"/>
  <c r="I725" i="1"/>
  <c r="I723" i="1"/>
  <c r="I724" i="1"/>
  <c r="I722" i="1"/>
  <c r="J722" i="1" s="1"/>
  <c r="I721" i="1"/>
  <c r="I720" i="1"/>
  <c r="J720" i="1" s="1"/>
  <c r="I719" i="1"/>
  <c r="I718" i="1"/>
  <c r="I717" i="1"/>
  <c r="J717" i="1" s="1"/>
  <c r="I716" i="1"/>
  <c r="I715" i="1"/>
  <c r="I714" i="1"/>
  <c r="J714" i="1" s="1"/>
  <c r="I713" i="1"/>
  <c r="I712" i="1"/>
  <c r="I710" i="1"/>
  <c r="I711" i="1"/>
  <c r="I709" i="1"/>
  <c r="J709" i="1" s="1"/>
  <c r="I708" i="1"/>
  <c r="I706" i="1"/>
  <c r="I707" i="1"/>
  <c r="J707" i="1" s="1"/>
  <c r="I705" i="1"/>
  <c r="J705" i="1" s="1"/>
  <c r="I704" i="1"/>
  <c r="I703" i="1"/>
  <c r="I702" i="1"/>
  <c r="J702" i="1" s="1"/>
  <c r="I701" i="1"/>
  <c r="J701" i="1" s="1"/>
  <c r="I700" i="1"/>
  <c r="I699" i="1"/>
  <c r="I698" i="1"/>
  <c r="I697" i="1"/>
  <c r="I696" i="1"/>
  <c r="I695" i="1"/>
  <c r="J695" i="1" s="1"/>
  <c r="I694" i="1"/>
  <c r="J694" i="1" s="1"/>
  <c r="I693" i="1"/>
  <c r="J693" i="1" s="1"/>
  <c r="I692" i="1"/>
  <c r="I691" i="1"/>
  <c r="I690" i="1"/>
  <c r="I689" i="1"/>
  <c r="I688" i="1"/>
  <c r="I687" i="1"/>
  <c r="J687" i="1" s="1"/>
  <c r="I686" i="1"/>
  <c r="I685" i="1"/>
  <c r="I684" i="1"/>
  <c r="I683" i="1"/>
  <c r="I682" i="1"/>
  <c r="J682" i="1" s="1"/>
  <c r="I681" i="1"/>
  <c r="I680" i="1"/>
  <c r="I679" i="1"/>
  <c r="I678" i="1"/>
  <c r="I677" i="1"/>
  <c r="I676" i="1"/>
  <c r="I675" i="1"/>
  <c r="J675" i="1" s="1"/>
  <c r="I674" i="1"/>
  <c r="J674" i="1" s="1"/>
  <c r="I673" i="1"/>
  <c r="I671" i="1"/>
  <c r="I672" i="1"/>
  <c r="I670" i="1"/>
  <c r="I668" i="1"/>
  <c r="I669" i="1"/>
  <c r="I667" i="1"/>
  <c r="I666" i="1"/>
  <c r="I665" i="1"/>
  <c r="J665" i="1" s="1"/>
  <c r="I664" i="1"/>
  <c r="J664" i="1" s="1"/>
  <c r="I663" i="1"/>
  <c r="I662" i="1"/>
  <c r="I661" i="1"/>
  <c r="I660" i="1"/>
  <c r="J660" i="1" s="1"/>
  <c r="I659" i="1"/>
  <c r="I658" i="1"/>
  <c r="I657" i="1"/>
  <c r="I656" i="1"/>
  <c r="I655" i="1"/>
  <c r="J655" i="1" s="1"/>
  <c r="I653" i="1"/>
  <c r="J653" i="1" s="1"/>
  <c r="I654" i="1"/>
  <c r="I652" i="1"/>
  <c r="I651" i="1"/>
  <c r="I650" i="1"/>
  <c r="I649" i="1"/>
  <c r="J649" i="1" s="1"/>
  <c r="I648" i="1"/>
  <c r="I647" i="1"/>
  <c r="I646" i="1"/>
  <c r="I645" i="1"/>
  <c r="I644" i="1"/>
  <c r="J644" i="1" s="1"/>
  <c r="I643" i="1"/>
  <c r="I642" i="1"/>
  <c r="J642" i="1" s="1"/>
  <c r="I641" i="1"/>
  <c r="I640" i="1"/>
  <c r="I639" i="1"/>
  <c r="J639" i="1" s="1"/>
  <c r="I638" i="1"/>
  <c r="I637" i="1"/>
  <c r="I636" i="1"/>
  <c r="I635" i="1"/>
  <c r="J635" i="1" s="1"/>
  <c r="I634" i="1"/>
  <c r="J634" i="1" s="1"/>
  <c r="T634" i="1" s="1"/>
  <c r="I632" i="1"/>
  <c r="I633" i="1"/>
  <c r="I631" i="1"/>
  <c r="I630" i="1"/>
  <c r="I629" i="1"/>
  <c r="J629" i="1" s="1"/>
  <c r="I628" i="1"/>
  <c r="I627" i="1"/>
  <c r="I626" i="1"/>
  <c r="J626" i="1" s="1"/>
  <c r="I624" i="1"/>
  <c r="I625" i="1"/>
  <c r="I623" i="1"/>
  <c r="I622" i="1"/>
  <c r="I620" i="1"/>
  <c r="I621" i="1"/>
  <c r="I619" i="1"/>
  <c r="I618" i="1"/>
  <c r="J618" i="1" s="1"/>
  <c r="I617" i="1"/>
  <c r="I616" i="1"/>
  <c r="I615" i="1"/>
  <c r="I613" i="1"/>
  <c r="I614" i="1"/>
  <c r="I612" i="1"/>
  <c r="I611" i="1"/>
  <c r="J611" i="1" s="1"/>
  <c r="I610" i="1"/>
  <c r="J610" i="1" s="1"/>
  <c r="I609" i="1"/>
  <c r="I608" i="1"/>
  <c r="J608" i="1" s="1"/>
  <c r="I606" i="1"/>
  <c r="I607" i="1"/>
  <c r="J607" i="1" s="1"/>
  <c r="I605" i="1"/>
  <c r="J605" i="1" s="1"/>
  <c r="I604" i="1"/>
  <c r="I603" i="1"/>
  <c r="I602" i="1"/>
  <c r="I601" i="1"/>
  <c r="I600" i="1"/>
  <c r="I599" i="1"/>
  <c r="I598" i="1"/>
  <c r="I597" i="1"/>
  <c r="I596" i="1"/>
  <c r="I595" i="1"/>
  <c r="I594" i="1"/>
  <c r="J594" i="1" s="1"/>
  <c r="I593" i="1"/>
  <c r="J593" i="1" s="1"/>
  <c r="I592" i="1"/>
  <c r="I591" i="1"/>
  <c r="I590" i="1"/>
  <c r="J590" i="1" s="1"/>
  <c r="I589" i="1"/>
  <c r="I587" i="1"/>
  <c r="I588" i="1"/>
  <c r="I586" i="1"/>
  <c r="I585" i="1"/>
  <c r="I584" i="1"/>
  <c r="I583" i="1"/>
  <c r="I582" i="1"/>
  <c r="J582" i="1" s="1"/>
  <c r="I581" i="1"/>
  <c r="J581" i="1" s="1"/>
  <c r="I580" i="1"/>
  <c r="I579" i="1"/>
  <c r="I578" i="1"/>
  <c r="I577" i="1"/>
  <c r="I576" i="1"/>
  <c r="J576" i="1" s="1"/>
  <c r="I575" i="1"/>
  <c r="I573" i="1"/>
  <c r="I574" i="1"/>
  <c r="I572" i="1"/>
  <c r="I571" i="1"/>
  <c r="J571" i="1" s="1"/>
  <c r="I570" i="1"/>
  <c r="J570" i="1" s="1"/>
  <c r="I569" i="1"/>
  <c r="J569" i="1" s="1"/>
  <c r="I568" i="1"/>
  <c r="I567" i="1"/>
  <c r="J567" i="1" s="1"/>
  <c r="I566" i="1"/>
  <c r="J566" i="1" s="1"/>
  <c r="I565" i="1"/>
  <c r="I564" i="1"/>
  <c r="I563" i="1"/>
  <c r="I562" i="1"/>
  <c r="I561" i="1"/>
  <c r="I559" i="1"/>
  <c r="J559" i="1" s="1"/>
  <c r="I560" i="1"/>
  <c r="I558" i="1"/>
  <c r="I557" i="1"/>
  <c r="I555" i="1"/>
  <c r="I556" i="1"/>
  <c r="I554" i="1"/>
  <c r="I553" i="1"/>
  <c r="I552" i="1"/>
  <c r="J552" i="1" s="1"/>
  <c r="I551" i="1"/>
  <c r="J551" i="1" s="1"/>
  <c r="I550" i="1"/>
  <c r="I548" i="1"/>
  <c r="I549" i="1"/>
  <c r="I547" i="1"/>
  <c r="J547" i="1" s="1"/>
  <c r="I546" i="1"/>
  <c r="J546" i="1" s="1"/>
  <c r="I545" i="1"/>
  <c r="I544" i="1"/>
  <c r="I543" i="1"/>
  <c r="J543" i="1" s="1"/>
  <c r="I542" i="1"/>
  <c r="J542" i="1" s="1"/>
  <c r="I541" i="1"/>
  <c r="J541" i="1" s="1"/>
  <c r="I540" i="1"/>
  <c r="J540" i="1" s="1"/>
  <c r="I539" i="1"/>
  <c r="I538" i="1"/>
  <c r="J538" i="1" s="1"/>
  <c r="I537" i="1"/>
  <c r="I536" i="1"/>
  <c r="J536" i="1" s="1"/>
  <c r="I535" i="1"/>
  <c r="J535" i="1" s="1"/>
  <c r="I534" i="1"/>
  <c r="I533" i="1"/>
  <c r="I532" i="1"/>
  <c r="I531" i="1"/>
  <c r="I530" i="1"/>
  <c r="J530" i="1" s="1"/>
  <c r="I528" i="1"/>
  <c r="J528" i="1" s="1"/>
  <c r="I529" i="1"/>
  <c r="I527" i="1"/>
  <c r="J527" i="1" s="1"/>
  <c r="I526" i="1"/>
  <c r="J526" i="1" s="1"/>
  <c r="I525" i="1"/>
  <c r="I524" i="1"/>
  <c r="I523" i="1"/>
  <c r="I522" i="1"/>
  <c r="I521" i="1"/>
  <c r="J521" i="1" s="1"/>
  <c r="I520" i="1"/>
  <c r="J520" i="1" s="1"/>
  <c r="I519" i="1"/>
  <c r="I518" i="1"/>
  <c r="I517" i="1"/>
  <c r="I516" i="1"/>
  <c r="J516" i="1" s="1"/>
  <c r="T516" i="1" s="1"/>
  <c r="I515" i="1"/>
  <c r="J515" i="1" s="1"/>
  <c r="I514" i="1"/>
  <c r="I513" i="1"/>
  <c r="I512" i="1"/>
  <c r="J512" i="1" s="1"/>
  <c r="I510" i="1"/>
  <c r="I511" i="1"/>
  <c r="I509" i="1"/>
  <c r="I508" i="1"/>
  <c r="J508" i="1" s="1"/>
  <c r="I507" i="1"/>
  <c r="J507" i="1" s="1"/>
  <c r="I506" i="1"/>
  <c r="J506" i="1" s="1"/>
  <c r="I505" i="1"/>
  <c r="I504" i="1"/>
  <c r="J504" i="1" s="1"/>
  <c r="I503" i="1"/>
  <c r="J503" i="1" s="1"/>
  <c r="I502" i="1"/>
  <c r="J502" i="1" s="1"/>
  <c r="I501" i="1"/>
  <c r="I500" i="1"/>
  <c r="I499" i="1"/>
  <c r="I498" i="1"/>
  <c r="J498" i="1" s="1"/>
  <c r="I497" i="1"/>
  <c r="I496" i="1"/>
  <c r="J496" i="1" s="1"/>
  <c r="I495" i="1"/>
  <c r="I494" i="1"/>
  <c r="I493" i="1"/>
  <c r="I492" i="1"/>
  <c r="I490" i="1"/>
  <c r="I491" i="1"/>
  <c r="J491" i="1" s="1"/>
  <c r="I489" i="1"/>
  <c r="J489" i="1" s="1"/>
  <c r="I488" i="1"/>
  <c r="I487" i="1"/>
  <c r="I486" i="1"/>
  <c r="I485" i="1"/>
  <c r="J485" i="1" s="1"/>
  <c r="I484" i="1"/>
  <c r="I483" i="1"/>
  <c r="J483" i="1" s="1"/>
  <c r="I482" i="1"/>
  <c r="J482" i="1" s="1"/>
  <c r="I481" i="1"/>
  <c r="I480" i="1"/>
  <c r="J480" i="1" s="1"/>
  <c r="I479" i="1"/>
  <c r="I478" i="1"/>
  <c r="I477" i="1"/>
  <c r="I476" i="1"/>
  <c r="J476" i="1" s="1"/>
  <c r="I475" i="1"/>
  <c r="I474" i="1"/>
  <c r="J474" i="1" s="1"/>
  <c r="T474" i="1" s="1"/>
  <c r="I473" i="1"/>
  <c r="I472" i="1"/>
  <c r="I471" i="1"/>
  <c r="J471" i="1" s="1"/>
  <c r="I470" i="1"/>
  <c r="I469" i="1"/>
  <c r="I468" i="1"/>
  <c r="I467" i="1"/>
  <c r="I466" i="1"/>
  <c r="J466" i="1" s="1"/>
  <c r="I465" i="1"/>
  <c r="I464" i="1"/>
  <c r="I463" i="1"/>
  <c r="I462" i="1"/>
  <c r="I461" i="1"/>
  <c r="I460" i="1"/>
  <c r="I459" i="1"/>
  <c r="I458" i="1"/>
  <c r="J458" i="1" s="1"/>
  <c r="I457" i="1"/>
  <c r="I456" i="1"/>
  <c r="I455" i="1"/>
  <c r="I454" i="1"/>
  <c r="I453" i="1"/>
  <c r="J453" i="1" s="1"/>
  <c r="I451" i="1"/>
  <c r="I452" i="1"/>
  <c r="I450" i="1"/>
  <c r="J450" i="1" s="1"/>
  <c r="I449" i="1"/>
  <c r="I448" i="1"/>
  <c r="J448" i="1" s="1"/>
  <c r="I446" i="1"/>
  <c r="I447" i="1"/>
  <c r="I445" i="1"/>
  <c r="I444" i="1"/>
  <c r="I443" i="1"/>
  <c r="I442" i="1"/>
  <c r="J442" i="1" s="1"/>
  <c r="T442" i="1" s="1"/>
  <c r="I440" i="1"/>
  <c r="I441" i="1"/>
  <c r="I439" i="1"/>
  <c r="I438" i="1"/>
  <c r="J438" i="1" s="1"/>
  <c r="I437" i="1"/>
  <c r="I436" i="1"/>
  <c r="I435" i="1"/>
  <c r="I434" i="1"/>
  <c r="J434" i="1" s="1"/>
  <c r="I433" i="1"/>
  <c r="I432" i="1"/>
  <c r="I431" i="1"/>
  <c r="J431" i="1" s="1"/>
  <c r="I429" i="1"/>
  <c r="I430" i="1"/>
  <c r="I428" i="1"/>
  <c r="I427" i="1"/>
  <c r="I426" i="1"/>
  <c r="J426" i="1" s="1"/>
  <c r="I425" i="1"/>
  <c r="I424" i="1"/>
  <c r="J424" i="1" s="1"/>
  <c r="I423" i="1"/>
  <c r="I422" i="1"/>
  <c r="J422" i="1" s="1"/>
  <c r="I421" i="1"/>
  <c r="I420" i="1"/>
  <c r="I419" i="1"/>
  <c r="I418" i="1"/>
  <c r="I417" i="1"/>
  <c r="J417" i="1" s="1"/>
  <c r="I416" i="1"/>
  <c r="I415" i="1"/>
  <c r="I414" i="1"/>
  <c r="I413" i="1"/>
  <c r="J413" i="1" s="1"/>
  <c r="I412" i="1"/>
  <c r="I411" i="1"/>
  <c r="I410" i="1"/>
  <c r="J410" i="1" s="1"/>
  <c r="T410" i="1" s="1"/>
  <c r="I408" i="1"/>
  <c r="I409" i="1"/>
  <c r="I407" i="1"/>
  <c r="J407" i="1" s="1"/>
  <c r="I406" i="1"/>
  <c r="I405" i="1"/>
  <c r="I404" i="1"/>
  <c r="J404" i="1" s="1"/>
  <c r="I402" i="1"/>
  <c r="I403" i="1"/>
  <c r="I401" i="1"/>
  <c r="I400" i="1"/>
  <c r="I399" i="1"/>
  <c r="I398" i="1"/>
  <c r="I397" i="1"/>
  <c r="J397" i="1" s="1"/>
  <c r="I396" i="1"/>
  <c r="I395" i="1"/>
  <c r="I394" i="1"/>
  <c r="I393" i="1"/>
  <c r="I392" i="1"/>
  <c r="I391" i="1"/>
  <c r="J391" i="1" s="1"/>
  <c r="I390" i="1"/>
  <c r="I389" i="1"/>
  <c r="J389" i="1" s="1"/>
  <c r="I388" i="1"/>
  <c r="I387" i="1"/>
  <c r="I386" i="1"/>
  <c r="J386" i="1" s="1"/>
  <c r="I385" i="1"/>
  <c r="J385" i="1" s="1"/>
  <c r="I384" i="1"/>
  <c r="I383" i="1"/>
  <c r="I382" i="1"/>
  <c r="J382" i="1" s="1"/>
  <c r="I381" i="1"/>
  <c r="I380" i="1"/>
  <c r="I379" i="1"/>
  <c r="I377" i="1"/>
  <c r="I378" i="1"/>
  <c r="J378" i="1" s="1"/>
  <c r="I376" i="1"/>
  <c r="I375" i="1"/>
  <c r="I374" i="1"/>
  <c r="J374" i="1" s="1"/>
  <c r="I373" i="1"/>
  <c r="J373" i="1" s="1"/>
  <c r="I372" i="1"/>
  <c r="I371" i="1"/>
  <c r="I370" i="1"/>
  <c r="I369" i="1"/>
  <c r="I368" i="1"/>
  <c r="I367" i="1"/>
  <c r="I366" i="1"/>
  <c r="I365" i="1"/>
  <c r="J365" i="1" s="1"/>
  <c r="I364" i="1"/>
  <c r="I363" i="1"/>
  <c r="I362" i="1"/>
  <c r="J362" i="1" s="1"/>
  <c r="I361" i="1"/>
  <c r="I360" i="1"/>
  <c r="J360" i="1" s="1"/>
  <c r="I359" i="1"/>
  <c r="J359" i="1" s="1"/>
  <c r="I358" i="1"/>
  <c r="I357" i="1"/>
  <c r="J357" i="1" s="1"/>
  <c r="I356" i="1"/>
  <c r="I355" i="1"/>
  <c r="I354" i="1"/>
  <c r="I353" i="1"/>
  <c r="I351" i="1"/>
  <c r="I352" i="1"/>
  <c r="I350" i="1"/>
  <c r="I349" i="1"/>
  <c r="I348" i="1"/>
  <c r="I347" i="1"/>
  <c r="I346" i="1"/>
  <c r="J346" i="1" s="1"/>
  <c r="I345" i="1"/>
  <c r="I344" i="1"/>
  <c r="I343" i="1"/>
  <c r="I341" i="1"/>
  <c r="I342" i="1"/>
  <c r="I340" i="1"/>
  <c r="I339" i="1"/>
  <c r="I337" i="1"/>
  <c r="I338" i="1"/>
  <c r="I336" i="1"/>
  <c r="I335" i="1"/>
  <c r="I334" i="1"/>
  <c r="J334" i="1" s="1"/>
  <c r="I333" i="1"/>
  <c r="I332" i="1"/>
  <c r="J332" i="1" s="1"/>
  <c r="I330" i="1"/>
  <c r="I331" i="1"/>
  <c r="I329" i="1"/>
  <c r="I327" i="1"/>
  <c r="I328" i="1"/>
  <c r="I326" i="1"/>
  <c r="I325" i="1"/>
  <c r="I324" i="1"/>
  <c r="I323" i="1"/>
  <c r="I322" i="1"/>
  <c r="I321" i="1"/>
  <c r="I320" i="1"/>
  <c r="I319" i="1"/>
  <c r="I317" i="1"/>
  <c r="I318" i="1"/>
  <c r="I316" i="1"/>
  <c r="J316" i="1" s="1"/>
  <c r="I315" i="1"/>
  <c r="I314" i="1"/>
  <c r="I313" i="1"/>
  <c r="I312" i="1"/>
  <c r="I311" i="1"/>
  <c r="I310" i="1"/>
  <c r="J310" i="1" s="1"/>
  <c r="I309" i="1"/>
  <c r="I308" i="1"/>
  <c r="I307" i="1"/>
  <c r="I306" i="1"/>
  <c r="J306" i="1" s="1"/>
  <c r="I305" i="1"/>
  <c r="I304" i="1"/>
  <c r="J304" i="1" s="1"/>
  <c r="I303" i="1"/>
  <c r="J303" i="1" s="1"/>
  <c r="I302" i="1"/>
  <c r="I301" i="1"/>
  <c r="J301" i="1" s="1"/>
  <c r="I299" i="1"/>
  <c r="I300" i="1"/>
  <c r="I298" i="1"/>
  <c r="I297" i="1"/>
  <c r="I296" i="1"/>
  <c r="J296" i="1" s="1"/>
  <c r="I295" i="1"/>
  <c r="I294" i="1"/>
  <c r="I293" i="1"/>
  <c r="J293" i="1" s="1"/>
  <c r="I292" i="1"/>
  <c r="I291" i="1"/>
  <c r="I290" i="1"/>
  <c r="I289" i="1"/>
  <c r="I288" i="1"/>
  <c r="I287" i="1"/>
  <c r="I286" i="1"/>
  <c r="J286" i="1" s="1"/>
  <c r="I285" i="1"/>
  <c r="I284" i="1"/>
  <c r="J284" i="1" s="1"/>
  <c r="I283" i="1"/>
  <c r="J283" i="1" s="1"/>
  <c r="I282" i="1"/>
  <c r="J282" i="1" s="1"/>
  <c r="I280" i="1"/>
  <c r="I281" i="1"/>
  <c r="I279" i="1"/>
  <c r="I278" i="1"/>
  <c r="I277" i="1"/>
  <c r="J277" i="1" s="1"/>
  <c r="I276" i="1"/>
  <c r="J276" i="1" s="1"/>
  <c r="T276" i="1" s="1"/>
  <c r="I275" i="1"/>
  <c r="I274" i="1"/>
  <c r="I273" i="1"/>
  <c r="I272" i="1"/>
  <c r="I271" i="1"/>
  <c r="I270" i="1"/>
  <c r="I269" i="1"/>
  <c r="J269" i="1" s="1"/>
  <c r="I268" i="1"/>
  <c r="I267" i="1"/>
  <c r="I266" i="1"/>
  <c r="J266" i="1" s="1"/>
  <c r="I265" i="1"/>
  <c r="I264" i="1"/>
  <c r="I263" i="1"/>
  <c r="I262" i="1"/>
  <c r="I261" i="1"/>
  <c r="J261" i="1" s="1"/>
  <c r="I260" i="1"/>
  <c r="J260" i="1" s="1"/>
  <c r="I259" i="1"/>
  <c r="J259" i="1" s="1"/>
  <c r="I258" i="1"/>
  <c r="I257" i="1"/>
  <c r="I256" i="1"/>
  <c r="I255" i="1"/>
  <c r="I254" i="1"/>
  <c r="I253" i="1"/>
  <c r="I252" i="1"/>
  <c r="J252" i="1" s="1"/>
  <c r="I251" i="1"/>
  <c r="I250" i="1"/>
  <c r="I249" i="1"/>
  <c r="J249" i="1" s="1"/>
  <c r="I248" i="1"/>
  <c r="I247" i="1"/>
  <c r="I246" i="1"/>
  <c r="I245" i="1"/>
  <c r="J245" i="1" s="1"/>
  <c r="I244" i="1"/>
  <c r="I243" i="1"/>
  <c r="I242" i="1"/>
  <c r="I241" i="1"/>
  <c r="J241" i="1" s="1"/>
  <c r="I240" i="1"/>
  <c r="I239" i="1"/>
  <c r="I238" i="1"/>
  <c r="I237" i="1"/>
  <c r="I236" i="1"/>
  <c r="I234" i="1"/>
  <c r="I235" i="1"/>
  <c r="J235" i="1" s="1"/>
  <c r="I233" i="1"/>
  <c r="I232" i="1"/>
  <c r="J232" i="1" s="1"/>
  <c r="I231" i="1"/>
  <c r="I230" i="1"/>
  <c r="I229" i="1"/>
  <c r="I228" i="1"/>
  <c r="J228" i="1" s="1"/>
  <c r="T228" i="1" s="1"/>
  <c r="I227" i="1"/>
  <c r="I226" i="1"/>
  <c r="J226" i="1" s="1"/>
  <c r="I225" i="1"/>
  <c r="I224" i="1"/>
  <c r="I223" i="1"/>
  <c r="I222" i="1"/>
  <c r="I221" i="1"/>
  <c r="J221" i="1" s="1"/>
  <c r="I219" i="1"/>
  <c r="I220" i="1"/>
  <c r="I218" i="1"/>
  <c r="J218" i="1" s="1"/>
  <c r="I217" i="1"/>
  <c r="I216" i="1"/>
  <c r="I215" i="1"/>
  <c r="I214" i="1"/>
  <c r="J214" i="1" s="1"/>
  <c r="I213" i="1"/>
  <c r="I212" i="1"/>
  <c r="I211" i="1"/>
  <c r="J211" i="1" s="1"/>
  <c r="I210" i="1"/>
  <c r="J210" i="1" s="1"/>
  <c r="I209" i="1"/>
  <c r="I208" i="1"/>
  <c r="I206" i="1"/>
  <c r="I207" i="1"/>
  <c r="J207" i="1" s="1"/>
  <c r="I205" i="1"/>
  <c r="I204" i="1"/>
  <c r="I203" i="1"/>
  <c r="J203" i="1" s="1"/>
  <c r="I202" i="1"/>
  <c r="I201" i="1"/>
  <c r="I200" i="1"/>
  <c r="I199" i="1"/>
  <c r="I198" i="1"/>
  <c r="J198" i="1" s="1"/>
  <c r="I197" i="1"/>
  <c r="I196" i="1"/>
  <c r="I195" i="1"/>
  <c r="I194" i="1"/>
  <c r="J194" i="1" s="1"/>
  <c r="I193" i="1"/>
  <c r="I192" i="1"/>
  <c r="I191" i="1"/>
  <c r="J191" i="1" s="1"/>
  <c r="I190" i="1"/>
  <c r="I189" i="1"/>
  <c r="J189" i="1" s="1"/>
  <c r="I188" i="1"/>
  <c r="I187" i="1"/>
  <c r="J187" i="1" s="1"/>
  <c r="I186" i="1"/>
  <c r="I185" i="1"/>
  <c r="I184" i="1"/>
  <c r="I183" i="1"/>
  <c r="I182" i="1"/>
  <c r="J182" i="1" s="1"/>
  <c r="I181" i="1"/>
  <c r="I180" i="1"/>
  <c r="J180" i="1" s="1"/>
  <c r="I178" i="1"/>
  <c r="I179" i="1"/>
  <c r="J179" i="1" s="1"/>
  <c r="I177" i="1"/>
  <c r="I176" i="1"/>
  <c r="J176" i="1" s="1"/>
  <c r="I175" i="1"/>
  <c r="I174" i="1"/>
  <c r="I173" i="1"/>
  <c r="I172" i="1"/>
  <c r="I171" i="1"/>
  <c r="I170" i="1"/>
  <c r="I169" i="1"/>
  <c r="I168" i="1"/>
  <c r="J168" i="1" s="1"/>
  <c r="I167" i="1"/>
  <c r="I166" i="1"/>
  <c r="I164" i="1"/>
  <c r="I165" i="1"/>
  <c r="I163" i="1"/>
  <c r="I162" i="1"/>
  <c r="J162" i="1" s="1"/>
  <c r="I161" i="1"/>
  <c r="J161" i="1" s="1"/>
  <c r="I160" i="1"/>
  <c r="I159" i="1"/>
  <c r="I158" i="1"/>
  <c r="J158" i="1" s="1"/>
  <c r="I157" i="1"/>
  <c r="I156" i="1"/>
  <c r="I155" i="1"/>
  <c r="I154" i="1"/>
  <c r="J154" i="1" s="1"/>
  <c r="I153" i="1"/>
  <c r="J153" i="1" s="1"/>
  <c r="I151" i="1"/>
  <c r="I152" i="1"/>
  <c r="I150" i="1"/>
  <c r="J150" i="1" s="1"/>
  <c r="I149" i="1"/>
  <c r="I148" i="1"/>
  <c r="I146" i="1"/>
  <c r="I147" i="1"/>
  <c r="I145" i="1"/>
  <c r="I144" i="1"/>
  <c r="J144" i="1" s="1"/>
  <c r="I143" i="1"/>
  <c r="I142" i="1"/>
  <c r="I141" i="1"/>
  <c r="I140" i="1"/>
  <c r="I139" i="1"/>
  <c r="I138" i="1"/>
  <c r="I137" i="1"/>
  <c r="I136" i="1"/>
  <c r="J136" i="1" s="1"/>
  <c r="I135" i="1"/>
  <c r="I134" i="1"/>
  <c r="I133" i="1"/>
  <c r="I132" i="1"/>
  <c r="I131" i="1"/>
  <c r="I130" i="1"/>
  <c r="J130" i="1" s="1"/>
  <c r="I129" i="1"/>
  <c r="I128" i="1"/>
  <c r="I127" i="1"/>
  <c r="I126" i="1"/>
  <c r="I125" i="1"/>
  <c r="I124" i="1"/>
  <c r="J124" i="1" s="1"/>
  <c r="I123" i="1"/>
  <c r="I122" i="1"/>
  <c r="I121" i="1"/>
  <c r="J121" i="1" s="1"/>
  <c r="I119" i="1"/>
  <c r="I120" i="1"/>
  <c r="I118" i="1"/>
  <c r="I117" i="1"/>
  <c r="I116" i="1"/>
  <c r="I115" i="1"/>
  <c r="I114" i="1"/>
  <c r="I113" i="1"/>
  <c r="I112" i="1"/>
  <c r="J112" i="1" s="1"/>
  <c r="I111" i="1"/>
  <c r="J111" i="1" s="1"/>
  <c r="I110" i="1"/>
  <c r="I109" i="1"/>
  <c r="I108" i="1"/>
  <c r="I107" i="1"/>
  <c r="J107" i="1" s="1"/>
  <c r="I106" i="1"/>
  <c r="J106" i="1" s="1"/>
  <c r="I105" i="1"/>
  <c r="I104" i="1"/>
  <c r="I103" i="1"/>
  <c r="I102" i="1"/>
  <c r="I101" i="1"/>
  <c r="I100" i="1"/>
  <c r="J100" i="1" s="1"/>
  <c r="I99" i="1"/>
  <c r="I98" i="1"/>
  <c r="J98" i="1" s="1"/>
  <c r="I97" i="1"/>
  <c r="I96" i="1"/>
  <c r="I95" i="1"/>
  <c r="I94" i="1"/>
  <c r="I93" i="1"/>
  <c r="I92" i="1"/>
  <c r="I91" i="1"/>
  <c r="I90" i="1"/>
  <c r="I89" i="1"/>
  <c r="I88" i="1"/>
  <c r="I87" i="1"/>
  <c r="I86" i="1"/>
  <c r="J86" i="1" s="1"/>
  <c r="I85" i="1"/>
  <c r="J85" i="1" s="1"/>
  <c r="I84" i="1"/>
  <c r="I83" i="1"/>
  <c r="I82" i="1"/>
  <c r="I81" i="1"/>
  <c r="I80" i="1"/>
  <c r="I79" i="1"/>
  <c r="I78" i="1"/>
  <c r="I77" i="1"/>
  <c r="I76" i="1"/>
  <c r="J76" i="1" s="1"/>
  <c r="I75" i="1"/>
  <c r="I74" i="1"/>
  <c r="J74" i="1" s="1"/>
  <c r="I73" i="1"/>
  <c r="I72" i="1"/>
  <c r="I71" i="1"/>
  <c r="I70" i="1"/>
  <c r="J70" i="1" s="1"/>
  <c r="I69" i="1"/>
  <c r="I68" i="1"/>
  <c r="I67" i="1"/>
  <c r="I66" i="1"/>
  <c r="J66" i="1" s="1"/>
  <c r="I65" i="1"/>
  <c r="I64" i="1"/>
  <c r="I63" i="1"/>
  <c r="J63" i="1" s="1"/>
  <c r="I62" i="1"/>
  <c r="J62" i="1" s="1"/>
  <c r="I61" i="1"/>
  <c r="I60" i="1"/>
  <c r="I59" i="1"/>
  <c r="I58" i="1"/>
  <c r="I57" i="1"/>
  <c r="I56" i="1"/>
  <c r="J56" i="1" s="1"/>
  <c r="I54" i="1"/>
  <c r="I55" i="1"/>
  <c r="J55" i="1" s="1"/>
  <c r="I53" i="1"/>
  <c r="I52" i="1"/>
  <c r="I51" i="1"/>
  <c r="I50" i="1"/>
  <c r="J50" i="1" s="1"/>
  <c r="I49" i="1"/>
  <c r="I48" i="1"/>
  <c r="I47" i="1"/>
  <c r="I46" i="1"/>
  <c r="I45" i="1"/>
  <c r="I44" i="1"/>
  <c r="I43" i="1"/>
  <c r="I42" i="1"/>
  <c r="J42" i="1" s="1"/>
  <c r="I41" i="1"/>
  <c r="I40" i="1"/>
  <c r="I39" i="1"/>
  <c r="I38" i="1"/>
  <c r="I37" i="1"/>
  <c r="I36" i="1"/>
  <c r="I35" i="1"/>
  <c r="I34" i="1"/>
  <c r="J34" i="1" s="1"/>
  <c r="I32" i="1"/>
  <c r="I33" i="1"/>
  <c r="I31" i="1"/>
  <c r="I30" i="1"/>
  <c r="I29" i="1"/>
  <c r="I27" i="1"/>
  <c r="J27" i="1" s="1"/>
  <c r="I28" i="1"/>
  <c r="I26" i="1"/>
  <c r="I25" i="1"/>
  <c r="J25" i="1" s="1"/>
  <c r="I24" i="1"/>
  <c r="J24" i="1" s="1"/>
  <c r="I23" i="1"/>
  <c r="I21" i="1"/>
  <c r="I22" i="1"/>
  <c r="I19" i="1"/>
  <c r="I20" i="1"/>
  <c r="J20" i="1" s="1"/>
  <c r="I18" i="1"/>
  <c r="I17" i="1"/>
  <c r="I16" i="1"/>
  <c r="I15" i="1"/>
  <c r="J15" i="1" s="1"/>
  <c r="I14" i="1"/>
  <c r="I13" i="1"/>
  <c r="I11" i="1"/>
  <c r="I12" i="1"/>
  <c r="I10" i="1"/>
  <c r="I9" i="1"/>
  <c r="J9" i="1" s="1"/>
  <c r="I8" i="1"/>
  <c r="J8" i="1" s="1"/>
  <c r="I7" i="1"/>
  <c r="J7" i="1" s="1"/>
  <c r="I6" i="1"/>
  <c r="I5" i="1"/>
  <c r="I4" i="1"/>
  <c r="I3" i="1"/>
  <c r="I2" i="1"/>
  <c r="J2" i="1" s="1"/>
  <c r="T111" i="1" l="1"/>
  <c r="T407" i="1"/>
  <c r="T551" i="1"/>
  <c r="T879" i="1"/>
  <c r="T927" i="1"/>
  <c r="T967" i="1"/>
  <c r="T1015" i="1"/>
  <c r="T1191" i="1"/>
  <c r="T24" i="1"/>
  <c r="T56" i="1"/>
  <c r="T112" i="1"/>
  <c r="T144" i="1"/>
  <c r="T304" i="1"/>
  <c r="T360" i="1"/>
  <c r="T1160" i="1"/>
  <c r="T1201" i="1"/>
  <c r="T1328" i="1"/>
  <c r="T1384" i="1"/>
  <c r="T1464" i="1"/>
  <c r="T1560" i="1"/>
  <c r="T1952" i="1"/>
  <c r="T25" i="1"/>
  <c r="T161" i="1"/>
  <c r="T385" i="1"/>
  <c r="T417" i="1"/>
  <c r="T489" i="1"/>
  <c r="T521" i="1"/>
  <c r="T569" i="1"/>
  <c r="T593" i="1"/>
  <c r="T649" i="1"/>
  <c r="T801" i="1"/>
  <c r="T921" i="1"/>
  <c r="T953" i="1"/>
  <c r="T1041" i="1"/>
  <c r="T1113" i="1"/>
  <c r="T1200" i="1"/>
  <c r="T34" i="1"/>
  <c r="T42" i="1"/>
  <c r="T66" i="1"/>
  <c r="T74" i="1"/>
  <c r="T98" i="1"/>
  <c r="T106" i="1"/>
  <c r="T130" i="1"/>
  <c r="T154" i="1"/>
  <c r="T162" i="1"/>
  <c r="T179" i="1"/>
  <c r="T194" i="1"/>
  <c r="T210" i="1"/>
  <c r="T218" i="1"/>
  <c r="T226" i="1"/>
  <c r="T235" i="1"/>
  <c r="T266" i="1"/>
  <c r="T282" i="1"/>
  <c r="T306" i="1"/>
  <c r="T346" i="1"/>
  <c r="T362" i="1"/>
  <c r="T70" i="1"/>
  <c r="T198" i="1"/>
  <c r="T334" i="1"/>
  <c r="T502" i="1"/>
  <c r="T542" i="1"/>
  <c r="T766" i="1"/>
  <c r="T878" i="1"/>
  <c r="T974" i="1"/>
  <c r="T1014" i="1"/>
  <c r="T1526" i="1"/>
  <c r="T303" i="1"/>
  <c r="T359" i="1"/>
  <c r="T391" i="1"/>
  <c r="T639" i="1"/>
  <c r="T695" i="1"/>
  <c r="T751" i="1"/>
  <c r="T807" i="1"/>
  <c r="T887" i="1"/>
  <c r="T1023" i="1"/>
  <c r="T1079" i="1"/>
  <c r="T1143" i="1"/>
  <c r="T1199" i="1"/>
  <c r="T1271" i="1"/>
  <c r="T1327" i="1"/>
  <c r="T1511" i="1"/>
  <c r="T1535" i="1"/>
  <c r="T1719" i="1"/>
  <c r="T1775" i="1"/>
  <c r="T1823" i="1"/>
  <c r="T136" i="1"/>
  <c r="T168" i="1"/>
  <c r="T448" i="1"/>
  <c r="T480" i="1"/>
  <c r="T496" i="1"/>
  <c r="T512" i="1"/>
  <c r="T536" i="1"/>
  <c r="T552" i="1"/>
  <c r="T576" i="1"/>
  <c r="T664" i="1"/>
  <c r="T760" i="1"/>
  <c r="T785" i="1"/>
  <c r="T840" i="1"/>
  <c r="T872" i="1"/>
  <c r="T888" i="1"/>
  <c r="T984" i="1"/>
  <c r="T1280" i="1"/>
  <c r="T1409" i="1"/>
  <c r="T1488" i="1"/>
  <c r="T1584" i="1"/>
  <c r="T1592" i="1"/>
  <c r="T1680" i="1"/>
  <c r="T1904" i="1"/>
  <c r="T121" i="1"/>
  <c r="T249" i="1"/>
  <c r="T378" i="1"/>
  <c r="T528" i="1"/>
  <c r="T665" i="1"/>
  <c r="T825" i="1"/>
  <c r="T865" i="1"/>
  <c r="T889" i="1"/>
  <c r="T945" i="1"/>
  <c r="T977" i="1"/>
  <c r="T1009" i="1"/>
  <c r="T1033" i="1"/>
  <c r="T1161" i="1"/>
  <c r="T2" i="1"/>
  <c r="T50" i="1"/>
  <c r="T86" i="1"/>
  <c r="T150" i="1"/>
  <c r="T286" i="1"/>
  <c r="T566" i="1"/>
  <c r="T582" i="1"/>
  <c r="T653" i="1"/>
  <c r="T702" i="1"/>
  <c r="T742" i="1"/>
  <c r="T774" i="1"/>
  <c r="T966" i="1"/>
  <c r="T1142" i="1"/>
  <c r="T1262" i="1"/>
  <c r="T1302" i="1"/>
  <c r="T1342" i="1"/>
  <c r="T1359" i="1"/>
  <c r="T1406" i="1"/>
  <c r="T1438" i="1"/>
  <c r="T1461" i="1"/>
  <c r="T1470" i="1"/>
  <c r="T1542" i="1"/>
  <c r="T1670" i="1"/>
  <c r="T1686" i="1"/>
  <c r="T1710" i="1"/>
  <c r="T1734" i="1"/>
  <c r="T1782" i="1"/>
  <c r="T1846" i="1"/>
  <c r="T1886" i="1"/>
  <c r="T1918" i="1"/>
  <c r="T1974" i="1"/>
  <c r="T207" i="1"/>
  <c r="T694" i="1"/>
  <c r="T1502" i="1"/>
  <c r="T15" i="1"/>
  <c r="T63" i="1"/>
  <c r="T431" i="1"/>
  <c r="T503" i="1"/>
  <c r="T527" i="1"/>
  <c r="T567" i="1"/>
  <c r="T655" i="1"/>
  <c r="T783" i="1"/>
  <c r="T863" i="1"/>
  <c r="T975" i="1"/>
  <c r="T1007" i="1"/>
  <c r="T1255" i="1"/>
  <c r="T1295" i="1"/>
  <c r="T1471" i="1"/>
  <c r="T1559" i="1"/>
  <c r="T1679" i="1"/>
  <c r="T55" i="1"/>
  <c r="T158" i="1"/>
  <c r="T214" i="1"/>
  <c r="T374" i="1"/>
  <c r="T422" i="1"/>
  <c r="T526" i="1"/>
  <c r="T590" i="1"/>
  <c r="T726" i="1"/>
  <c r="T7" i="1"/>
  <c r="T543" i="1"/>
  <c r="T687" i="1"/>
  <c r="T855" i="1"/>
  <c r="T1151" i="1"/>
  <c r="T1239" i="1"/>
  <c r="T1367" i="1"/>
  <c r="T1447" i="1"/>
  <c r="T1543" i="1"/>
  <c r="T1575" i="1"/>
  <c r="T1751" i="1"/>
  <c r="T1767" i="1"/>
  <c r="T1791" i="1"/>
  <c r="T1831" i="1"/>
  <c r="T1959" i="1"/>
  <c r="T1975" i="1"/>
  <c r="T8" i="1"/>
  <c r="T176" i="1"/>
  <c r="T232" i="1"/>
  <c r="T296" i="1"/>
  <c r="T424" i="1"/>
  <c r="T504" i="1"/>
  <c r="T520" i="1"/>
  <c r="T559" i="1"/>
  <c r="T608" i="1"/>
  <c r="T720" i="1"/>
  <c r="T904" i="1"/>
  <c r="T944" i="1"/>
  <c r="T992" i="1"/>
  <c r="T1008" i="1"/>
  <c r="T1112" i="1"/>
  <c r="T1152" i="1"/>
  <c r="T1184" i="1"/>
  <c r="T1472" i="1"/>
  <c r="T1520" i="1"/>
  <c r="T1576" i="1"/>
  <c r="T1600" i="1"/>
  <c r="T1720" i="1"/>
  <c r="T62" i="1"/>
  <c r="T182" i="1"/>
  <c r="T310" i="1"/>
  <c r="T382" i="1"/>
  <c r="T438" i="1"/>
  <c r="T607" i="1"/>
  <c r="T870" i="1"/>
  <c r="T918" i="1"/>
  <c r="T191" i="1"/>
  <c r="T471" i="1"/>
  <c r="T535" i="1"/>
  <c r="T9" i="1"/>
  <c r="T153" i="1"/>
  <c r="T241" i="1"/>
  <c r="T705" i="1"/>
  <c r="T784" i="1"/>
  <c r="T937" i="1"/>
  <c r="T993" i="1"/>
  <c r="T1049" i="1"/>
  <c r="T1225" i="1"/>
  <c r="T1273" i="1"/>
  <c r="T1321" i="1"/>
  <c r="T1337" i="1"/>
  <c r="T1441" i="1"/>
  <c r="T1489" i="1"/>
  <c r="T1497" i="1"/>
  <c r="T1529" i="1"/>
  <c r="T1537" i="1"/>
  <c r="T1545" i="1"/>
  <c r="T1553" i="1"/>
  <c r="T1561" i="1"/>
  <c r="T1601" i="1"/>
  <c r="T1608" i="1"/>
  <c r="T1617" i="1"/>
  <c r="T1626" i="1"/>
  <c r="T1633" i="1"/>
  <c r="T1641" i="1"/>
  <c r="T1673" i="1"/>
  <c r="T1681" i="1"/>
  <c r="T1729" i="1"/>
  <c r="T1737" i="1"/>
  <c r="T1745" i="1"/>
  <c r="T1769" i="1"/>
  <c r="T1784" i="1"/>
  <c r="T1793" i="1"/>
  <c r="T1801" i="1"/>
  <c r="T1809" i="1"/>
  <c r="T1857" i="1"/>
  <c r="T1865" i="1"/>
  <c r="T1873" i="1"/>
  <c r="T426" i="1"/>
  <c r="T458" i="1"/>
  <c r="T498" i="1"/>
  <c r="T530" i="1"/>
  <c r="T618" i="1"/>
  <c r="T714" i="1"/>
  <c r="T826" i="1"/>
  <c r="T874" i="1"/>
  <c r="T994" i="1"/>
  <c r="T1090" i="1"/>
  <c r="T1202" i="1"/>
  <c r="T1210" i="1"/>
  <c r="T1242" i="1"/>
  <c r="T1386" i="1"/>
  <c r="T1426" i="1"/>
  <c r="T1466" i="1"/>
  <c r="T1498" i="1"/>
  <c r="T1546" i="1"/>
  <c r="T1570" i="1"/>
  <c r="T1610" i="1"/>
  <c r="T1706" i="1"/>
  <c r="T1778" i="1"/>
  <c r="T1802" i="1"/>
  <c r="T1826" i="1"/>
  <c r="T1858" i="1"/>
  <c r="T1906" i="1"/>
  <c r="T1946" i="1"/>
  <c r="T1978" i="1"/>
  <c r="T386" i="1"/>
  <c r="T434" i="1"/>
  <c r="T450" i="1"/>
  <c r="T482" i="1"/>
  <c r="T506" i="1"/>
  <c r="T538" i="1"/>
  <c r="T570" i="1"/>
  <c r="T626" i="1"/>
  <c r="T674" i="1"/>
  <c r="T722" i="1"/>
  <c r="T762" i="1"/>
  <c r="T794" i="1"/>
  <c r="T850" i="1"/>
  <c r="T882" i="1"/>
  <c r="T914" i="1"/>
  <c r="T970" i="1"/>
  <c r="T1074" i="1"/>
  <c r="T1098" i="1"/>
  <c r="T1114" i="1"/>
  <c r="T1267" i="1"/>
  <c r="T1274" i="1"/>
  <c r="T1298" i="1"/>
  <c r="T1362" i="1"/>
  <c r="T1418" i="1"/>
  <c r="T1482" i="1"/>
  <c r="T1506" i="1"/>
  <c r="T1538" i="1"/>
  <c r="T1658" i="1"/>
  <c r="T1714" i="1"/>
  <c r="T1922" i="1"/>
  <c r="T1954" i="1"/>
  <c r="T1994" i="1"/>
  <c r="T466" i="1"/>
  <c r="T491" i="1"/>
  <c r="T546" i="1"/>
  <c r="T594" i="1"/>
  <c r="T610" i="1"/>
  <c r="T642" i="1"/>
  <c r="T682" i="1"/>
  <c r="T778" i="1"/>
  <c r="T866" i="1"/>
  <c r="T946" i="1"/>
  <c r="T986" i="1"/>
  <c r="T1026" i="1"/>
  <c r="T1146" i="1"/>
  <c r="T1170" i="1"/>
  <c r="T1234" i="1"/>
  <c r="T1370" i="1"/>
  <c r="T1435" i="1"/>
  <c r="T1474" i="1"/>
  <c r="T1514" i="1"/>
  <c r="T1578" i="1"/>
  <c r="T1618" i="1"/>
  <c r="T1690" i="1"/>
  <c r="T1762" i="1"/>
  <c r="T1810" i="1"/>
  <c r="T1834" i="1"/>
  <c r="T1898" i="1"/>
  <c r="T1930" i="1"/>
  <c r="T1962" i="1"/>
  <c r="T1986" i="1"/>
  <c r="T20" i="1"/>
  <c r="T107" i="1"/>
  <c r="T211" i="1"/>
  <c r="T507" i="1"/>
  <c r="T571" i="1"/>
  <c r="T635" i="1"/>
  <c r="T859" i="1"/>
  <c r="T891" i="1"/>
  <c r="T899" i="1"/>
  <c r="T1027" i="1"/>
  <c r="T1139" i="1"/>
  <c r="T1555" i="1"/>
  <c r="T1579" i="1"/>
  <c r="T27" i="1"/>
  <c r="T76" i="1"/>
  <c r="T100" i="1"/>
  <c r="T124" i="1"/>
  <c r="T180" i="1"/>
  <c r="T252" i="1"/>
  <c r="T260" i="1"/>
  <c r="T284" i="1"/>
  <c r="T316" i="1"/>
  <c r="T332" i="1"/>
  <c r="T404" i="1"/>
  <c r="T476" i="1"/>
  <c r="T508" i="1"/>
  <c r="T540" i="1"/>
  <c r="T644" i="1"/>
  <c r="T660" i="1"/>
  <c r="T748" i="1"/>
  <c r="T827" i="1"/>
  <c r="T844" i="1"/>
  <c r="T860" i="1"/>
  <c r="T876" i="1"/>
  <c r="T892" i="1"/>
  <c r="T916" i="1"/>
  <c r="T931" i="1"/>
  <c r="T940" i="1"/>
  <c r="T988" i="1"/>
  <c r="T1060" i="1"/>
  <c r="T1084" i="1"/>
  <c r="T1132" i="1"/>
  <c r="T1141" i="1"/>
  <c r="T1156" i="1"/>
  <c r="T1220" i="1"/>
  <c r="T1284" i="1"/>
  <c r="T1292" i="1"/>
  <c r="T1324" i="1"/>
  <c r="T707" i="1"/>
  <c r="T802" i="1"/>
  <c r="T834" i="1"/>
  <c r="T858" i="1"/>
  <c r="T922" i="1"/>
  <c r="T1082" i="1"/>
  <c r="T1354" i="1"/>
  <c r="T1410" i="1"/>
  <c r="T1490" i="1"/>
  <c r="T1794" i="1"/>
  <c r="T1818" i="1"/>
  <c r="T1842" i="1"/>
  <c r="T1914" i="1"/>
  <c r="T1970" i="1"/>
  <c r="T187" i="1"/>
  <c r="T203" i="1"/>
  <c r="T259" i="1"/>
  <c r="T283" i="1"/>
  <c r="T483" i="1"/>
  <c r="T515" i="1"/>
  <c r="T547" i="1"/>
  <c r="T611" i="1"/>
  <c r="T675" i="1"/>
  <c r="T803" i="1"/>
  <c r="T851" i="1"/>
  <c r="T1379" i="1"/>
  <c r="T1395" i="1"/>
  <c r="T1427" i="1"/>
  <c r="T1483" i="1"/>
  <c r="T1523" i="1"/>
  <c r="T1539" i="1"/>
  <c r="T1571" i="1"/>
  <c r="T1587" i="1"/>
  <c r="T1595" i="1"/>
  <c r="T85" i="1"/>
  <c r="T189" i="1"/>
  <c r="T221" i="1"/>
  <c r="T245" i="1"/>
  <c r="T261" i="1"/>
  <c r="T269" i="1"/>
  <c r="T277" i="1"/>
  <c r="T293" i="1"/>
  <c r="T301" i="1"/>
  <c r="T357" i="1"/>
  <c r="T365" i="1"/>
  <c r="T373" i="1"/>
  <c r="T389" i="1"/>
  <c r="T397" i="1"/>
  <c r="T413" i="1"/>
  <c r="T453" i="1"/>
  <c r="T485" i="1"/>
  <c r="T541" i="1"/>
  <c r="T581" i="1"/>
  <c r="T605" i="1"/>
  <c r="T629" i="1"/>
  <c r="T693" i="1"/>
  <c r="T701" i="1"/>
  <c r="T709" i="1"/>
  <c r="T717" i="1"/>
  <c r="T733" i="1"/>
  <c r="T806" i="1"/>
  <c r="T837" i="1"/>
  <c r="T869" i="1"/>
  <c r="T981" i="1"/>
  <c r="T1133" i="1"/>
  <c r="T1205" i="1"/>
  <c r="T1213" i="1"/>
  <c r="T1261" i="1"/>
  <c r="T1293" i="1"/>
  <c r="T1309" i="1"/>
  <c r="T1317" i="1"/>
  <c r="T1325" i="1"/>
  <c r="T1333" i="1"/>
  <c r="K1387" i="1"/>
  <c r="M1387" i="1" s="1"/>
  <c r="T1387" i="1"/>
  <c r="K1680" i="1"/>
  <c r="M1680" i="1" s="1"/>
  <c r="K1686" i="1"/>
  <c r="M1686" i="1" s="1"/>
  <c r="K674" i="1"/>
  <c r="M674" i="1" s="1"/>
  <c r="K1841" i="1"/>
  <c r="M1841" i="1" s="1"/>
  <c r="K458" i="1"/>
  <c r="M458" i="1" s="1"/>
  <c r="K695" i="1"/>
  <c r="M695" i="1" s="1"/>
  <c r="K1317" i="1"/>
  <c r="M1317" i="1" s="1"/>
  <c r="K130" i="1"/>
  <c r="M130" i="1" s="1"/>
  <c r="K362" i="1"/>
  <c r="M362" i="1" s="1"/>
  <c r="K567" i="1"/>
  <c r="M567" i="1" s="1"/>
  <c r="K751" i="1"/>
  <c r="M751" i="1" s="1"/>
  <c r="K1152" i="1"/>
  <c r="M1152" i="1" s="1"/>
  <c r="K466" i="1"/>
  <c r="M466" i="1" s="1"/>
  <c r="K417" i="1"/>
  <c r="M417" i="1" s="1"/>
  <c r="K1889" i="1"/>
  <c r="M1889" i="1" s="1"/>
  <c r="K1213" i="1"/>
  <c r="M1213" i="1" s="1"/>
  <c r="K303" i="1"/>
  <c r="M303" i="1" s="1"/>
  <c r="K879" i="1"/>
  <c r="M879" i="1" s="1"/>
  <c r="K1386" i="1"/>
  <c r="M1386" i="1" s="1"/>
  <c r="K438" i="1"/>
  <c r="M438" i="1" s="1"/>
  <c r="K1689" i="1"/>
  <c r="M1689" i="1" s="1"/>
  <c r="K1154" i="1"/>
  <c r="M1154" i="1" s="1"/>
  <c r="K232" i="1"/>
  <c r="M232" i="1" s="1"/>
  <c r="K1610" i="1"/>
  <c r="M1610" i="1" s="1"/>
  <c r="K714" i="1"/>
  <c r="M714" i="1" s="1"/>
  <c r="K1146" i="1"/>
  <c r="M1146" i="1" s="1"/>
  <c r="K389" i="1"/>
  <c r="M389" i="1" s="1"/>
  <c r="K634" i="1"/>
  <c r="M634" i="1" s="1"/>
  <c r="K261" i="1"/>
  <c r="M261" i="1" s="1"/>
  <c r="K1410" i="1"/>
  <c r="M1410" i="1" s="1"/>
  <c r="K1970" i="1"/>
  <c r="M1970" i="1" s="1"/>
  <c r="K218" i="1"/>
  <c r="M218" i="1" s="1"/>
  <c r="K1706" i="1"/>
  <c r="M1706" i="1" s="1"/>
  <c r="K530" i="1"/>
  <c r="M530" i="1" s="1"/>
  <c r="K694" i="1"/>
  <c r="M694" i="1" s="1"/>
  <c r="K870" i="1"/>
  <c r="M870" i="1" s="1"/>
  <c r="K1535" i="1"/>
  <c r="M1535" i="1" s="1"/>
  <c r="K491" i="1"/>
  <c r="M491" i="1" s="1"/>
  <c r="K748" i="1"/>
  <c r="M748" i="1" s="1"/>
  <c r="K590" i="1"/>
  <c r="M590" i="1" s="1"/>
  <c r="K1490" i="1"/>
  <c r="M1490" i="1" s="1"/>
  <c r="K626" i="1"/>
  <c r="M626" i="1" s="1"/>
  <c r="K1242" i="1"/>
  <c r="M1242" i="1" s="1"/>
  <c r="K1489" i="1"/>
  <c r="M1489" i="1" s="1"/>
  <c r="K1918" i="1"/>
  <c r="M1918" i="1" s="1"/>
  <c r="K1325" i="1"/>
  <c r="M1325" i="1" s="1"/>
  <c r="K1543" i="1"/>
  <c r="M1543" i="1" s="1"/>
  <c r="K1506" i="1"/>
  <c r="M1506" i="1" s="1"/>
  <c r="K1112" i="1"/>
  <c r="M1112" i="1" s="1"/>
  <c r="K1823" i="1"/>
  <c r="M1823" i="1" s="1"/>
  <c r="K1520" i="1"/>
  <c r="M1520" i="1" s="1"/>
  <c r="K1427" i="1"/>
  <c r="M1427" i="1" s="1"/>
  <c r="K1587" i="1"/>
  <c r="M1587" i="1" s="1"/>
  <c r="K1914" i="1"/>
  <c r="M1914" i="1" s="1"/>
  <c r="K953" i="1"/>
  <c r="M953" i="1" s="1"/>
  <c r="K496" i="1"/>
  <c r="M496" i="1" s="1"/>
  <c r="K1488" i="1"/>
  <c r="M1488" i="1" s="1"/>
  <c r="K1274" i="1"/>
  <c r="M1274" i="1" s="1"/>
  <c r="K1581" i="1"/>
  <c r="M1581" i="1" s="1"/>
  <c r="K450" i="1"/>
  <c r="M450" i="1" s="1"/>
  <c r="K1747" i="1"/>
  <c r="M1747" i="1" s="1"/>
  <c r="K551" i="1"/>
  <c r="M551" i="1" s="1"/>
  <c r="K1964" i="1"/>
  <c r="M1964" i="1" s="1"/>
  <c r="K74" i="1"/>
  <c r="M74" i="1" s="1"/>
  <c r="K34" i="1"/>
  <c r="M34" i="1" s="1"/>
  <c r="K422" i="1"/>
  <c r="M422" i="1" s="1"/>
  <c r="K855" i="1"/>
  <c r="M855" i="1" s="1"/>
  <c r="K1974" i="1"/>
  <c r="M1974" i="1" s="1"/>
  <c r="K802" i="1"/>
  <c r="M802" i="1" s="1"/>
  <c r="K1685" i="1"/>
  <c r="M1685" i="1" s="1"/>
  <c r="K1801" i="1"/>
  <c r="M1801" i="1" s="1"/>
  <c r="K1947" i="1"/>
  <c r="M1947" i="1" s="1"/>
  <c r="K1859" i="1"/>
  <c r="M1859" i="1" s="1"/>
  <c r="K594" i="1"/>
  <c r="M594" i="1" s="1"/>
  <c r="K858" i="1"/>
  <c r="M858" i="1" s="1"/>
  <c r="K1514" i="1"/>
  <c r="M1514" i="1" s="1"/>
  <c r="K1769" i="1"/>
  <c r="M1769" i="1" s="1"/>
  <c r="K1191" i="1"/>
  <c r="M1191" i="1" s="1"/>
  <c r="K2001" i="1"/>
  <c r="M2001" i="1" s="1"/>
  <c r="K794" i="1"/>
  <c r="M794" i="1" s="1"/>
  <c r="K1160" i="1"/>
  <c r="M1160" i="1" s="1"/>
  <c r="K608" i="1"/>
  <c r="M608" i="1" s="1"/>
  <c r="K917" i="1"/>
  <c r="M917" i="1" s="1"/>
  <c r="K1673" i="1"/>
  <c r="M1673" i="1" s="1"/>
  <c r="K24" i="1"/>
  <c r="M24" i="1" s="1"/>
  <c r="K1714" i="1"/>
  <c r="M1714" i="1" s="1"/>
  <c r="K1009" i="1"/>
  <c r="M1009" i="1" s="1"/>
  <c r="K1842" i="1"/>
  <c r="M1842" i="1" s="1"/>
  <c r="K1497" i="1"/>
  <c r="M1497" i="1" s="1"/>
  <c r="K1239" i="1"/>
  <c r="M1239" i="1" s="1"/>
  <c r="K1560" i="1"/>
  <c r="M1560" i="1" s="1"/>
  <c r="K282" i="1"/>
  <c r="M282" i="1" s="1"/>
  <c r="K914" i="1"/>
  <c r="M914" i="1" s="1"/>
  <c r="K1218" i="1"/>
  <c r="M1218" i="1" s="1"/>
  <c r="K705" i="1"/>
  <c r="M705" i="1" s="1"/>
  <c r="K332" i="1"/>
  <c r="M332" i="1" s="1"/>
  <c r="K98" i="1"/>
  <c r="M98" i="1" s="1"/>
  <c r="K144" i="1"/>
  <c r="M144" i="1" s="1"/>
  <c r="K168" i="1"/>
  <c r="M168" i="1" s="1"/>
  <c r="K1624" i="1"/>
  <c r="M1624" i="1" s="1"/>
  <c r="K665" i="1"/>
  <c r="M665" i="1" s="1"/>
  <c r="K1292" i="1"/>
  <c r="M1292" i="1" s="1"/>
  <c r="K1778" i="1"/>
  <c r="M1778" i="1" s="1"/>
  <c r="K1954" i="1"/>
  <c r="M1954" i="1" s="1"/>
  <c r="K986" i="1"/>
  <c r="M986" i="1" s="1"/>
  <c r="K1384" i="1"/>
  <c r="M1384" i="1" s="1"/>
  <c r="K498" i="1"/>
  <c r="M498" i="1" s="1"/>
  <c r="K1184" i="1"/>
  <c r="M1184" i="1" s="1"/>
  <c r="K63" i="1"/>
  <c r="M63" i="1" s="1"/>
  <c r="K504" i="1"/>
  <c r="M504" i="1" s="1"/>
  <c r="K296" i="1"/>
  <c r="M296" i="1" s="1"/>
  <c r="K1559" i="1"/>
  <c r="M1559" i="1" s="1"/>
  <c r="K1461" i="1"/>
  <c r="M1461" i="1" s="1"/>
  <c r="K1933" i="1"/>
  <c r="M1933" i="1" s="1"/>
  <c r="K607" i="1"/>
  <c r="M607" i="1" s="1"/>
  <c r="K1898" i="1"/>
  <c r="M1898" i="1" s="1"/>
  <c r="K687" i="1"/>
  <c r="M687" i="1" s="1"/>
  <c r="K1426" i="1"/>
  <c r="M1426" i="1" s="1"/>
  <c r="K872" i="1"/>
  <c r="M872" i="1" s="1"/>
  <c r="K1679" i="1"/>
  <c r="M1679" i="1" s="1"/>
  <c r="K992" i="1"/>
  <c r="M992" i="1" s="1"/>
  <c r="K878" i="1"/>
  <c r="M878" i="1" s="1"/>
  <c r="K1782" i="1"/>
  <c r="M1782" i="1" s="1"/>
  <c r="K593" i="1"/>
  <c r="M593" i="1" s="1"/>
  <c r="K1977" i="1"/>
  <c r="M1977" i="1" s="1"/>
  <c r="K844" i="1"/>
  <c r="M844" i="1" s="1"/>
  <c r="K778" i="1"/>
  <c r="M778" i="1" s="1"/>
  <c r="K136" i="1"/>
  <c r="M136" i="1" s="1"/>
  <c r="K1298" i="1"/>
  <c r="M1298" i="1" s="1"/>
  <c r="K860" i="1"/>
  <c r="M860" i="1" s="1"/>
  <c r="K850" i="1"/>
  <c r="M850" i="1" s="1"/>
  <c r="K448" i="1"/>
  <c r="M448" i="1" s="1"/>
  <c r="K1745" i="1"/>
  <c r="M1745" i="1" s="1"/>
  <c r="K1113" i="1"/>
  <c r="M1113" i="1" s="1"/>
  <c r="K221" i="1"/>
  <c r="M221" i="1" s="1"/>
  <c r="K1576" i="1"/>
  <c r="M1576" i="1" s="1"/>
  <c r="K1470" i="1"/>
  <c r="M1470" i="1" s="1"/>
  <c r="K1280" i="1"/>
  <c r="M1280" i="1" s="1"/>
  <c r="K1846" i="1"/>
  <c r="M1846" i="1" s="1"/>
  <c r="K191" i="1"/>
  <c r="M191" i="1" s="1"/>
  <c r="K1234" i="1"/>
  <c r="M1234" i="1" s="1"/>
  <c r="K1151" i="1"/>
  <c r="M1151" i="1" s="1"/>
  <c r="K1787" i="1"/>
  <c r="M1787" i="1" s="1"/>
  <c r="K1295" i="1"/>
  <c r="M1295" i="1" s="1"/>
  <c r="K1438" i="1"/>
  <c r="M1438" i="1" s="1"/>
  <c r="K1906" i="1"/>
  <c r="M1906" i="1" s="1"/>
  <c r="K485" i="1"/>
  <c r="M485" i="1" s="1"/>
  <c r="K1474" i="1"/>
  <c r="M1474" i="1" s="1"/>
  <c r="K1737" i="1"/>
  <c r="M1737" i="1" s="1"/>
  <c r="K1652" i="1"/>
  <c r="M1652" i="1" s="1"/>
  <c r="K1008" i="1"/>
  <c r="M1008" i="1" s="1"/>
  <c r="K1133" i="1"/>
  <c r="M1133" i="1" s="1"/>
  <c r="K528" i="1"/>
  <c r="M528" i="1" s="1"/>
  <c r="K1775" i="1"/>
  <c r="M1775" i="1" s="1"/>
  <c r="K1953" i="1"/>
  <c r="M1953" i="1" s="1"/>
  <c r="K1626" i="1"/>
  <c r="M1626" i="1" s="1"/>
  <c r="K1337" i="1"/>
  <c r="M1337" i="1" s="1"/>
  <c r="K1762" i="1"/>
  <c r="M1762" i="1" s="1"/>
  <c r="K9" i="1"/>
  <c r="M9" i="1" s="1"/>
  <c r="K1729" i="1"/>
  <c r="M1729" i="1" s="1"/>
  <c r="K286" i="1"/>
  <c r="M286" i="1" s="1"/>
  <c r="K801" i="1"/>
  <c r="M801" i="1" s="1"/>
  <c r="K382" i="1"/>
  <c r="M382" i="1" s="1"/>
  <c r="K1589" i="1"/>
  <c r="M1589" i="1" s="1"/>
  <c r="K1538" i="1"/>
  <c r="M1538" i="1" s="1"/>
  <c r="K106" i="1"/>
  <c r="M106" i="1" s="1"/>
  <c r="K176" i="1"/>
  <c r="M176" i="1" s="1"/>
  <c r="K1537" i="1"/>
  <c r="M1537" i="1" s="1"/>
  <c r="K1978" i="1"/>
  <c r="M1978" i="1" s="1"/>
  <c r="K1483" i="1"/>
  <c r="M1483" i="1" s="1"/>
  <c r="K1466" i="1"/>
  <c r="M1466" i="1" s="1"/>
  <c r="K682" i="1"/>
  <c r="M682" i="1" s="1"/>
  <c r="K1526" i="1"/>
  <c r="M1526" i="1" s="1"/>
  <c r="K1826" i="1"/>
  <c r="M1826" i="1" s="1"/>
  <c r="K793" i="1"/>
  <c r="M793" i="1" s="1"/>
  <c r="K618" i="1"/>
  <c r="M618" i="1" s="1"/>
  <c r="K1282" i="1"/>
  <c r="M1282" i="1" s="1"/>
  <c r="K1710" i="1"/>
  <c r="M1710" i="1" s="1"/>
  <c r="K639" i="1"/>
  <c r="M639" i="1" s="1"/>
  <c r="K1734" i="1"/>
  <c r="M1734" i="1" s="1"/>
  <c r="K649" i="1"/>
  <c r="M649" i="1" s="1"/>
  <c r="K527" i="1"/>
  <c r="M527" i="1" s="1"/>
  <c r="K543" i="1"/>
  <c r="M543" i="1" s="1"/>
  <c r="K1381" i="1"/>
  <c r="M1381" i="1" s="1"/>
  <c r="K1202" i="1"/>
  <c r="M1202" i="1" s="1"/>
  <c r="K977" i="1"/>
  <c r="M977" i="1" s="1"/>
  <c r="K1226" i="1"/>
  <c r="M1226" i="1" s="1"/>
  <c r="K722" i="1"/>
  <c r="M722" i="1" s="1"/>
  <c r="K1592" i="1"/>
  <c r="M1592" i="1" s="1"/>
  <c r="K1539" i="1"/>
  <c r="M1539" i="1" s="1"/>
  <c r="K426" i="1"/>
  <c r="M426" i="1" s="1"/>
  <c r="K391" i="1"/>
  <c r="M391" i="1" s="1"/>
  <c r="K806" i="1"/>
  <c r="M806" i="1" s="1"/>
  <c r="K1875" i="1"/>
  <c r="M1875" i="1" s="1"/>
  <c r="K1625" i="1"/>
  <c r="M1625" i="1" s="1"/>
  <c r="K1015" i="1"/>
  <c r="M1015" i="1" s="1"/>
  <c r="K944" i="1"/>
  <c r="M944" i="1" s="1"/>
  <c r="K834" i="1"/>
  <c r="M834" i="1" s="1"/>
  <c r="K1546" i="1"/>
  <c r="M1546" i="1" s="1"/>
  <c r="K66" i="1"/>
  <c r="M66" i="1" s="1"/>
  <c r="K1767" i="1"/>
  <c r="M1767" i="1" s="1"/>
  <c r="K1959" i="1"/>
  <c r="M1959" i="1" s="1"/>
  <c r="K1098" i="1"/>
  <c r="M1098" i="1" s="1"/>
  <c r="K431" i="1"/>
  <c r="M431" i="1" s="1"/>
  <c r="K397" i="1"/>
  <c r="M397" i="1" s="1"/>
  <c r="K1763" i="1"/>
  <c r="M1763" i="1" s="1"/>
  <c r="K1952" i="1"/>
  <c r="M1952" i="1" s="1"/>
  <c r="K918" i="1"/>
  <c r="M918" i="1" s="1"/>
  <c r="K1595" i="1"/>
  <c r="M1595" i="1" s="1"/>
  <c r="K1143" i="1"/>
  <c r="M1143" i="1" s="1"/>
  <c r="K874" i="1"/>
  <c r="M874" i="1" s="1"/>
  <c r="K1324" i="1"/>
  <c r="M1324" i="1" s="1"/>
  <c r="K1751" i="1"/>
  <c r="M1751" i="1" s="1"/>
  <c r="K791" i="1"/>
  <c r="M791" i="1" s="1"/>
  <c r="K1794" i="1"/>
  <c r="M1794" i="1" s="1"/>
  <c r="K664" i="1"/>
  <c r="M664" i="1" s="1"/>
  <c r="K1555" i="1"/>
  <c r="M1555" i="1" s="1"/>
  <c r="K1930" i="1"/>
  <c r="M1930" i="1" s="1"/>
  <c r="K1834" i="1"/>
  <c r="M1834" i="1" s="1"/>
  <c r="K1502" i="1"/>
  <c r="M1502" i="1" s="1"/>
  <c r="K547" i="1"/>
  <c r="M547" i="1" s="1"/>
  <c r="K1271" i="1"/>
  <c r="M1271" i="1" s="1"/>
  <c r="K1802" i="1"/>
  <c r="M1802" i="1" s="1"/>
  <c r="K150" i="1"/>
  <c r="M150" i="1" s="1"/>
  <c r="K1904" i="1"/>
  <c r="M1904" i="1" s="1"/>
  <c r="K516" i="1"/>
  <c r="M516" i="1" s="1"/>
  <c r="K1071" i="1"/>
  <c r="M1071" i="1" s="1"/>
  <c r="K1993" i="1"/>
  <c r="M1993" i="1" s="1"/>
  <c r="K1658" i="1"/>
  <c r="M1658" i="1" s="1"/>
  <c r="K235" i="1"/>
  <c r="M235" i="1" s="1"/>
  <c r="K1435" i="1"/>
  <c r="M1435" i="1" s="1"/>
  <c r="K453" i="1"/>
  <c r="M453" i="1" s="1"/>
  <c r="K1409" i="1"/>
  <c r="M1409" i="1" s="1"/>
  <c r="K1986" i="1"/>
  <c r="M1986" i="1" s="1"/>
  <c r="K480" i="1"/>
  <c r="M480" i="1" s="1"/>
  <c r="K1365" i="1"/>
  <c r="M1365" i="1" s="1"/>
  <c r="K1309" i="1"/>
  <c r="M1309" i="1" s="1"/>
  <c r="K434" i="1"/>
  <c r="M434" i="1" s="1"/>
  <c r="K542" i="1"/>
  <c r="M542" i="1" s="1"/>
  <c r="K210" i="1"/>
  <c r="M210" i="1" s="1"/>
  <c r="K1584" i="1"/>
  <c r="M1584" i="1" s="1"/>
  <c r="K50" i="1"/>
  <c r="M50" i="1" s="1"/>
  <c r="K194" i="1"/>
  <c r="M194" i="1" s="1"/>
  <c r="K1362" i="1"/>
  <c r="M1362" i="1" s="1"/>
  <c r="K182" i="1"/>
  <c r="M182" i="1" s="1"/>
  <c r="K1664" i="1"/>
  <c r="M1664" i="1" s="1"/>
  <c r="K1963" i="1"/>
  <c r="M1963" i="1" s="1"/>
  <c r="K1210" i="1"/>
  <c r="M1210" i="1" s="1"/>
  <c r="K1498" i="1"/>
  <c r="M1498" i="1" s="1"/>
  <c r="K1327" i="1"/>
  <c r="M1327" i="1" s="1"/>
  <c r="K946" i="1"/>
  <c r="M946" i="1" s="1"/>
  <c r="K334" i="1"/>
  <c r="M334" i="1" s="1"/>
  <c r="K1713" i="1"/>
  <c r="M1713" i="1" s="1"/>
  <c r="K888" i="1"/>
  <c r="M888" i="1" s="1"/>
  <c r="K1023" i="1"/>
  <c r="M1023" i="1" s="1"/>
  <c r="K535" i="1"/>
  <c r="M535" i="1" s="1"/>
  <c r="K1207" i="1"/>
  <c r="M1207" i="1" s="1"/>
  <c r="K975" i="1"/>
  <c r="M975" i="1" s="1"/>
  <c r="K424" i="1"/>
  <c r="M424" i="1" s="1"/>
  <c r="K1128" i="1"/>
  <c r="M1128" i="1" s="1"/>
  <c r="K1033" i="1"/>
  <c r="M1033" i="1" s="1"/>
  <c r="K1471" i="1"/>
  <c r="M1471" i="1" s="1"/>
  <c r="K1523" i="1"/>
  <c r="M1523" i="1" s="1"/>
  <c r="K1752" i="1"/>
  <c r="M1752" i="1" s="1"/>
  <c r="K1618" i="1"/>
  <c r="M1618" i="1" s="1"/>
  <c r="K86" i="1"/>
  <c r="M86" i="1" s="1"/>
  <c r="K1720" i="1"/>
  <c r="M1720" i="1" s="1"/>
  <c r="K1314" i="1"/>
  <c r="M1314" i="1" s="1"/>
  <c r="K1199" i="1"/>
  <c r="M1199" i="1" s="1"/>
  <c r="K1697" i="1"/>
  <c r="M1697" i="1" s="1"/>
  <c r="K1608" i="1"/>
  <c r="M1608" i="1" s="1"/>
  <c r="K1600" i="1"/>
  <c r="M1600" i="1" s="1"/>
  <c r="K25" i="1"/>
  <c r="M25" i="1" s="1"/>
  <c r="K1921" i="1"/>
  <c r="M1921" i="1" s="1"/>
  <c r="K373" i="1"/>
  <c r="M373" i="1" s="1"/>
  <c r="K576" i="1"/>
  <c r="M576" i="1" s="1"/>
  <c r="K1886" i="1"/>
  <c r="M1886" i="1" s="1"/>
  <c r="K293" i="1"/>
  <c r="M293" i="1" s="1"/>
  <c r="K1262" i="1"/>
  <c r="M1262" i="1" s="1"/>
  <c r="K1068" i="1"/>
  <c r="M1068" i="1" s="1"/>
  <c r="K1575" i="1"/>
  <c r="M1575" i="1" s="1"/>
  <c r="K644" i="1"/>
  <c r="M644" i="1" s="1"/>
  <c r="K1994" i="1"/>
  <c r="M1994" i="1" s="1"/>
  <c r="K1858" i="1"/>
  <c r="M1858" i="1" s="1"/>
  <c r="K1570" i="1"/>
  <c r="M1570" i="1" s="1"/>
  <c r="K1924" i="1"/>
  <c r="M1924" i="1" s="1"/>
  <c r="K162" i="1"/>
  <c r="M162" i="1" s="1"/>
  <c r="K1354" i="1"/>
  <c r="M1354" i="1" s="1"/>
  <c r="K742" i="1"/>
  <c r="M742" i="1" s="1"/>
  <c r="K1962" i="1"/>
  <c r="M1962" i="1" s="1"/>
  <c r="K1641" i="1"/>
  <c r="M1641" i="1" s="1"/>
  <c r="K346" i="1"/>
  <c r="M346" i="1" s="1"/>
  <c r="K1302" i="1"/>
  <c r="M1302" i="1" s="1"/>
  <c r="K1728" i="1"/>
  <c r="M1728" i="1" s="1"/>
  <c r="K988" i="1"/>
  <c r="M988" i="1" s="1"/>
  <c r="K1007" i="1"/>
  <c r="M1007" i="1" s="1"/>
  <c r="K1250" i="1"/>
  <c r="M1250" i="1" s="1"/>
  <c r="K1946" i="1"/>
  <c r="M1946" i="1" s="1"/>
  <c r="K1719" i="1"/>
  <c r="M1719" i="1" s="1"/>
  <c r="K1328" i="1"/>
  <c r="M1328" i="1" s="1"/>
  <c r="K1482" i="1"/>
  <c r="M1482" i="1" s="1"/>
  <c r="K863" i="1"/>
  <c r="M863" i="1" s="1"/>
  <c r="K111" i="1"/>
  <c r="M111" i="1" s="1"/>
  <c r="K1777" i="1"/>
  <c r="M1777" i="1" s="1"/>
  <c r="K1290" i="1"/>
  <c r="M1290" i="1" s="1"/>
  <c r="K107" i="1"/>
  <c r="M107" i="1" s="1"/>
  <c r="K538" i="1"/>
  <c r="M538" i="1" s="1"/>
  <c r="K521" i="1"/>
  <c r="M521" i="1" s="1"/>
  <c r="K413" i="1"/>
  <c r="M413" i="1" s="1"/>
  <c r="K1961" i="1"/>
  <c r="M1961" i="1" s="1"/>
  <c r="K827" i="1"/>
  <c r="M827" i="1" s="1"/>
  <c r="K1831" i="1"/>
  <c r="M1831" i="1" s="1"/>
  <c r="K1261" i="1"/>
  <c r="M1261" i="1" s="1"/>
  <c r="J1006" i="1"/>
  <c r="J1021" i="1"/>
  <c r="J1030" i="1"/>
  <c r="J1038" i="1"/>
  <c r="J1046" i="1"/>
  <c r="J1054" i="1"/>
  <c r="J1062" i="1"/>
  <c r="J1069" i="1"/>
  <c r="J1078" i="1"/>
  <c r="J1086" i="1"/>
  <c r="J1094" i="1"/>
  <c r="J1103" i="1"/>
  <c r="J1110" i="1"/>
  <c r="J1118" i="1"/>
  <c r="J1126" i="1"/>
  <c r="J1134" i="1"/>
  <c r="J1150" i="1"/>
  <c r="J1158" i="1"/>
  <c r="J1166" i="1"/>
  <c r="J1174" i="1"/>
  <c r="J1182" i="1"/>
  <c r="J1190" i="1"/>
  <c r="J1198" i="1"/>
  <c r="J1206" i="1"/>
  <c r="J1214" i="1"/>
  <c r="J1222" i="1"/>
  <c r="J1230" i="1"/>
  <c r="J1237" i="1"/>
  <c r="J1246" i="1"/>
  <c r="J1254" i="1"/>
  <c r="J1270" i="1"/>
  <c r="J1278" i="1"/>
  <c r="J1286" i="1"/>
  <c r="J1294" i="1"/>
  <c r="J1310" i="1"/>
  <c r="J1318" i="1"/>
  <c r="J1326" i="1"/>
  <c r="J1334" i="1"/>
  <c r="J1350" i="1"/>
  <c r="J1366" i="1"/>
  <c r="J1374" i="1"/>
  <c r="J1383" i="1"/>
  <c r="J1390" i="1"/>
  <c r="J1398" i="1"/>
  <c r="J1414" i="1"/>
  <c r="J1422" i="1"/>
  <c r="J1430" i="1"/>
  <c r="J1446" i="1"/>
  <c r="J1454" i="1"/>
  <c r="J1478" i="1"/>
  <c r="J1486" i="1"/>
  <c r="J1494" i="1"/>
  <c r="J1509" i="1"/>
  <c r="J1518" i="1"/>
  <c r="J1534" i="1"/>
  <c r="J1550" i="1"/>
  <c r="J1558" i="1"/>
  <c r="J1566" i="1"/>
  <c r="J1574" i="1"/>
  <c r="J1582" i="1"/>
  <c r="J1590" i="1"/>
  <c r="J1598" i="1"/>
  <c r="J1605" i="1"/>
  <c r="J1614" i="1"/>
  <c r="J1622" i="1"/>
  <c r="J1631" i="1"/>
  <c r="J1638" i="1"/>
  <c r="J1645" i="1"/>
  <c r="J1654" i="1"/>
  <c r="J1662" i="1"/>
  <c r="J1678" i="1"/>
  <c r="J1694" i="1"/>
  <c r="J1702" i="1"/>
  <c r="J1718" i="1"/>
  <c r="J1726" i="1"/>
  <c r="J1742" i="1"/>
  <c r="J1750" i="1"/>
  <c r="J1758" i="1"/>
  <c r="J1766" i="1"/>
  <c r="J1774" i="1"/>
  <c r="J1789" i="1"/>
  <c r="J1798" i="1"/>
  <c r="J1806" i="1"/>
  <c r="J1814" i="1"/>
  <c r="J1822" i="1"/>
  <c r="J1830" i="1"/>
  <c r="J1838" i="1"/>
  <c r="J1854" i="1"/>
  <c r="J1862" i="1"/>
  <c r="J1870" i="1"/>
  <c r="J1878" i="1"/>
  <c r="J1894" i="1"/>
  <c r="J1902" i="1"/>
  <c r="J1910" i="1"/>
  <c r="J1927" i="1"/>
  <c r="J1934" i="1"/>
  <c r="J1942" i="1"/>
  <c r="J1951" i="1"/>
  <c r="J1958" i="1"/>
  <c r="J1965" i="1"/>
  <c r="J1982" i="1"/>
  <c r="J1990" i="1"/>
  <c r="J1999" i="1"/>
  <c r="K252" i="1"/>
  <c r="M252" i="1" s="1"/>
  <c r="K1014" i="1"/>
  <c r="M1014" i="1" s="1"/>
  <c r="K277" i="1"/>
  <c r="M277" i="1" s="1"/>
  <c r="K1108" i="1"/>
  <c r="M1108" i="1" s="1"/>
  <c r="K701" i="1"/>
  <c r="M701" i="1" s="1"/>
  <c r="K365" i="1"/>
  <c r="M365" i="1" s="1"/>
  <c r="K121" i="1"/>
  <c r="M121" i="1" s="1"/>
  <c r="K228" i="1"/>
  <c r="M228" i="1" s="1"/>
  <c r="K124" i="1"/>
  <c r="M124" i="1" s="1"/>
  <c r="K512" i="1"/>
  <c r="M512" i="1" s="1"/>
  <c r="K1820" i="1"/>
  <c r="M1820" i="1" s="1"/>
  <c r="K566" i="1"/>
  <c r="M566" i="1" s="1"/>
  <c r="K967" i="1"/>
  <c r="M967" i="1" s="1"/>
  <c r="K153" i="1"/>
  <c r="M153" i="1" s="1"/>
  <c r="K407" i="1"/>
  <c r="M407" i="1" s="1"/>
  <c r="K198" i="1"/>
  <c r="M198" i="1" s="1"/>
  <c r="K357" i="1"/>
  <c r="M357" i="1" s="1"/>
  <c r="K62" i="1"/>
  <c r="M62" i="1" s="1"/>
  <c r="K70" i="1"/>
  <c r="M70" i="1" s="1"/>
  <c r="K921" i="1"/>
  <c r="M921" i="1" s="1"/>
  <c r="K945" i="1"/>
  <c r="M945" i="1" s="1"/>
  <c r="K760" i="1"/>
  <c r="M760" i="1" s="1"/>
  <c r="K1447" i="1"/>
  <c r="M1447" i="1" s="1"/>
  <c r="K940" i="1"/>
  <c r="M940" i="1" s="1"/>
  <c r="K1052" i="1"/>
  <c r="M1052" i="1" s="1"/>
  <c r="K1901" i="1"/>
  <c r="M1901" i="1" s="1"/>
  <c r="K552" i="1"/>
  <c r="M552" i="1" s="1"/>
  <c r="K974" i="1"/>
  <c r="M974" i="1" s="1"/>
  <c r="K161" i="1"/>
  <c r="M161" i="1" s="1"/>
  <c r="K774" i="1"/>
  <c r="M774" i="1" s="1"/>
  <c r="K207" i="1"/>
  <c r="M207" i="1" s="1"/>
  <c r="K385" i="1"/>
  <c r="M385" i="1" s="1"/>
  <c r="K55" i="1"/>
  <c r="M55" i="1" s="1"/>
  <c r="K1359" i="1"/>
  <c r="M1359" i="1" s="1"/>
  <c r="K709" i="1"/>
  <c r="M709" i="1" s="1"/>
  <c r="K559" i="1"/>
  <c r="M559" i="1" s="1"/>
  <c r="J3" i="1"/>
  <c r="J28" i="1"/>
  <c r="J59" i="1"/>
  <c r="J83" i="1"/>
  <c r="J131" i="1"/>
  <c r="J146" i="1"/>
  <c r="J171" i="1"/>
  <c r="J243" i="1"/>
  <c r="J267" i="1"/>
  <c r="J291" i="1"/>
  <c r="J315" i="1"/>
  <c r="J330" i="1"/>
  <c r="J363" i="1"/>
  <c r="J387" i="1"/>
  <c r="J411" i="1"/>
  <c r="J435" i="1"/>
  <c r="J459" i="1"/>
  <c r="J467" i="1"/>
  <c r="J490" i="1"/>
  <c r="J588" i="1"/>
  <c r="J619" i="1"/>
  <c r="J659" i="1"/>
  <c r="J667" i="1"/>
  <c r="J699" i="1"/>
  <c r="J724" i="1"/>
  <c r="J746" i="1"/>
  <c r="J779" i="1"/>
  <c r="J828" i="1"/>
  <c r="J843" i="1"/>
  <c r="J867" i="1"/>
  <c r="J939" i="1"/>
  <c r="J963" i="1"/>
  <c r="J980" i="1"/>
  <c r="J1003" i="1"/>
  <c r="J1011" i="1"/>
  <c r="J1043" i="1"/>
  <c r="J1075" i="1"/>
  <c r="J1131" i="1"/>
  <c r="J1147" i="1"/>
  <c r="J1171" i="1"/>
  <c r="J1203" i="1"/>
  <c r="J1235" i="1"/>
  <c r="J1266" i="1"/>
  <c r="J1291" i="1"/>
  <c r="J1340" i="1"/>
  <c r="J1355" i="1"/>
  <c r="J1372" i="1"/>
  <c r="K259" i="1"/>
  <c r="M259" i="1" s="1"/>
  <c r="J4" i="1"/>
  <c r="J19" i="1"/>
  <c r="J44" i="1"/>
  <c r="J60" i="1"/>
  <c r="J84" i="1"/>
  <c r="J148" i="1"/>
  <c r="J204" i="1"/>
  <c r="J212" i="1"/>
  <c r="J236" i="1"/>
  <c r="J244" i="1"/>
  <c r="J308" i="1"/>
  <c r="J356" i="1"/>
  <c r="J372" i="1"/>
  <c r="J428" i="1"/>
  <c r="J451" i="1"/>
  <c r="J468" i="1"/>
  <c r="J492" i="1"/>
  <c r="J500" i="1"/>
  <c r="J532" i="1"/>
  <c r="J564" i="1"/>
  <c r="J587" i="1"/>
  <c r="J612" i="1"/>
  <c r="J669" i="1"/>
  <c r="J692" i="1"/>
  <c r="J723" i="1"/>
  <c r="J732" i="1"/>
  <c r="J756" i="1"/>
  <c r="J788" i="1"/>
  <c r="J901" i="1"/>
  <c r="J964" i="1"/>
  <c r="J972" i="1"/>
  <c r="J996" i="1"/>
  <c r="J1020" i="1"/>
  <c r="J1100" i="1"/>
  <c r="J1124" i="1"/>
  <c r="J1180" i="1"/>
  <c r="J1228" i="1"/>
  <c r="J1252" i="1"/>
  <c r="J1276" i="1"/>
  <c r="J1348" i="1"/>
  <c r="J1356" i="1"/>
  <c r="J1380" i="1"/>
  <c r="J1396" i="1"/>
  <c r="J1419" i="1"/>
  <c r="J1444" i="1"/>
  <c r="J1468" i="1"/>
  <c r="J1500" i="1"/>
  <c r="J1516" i="1"/>
  <c r="J1532" i="1"/>
  <c r="J1556" i="1"/>
  <c r="J1580" i="1"/>
  <c r="J1596" i="1"/>
  <c r="J1620" i="1"/>
  <c r="J1675" i="1"/>
  <c r="J1715" i="1"/>
  <c r="J1764" i="1"/>
  <c r="J1788" i="1"/>
  <c r="J1844" i="1"/>
  <c r="J1892" i="1"/>
  <c r="J1916" i="1"/>
  <c r="J1940" i="1"/>
  <c r="J1972" i="1"/>
  <c r="J1996" i="1"/>
  <c r="K1220" i="1"/>
  <c r="M1220" i="1" s="1"/>
  <c r="K316" i="1"/>
  <c r="M316" i="1" s="1"/>
  <c r="K1980" i="1"/>
  <c r="M1980" i="1" s="1"/>
  <c r="K1084" i="1"/>
  <c r="M1084" i="1" s="1"/>
  <c r="K916" i="1"/>
  <c r="M916" i="1" s="1"/>
  <c r="K1300" i="1"/>
  <c r="M1300" i="1" s="1"/>
  <c r="K1828" i="1"/>
  <c r="M1828" i="1" s="1"/>
  <c r="J22" i="1"/>
  <c r="J37" i="1"/>
  <c r="J61" i="1"/>
  <c r="J77" i="1"/>
  <c r="J101" i="1"/>
  <c r="J125" i="1"/>
  <c r="J149" i="1"/>
  <c r="J164" i="1"/>
  <c r="J181" i="1"/>
  <c r="J205" i="1"/>
  <c r="J318" i="1"/>
  <c r="J342" i="1"/>
  <c r="J405" i="1"/>
  <c r="J430" i="1"/>
  <c r="J437" i="1"/>
  <c r="J461" i="1"/>
  <c r="J477" i="1"/>
  <c r="J493" i="1"/>
  <c r="J517" i="1"/>
  <c r="J533" i="1"/>
  <c r="J557" i="1"/>
  <c r="J597" i="1"/>
  <c r="J620" i="1"/>
  <c r="J645" i="1"/>
  <c r="J668" i="1"/>
  <c r="J725" i="1"/>
  <c r="J749" i="1"/>
  <c r="J773" i="1"/>
  <c r="J829" i="1"/>
  <c r="J893" i="1"/>
  <c r="J909" i="1"/>
  <c r="J941" i="1"/>
  <c r="J1005" i="1"/>
  <c r="J1037" i="1"/>
  <c r="J1053" i="1"/>
  <c r="J1077" i="1"/>
  <c r="J1101" i="1"/>
  <c r="J1125" i="1"/>
  <c r="J1140" i="1"/>
  <c r="J1165" i="1"/>
  <c r="J1181" i="1"/>
  <c r="J1221" i="1"/>
  <c r="J1238" i="1"/>
  <c r="J1245" i="1"/>
  <c r="J1253" i="1"/>
  <c r="J1269" i="1"/>
  <c r="J1301" i="1"/>
  <c r="J1341" i="1"/>
  <c r="J1349" i="1"/>
  <c r="J1373" i="1"/>
  <c r="J1389" i="1"/>
  <c r="J1405" i="1"/>
  <c r="J1421" i="1"/>
  <c r="J1437" i="1"/>
  <c r="J1453" i="1"/>
  <c r="J1477" i="1"/>
  <c r="J1485" i="1"/>
  <c r="J1501" i="1"/>
  <c r="J1510" i="1"/>
  <c r="J1525" i="1"/>
  <c r="J1533" i="1"/>
  <c r="J1557" i="1"/>
  <c r="J1572" i="1"/>
  <c r="J1606" i="1"/>
  <c r="J1621" i="1"/>
  <c r="J1629" i="1"/>
  <c r="J1646" i="1"/>
  <c r="J1669" i="1"/>
  <c r="J1709" i="1"/>
  <c r="J1725" i="1"/>
  <c r="J1741" i="1"/>
  <c r="J1749" i="1"/>
  <c r="J1765" i="1"/>
  <c r="J1773" i="1"/>
  <c r="J1790" i="1"/>
  <c r="J1805" i="1"/>
  <c r="J1821" i="1"/>
  <c r="J1837" i="1"/>
  <c r="J1869" i="1"/>
  <c r="J1885" i="1"/>
  <c r="J1893" i="1"/>
  <c r="J1909" i="1"/>
  <c r="J1966" i="1"/>
  <c r="J1981" i="1"/>
  <c r="J1989" i="1"/>
  <c r="K1132" i="1"/>
  <c r="M1132" i="1" s="1"/>
  <c r="K1027" i="1"/>
  <c r="M1027" i="1" s="1"/>
  <c r="K211" i="1"/>
  <c r="M211" i="1" s="1"/>
  <c r="K629" i="1"/>
  <c r="M629" i="1" s="1"/>
  <c r="K1404" i="1"/>
  <c r="M1404" i="1" s="1"/>
  <c r="K1333" i="1"/>
  <c r="M1333" i="1" s="1"/>
  <c r="K1284" i="1"/>
  <c r="M1284" i="1" s="1"/>
  <c r="K1204" i="1"/>
  <c r="M1204" i="1" s="1"/>
  <c r="K581" i="1"/>
  <c r="M581" i="1" s="1"/>
  <c r="K1139" i="1"/>
  <c r="M1139" i="1" s="1"/>
  <c r="K284" i="1"/>
  <c r="M284" i="1" s="1"/>
  <c r="K245" i="1"/>
  <c r="M245" i="1" s="1"/>
  <c r="K27" i="1"/>
  <c r="M27" i="1" s="1"/>
  <c r="K1205" i="1"/>
  <c r="M1205" i="1" s="1"/>
  <c r="K85" i="1"/>
  <c r="M85" i="1" s="1"/>
  <c r="K378" i="1"/>
  <c r="M378" i="1" s="1"/>
  <c r="K931" i="1"/>
  <c r="M931" i="1" s="1"/>
  <c r="J6" i="1"/>
  <c r="J14" i="1"/>
  <c r="J21" i="1"/>
  <c r="J30" i="1"/>
  <c r="J38" i="1"/>
  <c r="J46" i="1"/>
  <c r="J78" i="1"/>
  <c r="J94" i="1"/>
  <c r="J102" i="1"/>
  <c r="J110" i="1"/>
  <c r="J118" i="1"/>
  <c r="J126" i="1"/>
  <c r="J134" i="1"/>
  <c r="J142" i="1"/>
  <c r="J166" i="1"/>
  <c r="J174" i="1"/>
  <c r="J190" i="1"/>
  <c r="J222" i="1"/>
  <c r="J230" i="1"/>
  <c r="J238" i="1"/>
  <c r="J246" i="1"/>
  <c r="J254" i="1"/>
  <c r="J262" i="1"/>
  <c r="J270" i="1"/>
  <c r="J278" i="1"/>
  <c r="J294" i="1"/>
  <c r="J302" i="1"/>
  <c r="J317" i="1"/>
  <c r="J326" i="1"/>
  <c r="J341" i="1"/>
  <c r="J350" i="1"/>
  <c r="J358" i="1"/>
  <c r="J366" i="1"/>
  <c r="J390" i="1"/>
  <c r="J398" i="1"/>
  <c r="J406" i="1"/>
  <c r="J414" i="1"/>
  <c r="J429" i="1"/>
  <c r="J447" i="1"/>
  <c r="J454" i="1"/>
  <c r="J462" i="1"/>
  <c r="J470" i="1"/>
  <c r="J478" i="1"/>
  <c r="J486" i="1"/>
  <c r="J494" i="1"/>
  <c r="J511" i="1"/>
  <c r="J518" i="1"/>
  <c r="J534" i="1"/>
  <c r="J550" i="1"/>
  <c r="J558" i="1"/>
  <c r="J573" i="1"/>
  <c r="J598" i="1"/>
  <c r="J613" i="1"/>
  <c r="J622" i="1"/>
  <c r="J630" i="1"/>
  <c r="J638" i="1"/>
  <c r="J646" i="1"/>
  <c r="J662" i="1"/>
  <c r="J670" i="1"/>
  <c r="J678" i="1"/>
  <c r="J686" i="1"/>
  <c r="J711" i="1"/>
  <c r="J718" i="1"/>
  <c r="J734" i="1"/>
  <c r="J750" i="1"/>
  <c r="J757" i="1"/>
  <c r="J782" i="1"/>
  <c r="J790" i="1"/>
  <c r="J798" i="1"/>
  <c r="J805" i="1"/>
  <c r="J814" i="1"/>
  <c r="J822" i="1"/>
  <c r="J830" i="1"/>
  <c r="J838" i="1"/>
  <c r="J846" i="1"/>
  <c r="J854" i="1"/>
  <c r="J862" i="1"/>
  <c r="J886" i="1"/>
  <c r="J894" i="1"/>
  <c r="J910" i="1"/>
  <c r="J926" i="1"/>
  <c r="J950" i="1"/>
  <c r="J998" i="1"/>
  <c r="J23" i="1"/>
  <c r="J31" i="1"/>
  <c r="J39" i="1"/>
  <c r="J47" i="1"/>
  <c r="J54" i="1"/>
  <c r="J71" i="1"/>
  <c r="J79" i="1"/>
  <c r="J87" i="1"/>
  <c r="J95" i="1"/>
  <c r="J103" i="1"/>
  <c r="J120" i="1"/>
  <c r="J127" i="1"/>
  <c r="J135" i="1"/>
  <c r="J143" i="1"/>
  <c r="J152" i="1"/>
  <c r="J159" i="1"/>
  <c r="J167" i="1"/>
  <c r="J175" i="1"/>
  <c r="J183" i="1"/>
  <c r="J199" i="1"/>
  <c r="J206" i="1"/>
  <c r="J215" i="1"/>
  <c r="J223" i="1"/>
  <c r="J231" i="1"/>
  <c r="J239" i="1"/>
  <c r="J247" i="1"/>
  <c r="J255" i="1"/>
  <c r="J263" i="1"/>
  <c r="J271" i="1"/>
  <c r="J279" i="1"/>
  <c r="J287" i="1"/>
  <c r="J295" i="1"/>
  <c r="J311" i="1"/>
  <c r="J319" i="1"/>
  <c r="J328" i="1"/>
  <c r="J335" i="1"/>
  <c r="J343" i="1"/>
  <c r="J352" i="1"/>
  <c r="J367" i="1"/>
  <c r="J375" i="1"/>
  <c r="J383" i="1"/>
  <c r="J399" i="1"/>
  <c r="J415" i="1"/>
  <c r="J423" i="1"/>
  <c r="J439" i="1"/>
  <c r="J446" i="1"/>
  <c r="J455" i="1"/>
  <c r="J463" i="1"/>
  <c r="J479" i="1"/>
  <c r="J487" i="1"/>
  <c r="J495" i="1"/>
  <c r="J510" i="1"/>
  <c r="J519" i="1"/>
  <c r="J560" i="1"/>
  <c r="J575" i="1"/>
  <c r="J583" i="1"/>
  <c r="J591" i="1"/>
  <c r="J599" i="1"/>
  <c r="J606" i="1"/>
  <c r="J615" i="1"/>
  <c r="J623" i="1"/>
  <c r="J631" i="1"/>
  <c r="J647" i="1"/>
  <c r="J663" i="1"/>
  <c r="J672" i="1"/>
  <c r="J679" i="1"/>
  <c r="J703" i="1"/>
  <c r="J710" i="1"/>
  <c r="J719" i="1"/>
  <c r="J727" i="1"/>
  <c r="J735" i="1"/>
  <c r="J743" i="1"/>
  <c r="J759" i="1"/>
  <c r="J767" i="1"/>
  <c r="J775" i="1"/>
  <c r="J800" i="1"/>
  <c r="J815" i="1"/>
  <c r="J823" i="1"/>
  <c r="J839" i="1"/>
  <c r="J847" i="1"/>
  <c r="J871" i="1"/>
  <c r="J895" i="1"/>
  <c r="J903" i="1"/>
  <c r="J911" i="1"/>
  <c r="J919" i="1"/>
  <c r="J935" i="1"/>
  <c r="J943" i="1"/>
  <c r="J952" i="1"/>
  <c r="J959" i="1"/>
  <c r="J983" i="1"/>
  <c r="J991" i="1"/>
  <c r="J1000" i="1"/>
  <c r="J1031" i="1"/>
  <c r="J1039" i="1"/>
  <c r="J1047" i="1"/>
  <c r="J1055" i="1"/>
  <c r="J1063" i="1"/>
  <c r="J1087" i="1"/>
  <c r="J1095" i="1"/>
  <c r="J1102" i="1"/>
  <c r="J1111" i="1"/>
  <c r="J1119" i="1"/>
  <c r="J1127" i="1"/>
  <c r="J1135" i="1"/>
  <c r="J1159" i="1"/>
  <c r="J1167" i="1"/>
  <c r="J1176" i="1"/>
  <c r="J1183" i="1"/>
  <c r="J1215" i="1"/>
  <c r="J1223" i="1"/>
  <c r="J1231" i="1"/>
  <c r="J1247" i="1"/>
  <c r="J1263" i="1"/>
  <c r="J1279" i="1"/>
  <c r="J1287" i="1"/>
  <c r="J1303" i="1"/>
  <c r="J1311" i="1"/>
  <c r="J1319" i="1"/>
  <c r="J1335" i="1"/>
  <c r="J1343" i="1"/>
  <c r="J1351" i="1"/>
  <c r="J1358" i="1"/>
  <c r="J1375" i="1"/>
  <c r="J1382" i="1"/>
  <c r="J1392" i="1"/>
  <c r="J1399" i="1"/>
  <c r="J1407" i="1"/>
  <c r="J1415" i="1"/>
  <c r="J1423" i="1"/>
  <c r="J1431" i="1"/>
  <c r="J1439" i="1"/>
  <c r="J1455" i="1"/>
  <c r="J1463" i="1"/>
  <c r="J1479" i="1"/>
  <c r="J1487" i="1"/>
  <c r="J1495" i="1"/>
  <c r="J1503" i="1"/>
  <c r="J1519" i="1"/>
  <c r="J1528" i="1"/>
  <c r="J1551" i="1"/>
  <c r="J1567" i="1"/>
  <c r="J1583" i="1"/>
  <c r="J1591" i="1"/>
  <c r="J1599" i="1"/>
  <c r="J1607" i="1"/>
  <c r="J1615" i="1"/>
  <c r="J1623" i="1"/>
  <c r="J1630" i="1"/>
  <c r="J1640" i="1"/>
  <c r="J1647" i="1"/>
  <c r="J1655" i="1"/>
  <c r="J1663" i="1"/>
  <c r="J1671" i="1"/>
  <c r="J1687" i="1"/>
  <c r="J1695" i="1"/>
  <c r="J1704" i="1"/>
  <c r="J1711" i="1"/>
  <c r="J1727" i="1"/>
  <c r="J1736" i="1"/>
  <c r="J1743" i="1"/>
  <c r="J1759" i="1"/>
  <c r="J1783" i="1"/>
  <c r="J1800" i="1"/>
  <c r="J1807" i="1"/>
  <c r="J1815" i="1"/>
  <c r="J1839" i="1"/>
  <c r="J1848" i="1"/>
  <c r="J1855" i="1"/>
  <c r="J1863" i="1"/>
  <c r="J1871" i="1"/>
  <c r="J1879" i="1"/>
  <c r="J1887" i="1"/>
  <c r="J1895" i="1"/>
  <c r="J1903" i="1"/>
  <c r="J1912" i="1"/>
  <c r="J1919" i="1"/>
  <c r="J1926" i="1"/>
  <c r="J1935" i="1"/>
  <c r="J1943" i="1"/>
  <c r="J1950" i="1"/>
  <c r="J1967" i="1"/>
  <c r="J1983" i="1"/>
  <c r="J1991" i="1"/>
  <c r="J1998" i="1"/>
  <c r="K476" i="1"/>
  <c r="M476" i="1" s="1"/>
  <c r="K489" i="1"/>
  <c r="M489" i="1" s="1"/>
  <c r="K807" i="1"/>
  <c r="M807" i="1" s="1"/>
  <c r="K605" i="1"/>
  <c r="M605" i="1" s="1"/>
  <c r="K241" i="1"/>
  <c r="M241" i="1" s="1"/>
  <c r="K1941" i="1"/>
  <c r="M1941" i="1" s="1"/>
  <c r="K249" i="1"/>
  <c r="M249" i="1" s="1"/>
  <c r="K937" i="1"/>
  <c r="M937" i="1" s="1"/>
  <c r="K536" i="1"/>
  <c r="M536" i="1" s="1"/>
  <c r="K1142" i="1"/>
  <c r="M1142" i="1" s="1"/>
  <c r="K56" i="1"/>
  <c r="M56" i="1" s="1"/>
  <c r="K803" i="1"/>
  <c r="M803" i="1" s="1"/>
  <c r="K726" i="1"/>
  <c r="M726" i="1" s="1"/>
  <c r="K892" i="1"/>
  <c r="M892" i="1" s="1"/>
  <c r="K483" i="1"/>
  <c r="M483" i="1" s="1"/>
  <c r="K733" i="1"/>
  <c r="M733" i="1" s="1"/>
  <c r="K1293" i="1"/>
  <c r="M1293" i="1" s="1"/>
  <c r="K1949" i="1"/>
  <c r="M1949" i="1" s="1"/>
  <c r="K837" i="1"/>
  <c r="M837" i="1" s="1"/>
  <c r="K904" i="1"/>
  <c r="M904" i="1" s="1"/>
  <c r="K1932" i="1"/>
  <c r="M1932" i="1" s="1"/>
  <c r="K887" i="1"/>
  <c r="M887" i="1" s="1"/>
  <c r="K717" i="1"/>
  <c r="M717" i="1" s="1"/>
  <c r="K876" i="1"/>
  <c r="M876" i="1" s="1"/>
  <c r="K831" i="1"/>
  <c r="M831" i="1" s="1"/>
  <c r="K1342" i="1"/>
  <c r="M1342" i="1" s="1"/>
  <c r="K214" i="1"/>
  <c r="M214" i="1" s="1"/>
  <c r="K1956" i="1"/>
  <c r="M1956" i="1" s="1"/>
  <c r="K526" i="1"/>
  <c r="M526" i="1" s="1"/>
  <c r="K675" i="1"/>
  <c r="M675" i="1" s="1"/>
  <c r="K1472" i="1"/>
  <c r="M1472" i="1" s="1"/>
  <c r="K1367" i="1"/>
  <c r="M1367" i="1" s="1"/>
  <c r="K7" i="1"/>
  <c r="M7" i="1" s="1"/>
  <c r="K987" i="1"/>
  <c r="M987" i="1" s="1"/>
  <c r="K785" i="1"/>
  <c r="M785" i="1" s="1"/>
  <c r="K269" i="1"/>
  <c r="M269" i="1" s="1"/>
  <c r="K15" i="1"/>
  <c r="M15" i="1" s="1"/>
  <c r="K840" i="1"/>
  <c r="M840" i="1" s="1"/>
  <c r="K503" i="1"/>
  <c r="M503" i="1" s="1"/>
  <c r="K1201" i="1"/>
  <c r="M1201" i="1" s="1"/>
  <c r="K653" i="1"/>
  <c r="M653" i="1" s="1"/>
  <c r="J12" i="1"/>
  <c r="J43" i="1"/>
  <c r="J67" i="1"/>
  <c r="J91" i="1"/>
  <c r="J115" i="1"/>
  <c r="J139" i="1"/>
  <c r="J163" i="1"/>
  <c r="J178" i="1"/>
  <c r="J195" i="1"/>
  <c r="J220" i="1"/>
  <c r="J234" i="1"/>
  <c r="J275" i="1"/>
  <c r="J307" i="1"/>
  <c r="J347" i="1"/>
  <c r="J371" i="1"/>
  <c r="J395" i="1"/>
  <c r="J419" i="1"/>
  <c r="J443" i="1"/>
  <c r="J475" i="1"/>
  <c r="J531" i="1"/>
  <c r="J556" i="1"/>
  <c r="J595" i="1"/>
  <c r="J603" i="1"/>
  <c r="J627" i="1"/>
  <c r="J643" i="1"/>
  <c r="J691" i="1"/>
  <c r="J715" i="1"/>
  <c r="J739" i="1"/>
  <c r="J763" i="1"/>
  <c r="J787" i="1"/>
  <c r="J811" i="1"/>
  <c r="J835" i="1"/>
  <c r="J883" i="1"/>
  <c r="J908" i="1"/>
  <c r="J932" i="1"/>
  <c r="J955" i="1"/>
  <c r="J1051" i="1"/>
  <c r="J1067" i="1"/>
  <c r="J1092" i="1"/>
  <c r="J1099" i="1"/>
  <c r="J1123" i="1"/>
  <c r="J1179" i="1"/>
  <c r="J1195" i="1"/>
  <c r="J1219" i="1"/>
  <c r="J1227" i="1"/>
  <c r="J1251" i="1"/>
  <c r="J1275" i="1"/>
  <c r="J1299" i="1"/>
  <c r="J1323" i="1"/>
  <c r="J1347" i="1"/>
  <c r="K635" i="1"/>
  <c r="M635" i="1" s="1"/>
  <c r="J52" i="1"/>
  <c r="J68" i="1"/>
  <c r="J116" i="1"/>
  <c r="J140" i="1"/>
  <c r="J172" i="1"/>
  <c r="J188" i="1"/>
  <c r="J219" i="1"/>
  <c r="J299" i="1"/>
  <c r="J324" i="1"/>
  <c r="J348" i="1"/>
  <c r="J388" i="1"/>
  <c r="J420" i="1"/>
  <c r="J444" i="1"/>
  <c r="J524" i="1"/>
  <c r="J549" i="1"/>
  <c r="J580" i="1"/>
  <c r="J604" i="1"/>
  <c r="J628" i="1"/>
  <c r="J684" i="1"/>
  <c r="J708" i="1"/>
  <c r="J764" i="1"/>
  <c r="J780" i="1"/>
  <c r="J804" i="1"/>
  <c r="J820" i="1"/>
  <c r="J836" i="1"/>
  <c r="J852" i="1"/>
  <c r="J924" i="1"/>
  <c r="J948" i="1"/>
  <c r="J1012" i="1"/>
  <c r="J1036" i="1"/>
  <c r="J1076" i="1"/>
  <c r="J1148" i="1"/>
  <c r="J1172" i="1"/>
  <c r="J1196" i="1"/>
  <c r="J1244" i="1"/>
  <c r="J1268" i="1"/>
  <c r="J1308" i="1"/>
  <c r="J1316" i="1"/>
  <c r="J1339" i="1"/>
  <c r="J1371" i="1"/>
  <c r="J1412" i="1"/>
  <c r="J1436" i="1"/>
  <c r="J1459" i="1"/>
  <c r="J1476" i="1"/>
  <c r="J1492" i="1"/>
  <c r="J1524" i="1"/>
  <c r="J1540" i="1"/>
  <c r="J1563" i="1"/>
  <c r="J1588" i="1"/>
  <c r="J1612" i="1"/>
  <c r="J1668" i="1"/>
  <c r="J1724" i="1"/>
  <c r="J1756" i="1"/>
  <c r="J1772" i="1"/>
  <c r="J1796" i="1"/>
  <c r="J1811" i="1"/>
  <c r="J1836" i="1"/>
  <c r="J1860" i="1"/>
  <c r="J1884" i="1"/>
  <c r="J1908" i="1"/>
  <c r="J1988" i="1"/>
  <c r="K187" i="1"/>
  <c r="M187" i="1" s="1"/>
  <c r="K1019" i="1"/>
  <c r="M1019" i="1" s="1"/>
  <c r="K276" i="1"/>
  <c r="M276" i="1" s="1"/>
  <c r="K1876" i="1"/>
  <c r="M1876" i="1" s="1"/>
  <c r="J13" i="1"/>
  <c r="J45" i="1"/>
  <c r="J109" i="1"/>
  <c r="J141" i="1"/>
  <c r="J213" i="1"/>
  <c r="J229" i="1"/>
  <c r="J253" i="1"/>
  <c r="J325" i="1"/>
  <c r="J349" i="1"/>
  <c r="J421" i="1"/>
  <c r="J445" i="1"/>
  <c r="J469" i="1"/>
  <c r="J501" i="1"/>
  <c r="J525" i="1"/>
  <c r="J548" i="1"/>
  <c r="J565" i="1"/>
  <c r="J589" i="1"/>
  <c r="J654" i="1"/>
  <c r="J677" i="1"/>
  <c r="J758" i="1"/>
  <c r="J797" i="1"/>
  <c r="J845" i="1"/>
  <c r="J861" i="1"/>
  <c r="J885" i="1"/>
  <c r="J933" i="1"/>
  <c r="J957" i="1"/>
  <c r="J973" i="1"/>
  <c r="J997" i="1"/>
  <c r="J1022" i="1"/>
  <c r="J1061" i="1"/>
  <c r="J1085" i="1"/>
  <c r="J1109" i="1"/>
  <c r="J1157" i="1"/>
  <c r="J1173" i="1"/>
  <c r="J1189" i="1"/>
  <c r="J1229" i="1"/>
  <c r="J1277" i="1"/>
  <c r="J1285" i="1"/>
  <c r="J1397" i="1"/>
  <c r="J1413" i="1"/>
  <c r="J1429" i="1"/>
  <c r="J1445" i="1"/>
  <c r="J1469" i="1"/>
  <c r="J1493" i="1"/>
  <c r="J1517" i="1"/>
  <c r="J1541" i="1"/>
  <c r="J1549" i="1"/>
  <c r="J1565" i="1"/>
  <c r="J1597" i="1"/>
  <c r="J1613" i="1"/>
  <c r="J1637" i="1"/>
  <c r="J1661" i="1"/>
  <c r="J1677" i="1"/>
  <c r="J1693" i="1"/>
  <c r="J1701" i="1"/>
  <c r="J1717" i="1"/>
  <c r="J1733" i="1"/>
  <c r="J1781" i="1"/>
  <c r="J1797" i="1"/>
  <c r="J1813" i="1"/>
  <c r="J1829" i="1"/>
  <c r="J1845" i="1"/>
  <c r="J1853" i="1"/>
  <c r="J1877" i="1"/>
  <c r="J1917" i="1"/>
  <c r="J1925" i="1"/>
  <c r="J1957" i="1"/>
  <c r="J1973" i="1"/>
  <c r="J1997" i="1"/>
  <c r="K76" i="1"/>
  <c r="M76" i="1" s="1"/>
  <c r="K571" i="1"/>
  <c r="M571" i="1" s="1"/>
  <c r="K851" i="1"/>
  <c r="M851" i="1" s="1"/>
  <c r="J902" i="1"/>
  <c r="J934" i="1"/>
  <c r="J942" i="1"/>
  <c r="J958" i="1"/>
  <c r="J982" i="1"/>
  <c r="J990" i="1"/>
  <c r="J16" i="1"/>
  <c r="J33" i="1"/>
  <c r="J40" i="1"/>
  <c r="J48" i="1"/>
  <c r="J64" i="1"/>
  <c r="J72" i="1"/>
  <c r="J80" i="1"/>
  <c r="J88" i="1"/>
  <c r="J96" i="1"/>
  <c r="J104" i="1"/>
  <c r="J119" i="1"/>
  <c r="J128" i="1"/>
  <c r="J151" i="1"/>
  <c r="J160" i="1"/>
  <c r="J184" i="1"/>
  <c r="J192" i="1"/>
  <c r="J200" i="1"/>
  <c r="J208" i="1"/>
  <c r="J216" i="1"/>
  <c r="J224" i="1"/>
  <c r="J240" i="1"/>
  <c r="J248" i="1"/>
  <c r="J256" i="1"/>
  <c r="J264" i="1"/>
  <c r="J272" i="1"/>
  <c r="J281" i="1"/>
  <c r="J288" i="1"/>
  <c r="J312" i="1"/>
  <c r="J320" i="1"/>
  <c r="J327" i="1"/>
  <c r="J336" i="1"/>
  <c r="J344" i="1"/>
  <c r="J351" i="1"/>
  <c r="J368" i="1"/>
  <c r="J376" i="1"/>
  <c r="J384" i="1"/>
  <c r="J392" i="1"/>
  <c r="J400" i="1"/>
  <c r="J409" i="1"/>
  <c r="J416" i="1"/>
  <c r="J432" i="1"/>
  <c r="J441" i="1"/>
  <c r="J456" i="1"/>
  <c r="J464" i="1"/>
  <c r="J472" i="1"/>
  <c r="J488" i="1"/>
  <c r="J529" i="1"/>
  <c r="J544" i="1"/>
  <c r="J568" i="1"/>
  <c r="J584" i="1"/>
  <c r="J592" i="1"/>
  <c r="J600" i="1"/>
  <c r="J616" i="1"/>
  <c r="J625" i="1"/>
  <c r="J633" i="1"/>
  <c r="J640" i="1"/>
  <c r="J648" i="1"/>
  <c r="J656" i="1"/>
  <c r="J671" i="1"/>
  <c r="J680" i="1"/>
  <c r="J688" i="1"/>
  <c r="J696" i="1"/>
  <c r="J704" i="1"/>
  <c r="J712" i="1"/>
  <c r="J728" i="1"/>
  <c r="J736" i="1"/>
  <c r="J744" i="1"/>
  <c r="J752" i="1"/>
  <c r="J769" i="1"/>
  <c r="J777" i="1"/>
  <c r="J792" i="1"/>
  <c r="J799" i="1"/>
  <c r="J809" i="1"/>
  <c r="J816" i="1"/>
  <c r="J824" i="1"/>
  <c r="J833" i="1"/>
  <c r="J848" i="1"/>
  <c r="J856" i="1"/>
  <c r="J864" i="1"/>
  <c r="J880" i="1"/>
  <c r="J896" i="1"/>
  <c r="J912" i="1"/>
  <c r="J920" i="1"/>
  <c r="J928" i="1"/>
  <c r="J936" i="1"/>
  <c r="J951" i="1"/>
  <c r="J960" i="1"/>
  <c r="J968" i="1"/>
  <c r="J976" i="1"/>
  <c r="J999" i="1"/>
  <c r="J1016" i="1"/>
  <c r="J1024" i="1"/>
  <c r="J1032" i="1"/>
  <c r="J1040" i="1"/>
  <c r="J1048" i="1"/>
  <c r="J1056" i="1"/>
  <c r="J1064" i="1"/>
  <c r="J1072" i="1"/>
  <c r="J1080" i="1"/>
  <c r="J1089" i="1"/>
  <c r="J1096" i="1"/>
  <c r="J1104" i="1"/>
  <c r="J1120" i="1"/>
  <c r="J1136" i="1"/>
  <c r="J1144" i="1"/>
  <c r="J1168" i="1"/>
  <c r="J1175" i="1"/>
  <c r="J1192" i="1"/>
  <c r="J1208" i="1"/>
  <c r="J1216" i="1"/>
  <c r="J1224" i="1"/>
  <c r="J1232" i="1"/>
  <c r="J1240" i="1"/>
  <c r="J1248" i="1"/>
  <c r="J1256" i="1"/>
  <c r="J1264" i="1"/>
  <c r="J1272" i="1"/>
  <c r="J1288" i="1"/>
  <c r="J1296" i="1"/>
  <c r="J1304" i="1"/>
  <c r="J1312" i="1"/>
  <c r="J1320" i="1"/>
  <c r="J1336" i="1"/>
  <c r="J1344" i="1"/>
  <c r="J1352" i="1"/>
  <c r="J1360" i="1"/>
  <c r="J1368" i="1"/>
  <c r="J1376" i="1"/>
  <c r="J1391" i="1"/>
  <c r="J1401" i="1"/>
  <c r="J1416" i="1"/>
  <c r="J1424" i="1"/>
  <c r="J1432" i="1"/>
  <c r="J1440" i="1"/>
  <c r="J1448" i="1"/>
  <c r="J1456" i="1"/>
  <c r="J1481" i="1"/>
  <c r="J1496" i="1"/>
  <c r="J1505" i="1"/>
  <c r="J1512" i="1"/>
  <c r="J1527" i="1"/>
  <c r="J1536" i="1"/>
  <c r="J1544" i="1"/>
  <c r="J1552" i="1"/>
  <c r="J1568" i="1"/>
  <c r="J1609" i="1"/>
  <c r="J1616" i="1"/>
  <c r="J1632" i="1"/>
  <c r="J1639" i="1"/>
  <c r="J1648" i="1"/>
  <c r="J1656" i="1"/>
  <c r="J1672" i="1"/>
  <c r="J1696" i="1"/>
  <c r="J1703" i="1"/>
  <c r="J1712" i="1"/>
  <c r="J1735" i="1"/>
  <c r="J1744" i="1"/>
  <c r="J1760" i="1"/>
  <c r="J1768" i="1"/>
  <c r="J1776" i="1"/>
  <c r="J1785" i="1"/>
  <c r="J1799" i="1"/>
  <c r="J1808" i="1"/>
  <c r="J1816" i="1"/>
  <c r="J1825" i="1"/>
  <c r="J1832" i="1"/>
  <c r="J1840" i="1"/>
  <c r="J1847" i="1"/>
  <c r="J1856" i="1"/>
  <c r="J1864" i="1"/>
  <c r="J1872" i="1"/>
  <c r="J1888" i="1"/>
  <c r="J1896" i="1"/>
  <c r="J1911" i="1"/>
  <c r="J1920" i="1"/>
  <c r="J1928" i="1"/>
  <c r="J1936" i="1"/>
  <c r="J1944" i="1"/>
  <c r="J1960" i="1"/>
  <c r="J1969" i="1"/>
  <c r="J1976" i="1"/>
  <c r="J1984" i="1"/>
  <c r="J1992" i="1"/>
  <c r="J2000" i="1"/>
  <c r="K693" i="1"/>
  <c r="M693" i="1" s="1"/>
  <c r="K1379" i="1"/>
  <c r="M1379" i="1" s="1"/>
  <c r="K993" i="1"/>
  <c r="M993" i="1" s="1"/>
  <c r="K1115" i="1"/>
  <c r="M1115" i="1" s="1"/>
  <c r="K899" i="1"/>
  <c r="M899" i="1" s="1"/>
  <c r="K702" i="1"/>
  <c r="M702" i="1" s="1"/>
  <c r="K359" i="1"/>
  <c r="M359" i="1" s="1"/>
  <c r="K981" i="1"/>
  <c r="M981" i="1" s="1"/>
  <c r="K1688" i="1"/>
  <c r="M1688" i="1" s="1"/>
  <c r="K520" i="1"/>
  <c r="M520" i="1" s="1"/>
  <c r="K1700" i="1"/>
  <c r="M1700" i="1" s="1"/>
  <c r="K1542" i="1"/>
  <c r="M1542" i="1" s="1"/>
  <c r="K821" i="1"/>
  <c r="M821" i="1" s="1"/>
  <c r="K404" i="1"/>
  <c r="M404" i="1" s="1"/>
  <c r="K112" i="1"/>
  <c r="M112" i="1" s="1"/>
  <c r="K1792" i="1"/>
  <c r="M1792" i="1" s="1"/>
  <c r="K1079" i="1"/>
  <c r="M1079" i="1" s="1"/>
  <c r="K1406" i="1"/>
  <c r="M1406" i="1" s="1"/>
  <c r="K180" i="1"/>
  <c r="M180" i="1" s="1"/>
  <c r="K1155" i="1"/>
  <c r="M1155" i="1" s="1"/>
  <c r="K859" i="1"/>
  <c r="M859" i="1" s="1"/>
  <c r="K1255" i="1"/>
  <c r="M1255" i="1" s="1"/>
  <c r="K541" i="1"/>
  <c r="M541" i="1" s="1"/>
  <c r="K1464" i="1"/>
  <c r="M1464" i="1" s="1"/>
  <c r="K360" i="1"/>
  <c r="M360" i="1" s="1"/>
  <c r="K301" i="1"/>
  <c r="M301" i="1" s="1"/>
  <c r="K1791" i="1"/>
  <c r="M1791" i="1" s="1"/>
  <c r="K203" i="1"/>
  <c r="M203" i="1" s="1"/>
  <c r="K1670" i="1"/>
  <c r="M1670" i="1" s="1"/>
  <c r="K783" i="1"/>
  <c r="M783" i="1" s="1"/>
  <c r="K502" i="1"/>
  <c r="M502" i="1" s="1"/>
  <c r="K720" i="1"/>
  <c r="M720" i="1" s="1"/>
  <c r="K655" i="1"/>
  <c r="M655" i="1" s="1"/>
  <c r="K471" i="1"/>
  <c r="M471" i="1" s="1"/>
  <c r="K869" i="1"/>
  <c r="M869" i="1" s="1"/>
  <c r="K507" i="1"/>
  <c r="M507" i="1" s="1"/>
  <c r="K889" i="1"/>
  <c r="M889" i="1" s="1"/>
  <c r="K984" i="1"/>
  <c r="M984" i="1" s="1"/>
  <c r="K158" i="1"/>
  <c r="M158" i="1" s="1"/>
  <c r="K1273" i="1"/>
  <c r="M1273" i="1" s="1"/>
  <c r="K1428" i="1"/>
  <c r="M1428" i="1" s="1"/>
  <c r="K8" i="1"/>
  <c r="M8" i="1" s="1"/>
  <c r="K927" i="1"/>
  <c r="M927" i="1" s="1"/>
  <c r="K1321" i="1"/>
  <c r="M1321" i="1" s="1"/>
  <c r="K784" i="1"/>
  <c r="M784" i="1" s="1"/>
  <c r="K189" i="1"/>
  <c r="M189" i="1" s="1"/>
  <c r="K20" i="1"/>
  <c r="M20" i="1" s="1"/>
  <c r="K1315" i="1"/>
  <c r="M1315" i="1" s="1"/>
  <c r="K1200" i="1"/>
  <c r="M1200" i="1" s="1"/>
  <c r="J35" i="1"/>
  <c r="J51" i="1"/>
  <c r="J75" i="1"/>
  <c r="J99" i="1"/>
  <c r="J123" i="1"/>
  <c r="J155" i="1"/>
  <c r="J227" i="1"/>
  <c r="J251" i="1"/>
  <c r="J300" i="1"/>
  <c r="J323" i="1"/>
  <c r="J339" i="1"/>
  <c r="J355" i="1"/>
  <c r="J379" i="1"/>
  <c r="J402" i="1"/>
  <c r="J427" i="1"/>
  <c r="J452" i="1"/>
  <c r="J499" i="1"/>
  <c r="J523" i="1"/>
  <c r="J539" i="1"/>
  <c r="J563" i="1"/>
  <c r="J579" i="1"/>
  <c r="J651" i="1"/>
  <c r="J683" i="1"/>
  <c r="J706" i="1"/>
  <c r="J730" i="1"/>
  <c r="J755" i="1"/>
  <c r="J771" i="1"/>
  <c r="J795" i="1"/>
  <c r="J818" i="1"/>
  <c r="J875" i="1"/>
  <c r="J915" i="1"/>
  <c r="J947" i="1"/>
  <c r="J971" i="1"/>
  <c r="J995" i="1"/>
  <c r="J1035" i="1"/>
  <c r="J1059" i="1"/>
  <c r="J1083" i="1"/>
  <c r="J1107" i="1"/>
  <c r="J1163" i="1"/>
  <c r="J1187" i="1"/>
  <c r="J1211" i="1"/>
  <c r="J1243" i="1"/>
  <c r="J1259" i="1"/>
  <c r="J1283" i="1"/>
  <c r="J1307" i="1"/>
  <c r="J1331" i="1"/>
  <c r="J1363" i="1"/>
  <c r="K515" i="1"/>
  <c r="M515" i="1" s="1"/>
  <c r="J11" i="1"/>
  <c r="J36" i="1"/>
  <c r="J92" i="1"/>
  <c r="J108" i="1"/>
  <c r="J132" i="1"/>
  <c r="J156" i="1"/>
  <c r="J165" i="1"/>
  <c r="J196" i="1"/>
  <c r="J268" i="1"/>
  <c r="J292" i="1"/>
  <c r="J340" i="1"/>
  <c r="J364" i="1"/>
  <c r="J380" i="1"/>
  <c r="J396" i="1"/>
  <c r="J412" i="1"/>
  <c r="J436" i="1"/>
  <c r="J460" i="1"/>
  <c r="J484" i="1"/>
  <c r="J555" i="1"/>
  <c r="J572" i="1"/>
  <c r="J596" i="1"/>
  <c r="J621" i="1"/>
  <c r="J636" i="1"/>
  <c r="J652" i="1"/>
  <c r="J676" i="1"/>
  <c r="J700" i="1"/>
  <c r="J716" i="1"/>
  <c r="J740" i="1"/>
  <c r="J772" i="1"/>
  <c r="J796" i="1"/>
  <c r="J812" i="1"/>
  <c r="J868" i="1"/>
  <c r="J884" i="1"/>
  <c r="J907" i="1"/>
  <c r="J956" i="1"/>
  <c r="J979" i="1"/>
  <c r="J1004" i="1"/>
  <c r="J1028" i="1"/>
  <c r="J1044" i="1"/>
  <c r="J1091" i="1"/>
  <c r="J1116" i="1"/>
  <c r="J1164" i="1"/>
  <c r="J1188" i="1"/>
  <c r="J1212" i="1"/>
  <c r="J1236" i="1"/>
  <c r="J1260" i="1"/>
  <c r="J1332" i="1"/>
  <c r="J1364" i="1"/>
  <c r="J1388" i="1"/>
  <c r="J1452" i="1"/>
  <c r="J1484" i="1"/>
  <c r="J1508" i="1"/>
  <c r="J1548" i="1"/>
  <c r="J1573" i="1"/>
  <c r="J1604" i="1"/>
  <c r="J1628" i="1"/>
  <c r="J1635" i="1"/>
  <c r="J1684" i="1"/>
  <c r="J1692" i="1"/>
  <c r="J1708" i="1"/>
  <c r="J1732" i="1"/>
  <c r="J1748" i="1"/>
  <c r="J1780" i="1"/>
  <c r="J1804" i="1"/>
  <c r="J1852" i="1"/>
  <c r="J1900" i="1"/>
  <c r="K611" i="1"/>
  <c r="M611" i="1" s="1"/>
  <c r="K891" i="1"/>
  <c r="M891" i="1" s="1"/>
  <c r="K508" i="1"/>
  <c r="M508" i="1" s="1"/>
  <c r="K1948" i="1"/>
  <c r="M1948" i="1" s="1"/>
  <c r="K1644" i="1"/>
  <c r="M1644" i="1" s="1"/>
  <c r="K1141" i="1"/>
  <c r="M1141" i="1" s="1"/>
  <c r="J5" i="1"/>
  <c r="J29" i="1"/>
  <c r="J53" i="1"/>
  <c r="J69" i="1"/>
  <c r="J93" i="1"/>
  <c r="J117" i="1"/>
  <c r="J133" i="1"/>
  <c r="J157" i="1"/>
  <c r="J173" i="1"/>
  <c r="J197" i="1"/>
  <c r="J237" i="1"/>
  <c r="J285" i="1"/>
  <c r="J309" i="1"/>
  <c r="J333" i="1"/>
  <c r="J381" i="1"/>
  <c r="J509" i="1"/>
  <c r="J574" i="1"/>
  <c r="J614" i="1"/>
  <c r="J637" i="1"/>
  <c r="J661" i="1"/>
  <c r="J685" i="1"/>
  <c r="J765" i="1"/>
  <c r="J789" i="1"/>
  <c r="J813" i="1"/>
  <c r="J853" i="1"/>
  <c r="J877" i="1"/>
  <c r="J900" i="1"/>
  <c r="J925" i="1"/>
  <c r="J949" i="1"/>
  <c r="J965" i="1"/>
  <c r="J989" i="1"/>
  <c r="J1013" i="1"/>
  <c r="J1029" i="1"/>
  <c r="J1045" i="1"/>
  <c r="J1070" i="1"/>
  <c r="J1093" i="1"/>
  <c r="J1117" i="1"/>
  <c r="J1149" i="1"/>
  <c r="J1197" i="1"/>
  <c r="J1462" i="1"/>
  <c r="J17" i="1"/>
  <c r="J32" i="1"/>
  <c r="J41" i="1"/>
  <c r="J49" i="1"/>
  <c r="J57" i="1"/>
  <c r="J65" i="1"/>
  <c r="J73" i="1"/>
  <c r="J81" i="1"/>
  <c r="J89" i="1"/>
  <c r="J97" i="1"/>
  <c r="J105" i="1"/>
  <c r="J113" i="1"/>
  <c r="J129" i="1"/>
  <c r="J137" i="1"/>
  <c r="J145" i="1"/>
  <c r="J169" i="1"/>
  <c r="J177" i="1"/>
  <c r="J185" i="1"/>
  <c r="J193" i="1"/>
  <c r="J201" i="1"/>
  <c r="J209" i="1"/>
  <c r="J217" i="1"/>
  <c r="J225" i="1"/>
  <c r="J233" i="1"/>
  <c r="J257" i="1"/>
  <c r="J265" i="1"/>
  <c r="J273" i="1"/>
  <c r="J280" i="1"/>
  <c r="J289" i="1"/>
  <c r="J297" i="1"/>
  <c r="J305" i="1"/>
  <c r="J313" i="1"/>
  <c r="J321" i="1"/>
  <c r="J329" i="1"/>
  <c r="J338" i="1"/>
  <c r="J345" i="1"/>
  <c r="J353" i="1"/>
  <c r="J361" i="1"/>
  <c r="J369" i="1"/>
  <c r="J393" i="1"/>
  <c r="J401" i="1"/>
  <c r="J408" i="1"/>
  <c r="J425" i="1"/>
  <c r="J433" i="1"/>
  <c r="J440" i="1"/>
  <c r="J449" i="1"/>
  <c r="J457" i="1"/>
  <c r="J465" i="1"/>
  <c r="J473" i="1"/>
  <c r="J481" i="1"/>
  <c r="J497" i="1"/>
  <c r="J505" i="1"/>
  <c r="J513" i="1"/>
  <c r="J537" i="1"/>
  <c r="J545" i="1"/>
  <c r="J553" i="1"/>
  <c r="J561" i="1"/>
  <c r="J577" i="1"/>
  <c r="J585" i="1"/>
  <c r="J601" i="1"/>
  <c r="J609" i="1"/>
  <c r="J617" i="1"/>
  <c r="J624" i="1"/>
  <c r="J632" i="1"/>
  <c r="J641" i="1"/>
  <c r="J657" i="1"/>
  <c r="J673" i="1"/>
  <c r="J681" i="1"/>
  <c r="J689" i="1"/>
  <c r="J697" i="1"/>
  <c r="J713" i="1"/>
  <c r="J721" i="1"/>
  <c r="J729" i="1"/>
  <c r="J737" i="1"/>
  <c r="J745" i="1"/>
  <c r="J753" i="1"/>
  <c r="J761" i="1"/>
  <c r="J768" i="1"/>
  <c r="J776" i="1"/>
  <c r="J808" i="1"/>
  <c r="J817" i="1"/>
  <c r="J832" i="1"/>
  <c r="J841" i="1"/>
  <c r="J849" i="1"/>
  <c r="J857" i="1"/>
  <c r="J873" i="1"/>
  <c r="J881" i="1"/>
  <c r="J898" i="1"/>
  <c r="J905" i="1"/>
  <c r="J913" i="1"/>
  <c r="J929" i="1"/>
  <c r="J961" i="1"/>
  <c r="J969" i="1"/>
  <c r="J985" i="1"/>
  <c r="J1001" i="1"/>
  <c r="J1017" i="1"/>
  <c r="J1025" i="1"/>
  <c r="J1058" i="1"/>
  <c r="J1065" i="1"/>
  <c r="J1073" i="1"/>
  <c r="J1081" i="1"/>
  <c r="J1088" i="1"/>
  <c r="J1097" i="1"/>
  <c r="J1105" i="1"/>
  <c r="J1121" i="1"/>
  <c r="J1129" i="1"/>
  <c r="J1137" i="1"/>
  <c r="J1145" i="1"/>
  <c r="J1153" i="1"/>
  <c r="J1169" i="1"/>
  <c r="J1177" i="1"/>
  <c r="J1185" i="1"/>
  <c r="J1193" i="1"/>
  <c r="J1209" i="1"/>
  <c r="J1217" i="1"/>
  <c r="J1233" i="1"/>
  <c r="J1241" i="1"/>
  <c r="J1249" i="1"/>
  <c r="J1257" i="1"/>
  <c r="J1265" i="1"/>
  <c r="J1281" i="1"/>
  <c r="J1289" i="1"/>
  <c r="J1297" i="1"/>
  <c r="J1305" i="1"/>
  <c r="J1313" i="1"/>
  <c r="J1329" i="1"/>
  <c r="J1345" i="1"/>
  <c r="J1353" i="1"/>
  <c r="J1361" i="1"/>
  <c r="J1369" i="1"/>
  <c r="J1377" i="1"/>
  <c r="J1385" i="1"/>
  <c r="J1393" i="1"/>
  <c r="J1400" i="1"/>
  <c r="J1408" i="1"/>
  <c r="J1417" i="1"/>
  <c r="K1757" i="1"/>
  <c r="M1757" i="1" s="1"/>
  <c r="K825" i="1"/>
  <c r="M825" i="1" s="1"/>
  <c r="K1653" i="1"/>
  <c r="M1653" i="1" s="1"/>
  <c r="K1161" i="1"/>
  <c r="M1161" i="1" s="1"/>
  <c r="K1060" i="1"/>
  <c r="M1060" i="1" s="1"/>
  <c r="K1156" i="1"/>
  <c r="M1156" i="1" s="1"/>
  <c r="K582" i="1"/>
  <c r="M582" i="1" s="1"/>
  <c r="K1049" i="1"/>
  <c r="M1049" i="1" s="1"/>
  <c r="K1225" i="1"/>
  <c r="M1225" i="1" s="1"/>
  <c r="K540" i="1"/>
  <c r="M540" i="1" s="1"/>
  <c r="K310" i="1"/>
  <c r="M310" i="1" s="1"/>
  <c r="K1660" i="1"/>
  <c r="M1660" i="1" s="1"/>
  <c r="K966" i="1"/>
  <c r="M966" i="1" s="1"/>
  <c r="K569" i="1"/>
  <c r="M569" i="1" s="1"/>
  <c r="K374" i="1"/>
  <c r="M374" i="1" s="1"/>
  <c r="K781" i="1"/>
  <c r="M781" i="1" s="1"/>
  <c r="K1868" i="1"/>
  <c r="M1868" i="1" s="1"/>
  <c r="K1861" i="1"/>
  <c r="M1861" i="1" s="1"/>
  <c r="K260" i="1"/>
  <c r="M260" i="1" s="1"/>
  <c r="K766" i="1"/>
  <c r="M766" i="1" s="1"/>
  <c r="K865" i="1"/>
  <c r="M865" i="1" s="1"/>
  <c r="K1740" i="1"/>
  <c r="M1740" i="1" s="1"/>
  <c r="K923" i="1"/>
  <c r="M923" i="1" s="1"/>
  <c r="K304" i="1"/>
  <c r="M304" i="1" s="1"/>
  <c r="K741" i="1"/>
  <c r="M741" i="1" s="1"/>
  <c r="K283" i="1"/>
  <c r="M283" i="1" s="1"/>
  <c r="K1357" i="1"/>
  <c r="M1357" i="1" s="1"/>
  <c r="K660" i="1"/>
  <c r="M660" i="1" s="1"/>
  <c r="K1975" i="1"/>
  <c r="M1975" i="1" s="1"/>
  <c r="K1511" i="1"/>
  <c r="M1511" i="1" s="1"/>
  <c r="K100" i="1"/>
  <c r="M100" i="1" s="1"/>
  <c r="K1881" i="1"/>
  <c r="M1881" i="1" s="1"/>
  <c r="K1041" i="1"/>
  <c r="M1041" i="1" s="1"/>
  <c r="K1395" i="1"/>
  <c r="M1395" i="1" s="1"/>
  <c r="K1601" i="1"/>
  <c r="M1601" i="1" s="1"/>
  <c r="K226" i="1"/>
  <c r="M226" i="1" s="1"/>
  <c r="J1433" i="1"/>
  <c r="J1457" i="1"/>
  <c r="J1465" i="1"/>
  <c r="J1473" i="1"/>
  <c r="J1480" i="1"/>
  <c r="J1504" i="1"/>
  <c r="J1513" i="1"/>
  <c r="J1521" i="1"/>
  <c r="J1569" i="1"/>
  <c r="J1577" i="1"/>
  <c r="J1585" i="1"/>
  <c r="J1594" i="1"/>
  <c r="K1529" i="1"/>
  <c r="M1529" i="1" s="1"/>
  <c r="K42" i="1"/>
  <c r="M42" i="1" s="1"/>
  <c r="K970" i="1"/>
  <c r="M970" i="1" s="1"/>
  <c r="K1194" i="1"/>
  <c r="M1194" i="1" s="1"/>
  <c r="K1617" i="1"/>
  <c r="M1617" i="1" s="1"/>
  <c r="K610" i="1"/>
  <c r="M610" i="1" s="1"/>
  <c r="K154" i="1"/>
  <c r="M154" i="1" s="1"/>
  <c r="K1545" i="1"/>
  <c r="M1545" i="1" s="1"/>
  <c r="K882" i="1"/>
  <c r="M882" i="1" s="1"/>
  <c r="K642" i="1"/>
  <c r="M642" i="1" s="1"/>
  <c r="K1755" i="1"/>
  <c r="M1755" i="1" s="1"/>
  <c r="K474" i="1"/>
  <c r="M474" i="1" s="1"/>
  <c r="K1803" i="1"/>
  <c r="M1803" i="1" s="1"/>
  <c r="K2" i="1"/>
  <c r="M2" i="1" s="1"/>
  <c r="K762" i="1"/>
  <c r="M762" i="1" s="1"/>
  <c r="K1114" i="1"/>
  <c r="M1114" i="1" s="1"/>
  <c r="K707" i="1"/>
  <c r="M707" i="1" s="1"/>
  <c r="J1425" i="1"/>
  <c r="J1449" i="1"/>
  <c r="J10" i="1"/>
  <c r="J18" i="1"/>
  <c r="J26" i="1"/>
  <c r="J58" i="1"/>
  <c r="J82" i="1"/>
  <c r="J90" i="1"/>
  <c r="J114" i="1"/>
  <c r="J122" i="1"/>
  <c r="J138" i="1"/>
  <c r="J147" i="1"/>
  <c r="J170" i="1"/>
  <c r="J186" i="1"/>
  <c r="J202" i="1"/>
  <c r="J242" i="1"/>
  <c r="J250" i="1"/>
  <c r="J258" i="1"/>
  <c r="J274" i="1"/>
  <c r="J290" i="1"/>
  <c r="J298" i="1"/>
  <c r="J314" i="1"/>
  <c r="J322" i="1"/>
  <c r="J331" i="1"/>
  <c r="J337" i="1"/>
  <c r="J354" i="1"/>
  <c r="J370" i="1"/>
  <c r="J377" i="1"/>
  <c r="J394" i="1"/>
  <c r="J403" i="1"/>
  <c r="J418" i="1"/>
  <c r="J514" i="1"/>
  <c r="J522" i="1"/>
  <c r="J554" i="1"/>
  <c r="J562" i="1"/>
  <c r="J578" i="1"/>
  <c r="J586" i="1"/>
  <c r="J602" i="1"/>
  <c r="J650" i="1"/>
  <c r="J658" i="1"/>
  <c r="J666" i="1"/>
  <c r="J690" i="1"/>
  <c r="J698" i="1"/>
  <c r="J731" i="1"/>
  <c r="J738" i="1"/>
  <c r="J747" i="1"/>
  <c r="J754" i="1"/>
  <c r="J770" i="1"/>
  <c r="J786" i="1"/>
  <c r="J810" i="1"/>
  <c r="J819" i="1"/>
  <c r="J842" i="1"/>
  <c r="J890" i="1"/>
  <c r="J897" i="1"/>
  <c r="J906" i="1"/>
  <c r="J930" i="1"/>
  <c r="J938" i="1"/>
  <c r="J954" i="1"/>
  <c r="J962" i="1"/>
  <c r="J978" i="1"/>
  <c r="J1002" i="1"/>
  <c r="J1010" i="1"/>
  <c r="J1018" i="1"/>
  <c r="J1034" i="1"/>
  <c r="J1042" i="1"/>
  <c r="J1050" i="1"/>
  <c r="J1057" i="1"/>
  <c r="J1066" i="1"/>
  <c r="J1106" i="1"/>
  <c r="J1122" i="1"/>
  <c r="J1138" i="1"/>
  <c r="J1178" i="1"/>
  <c r="J1186" i="1"/>
  <c r="J1306" i="1"/>
  <c r="J1322" i="1"/>
  <c r="J1330" i="1"/>
  <c r="J1338" i="1"/>
  <c r="J1346" i="1"/>
  <c r="J1378" i="1"/>
  <c r="J1394" i="1"/>
  <c r="J1402" i="1"/>
  <c r="J1442" i="1"/>
  <c r="J1450" i="1"/>
  <c r="J1458" i="1"/>
  <c r="J1522" i="1"/>
  <c r="J1530" i="1"/>
  <c r="J1554" i="1"/>
  <c r="J1562" i="1"/>
  <c r="J1586" i="1"/>
  <c r="J1593" i="1"/>
  <c r="J1602" i="1"/>
  <c r="J1634" i="1"/>
  <c r="J1642" i="1"/>
  <c r="J1649" i="1"/>
  <c r="J1666" i="1"/>
  <c r="J1674" i="1"/>
  <c r="J1682" i="1"/>
  <c r="J1722" i="1"/>
  <c r="J1730" i="1"/>
  <c r="J1738" i="1"/>
  <c r="J1746" i="1"/>
  <c r="J1754" i="1"/>
  <c r="J1770" i="1"/>
  <c r="J1786" i="1"/>
  <c r="K1867" i="1"/>
  <c r="M1867" i="1" s="1"/>
  <c r="K1130" i="1"/>
  <c r="M1130" i="1" s="1"/>
  <c r="K866" i="1"/>
  <c r="M866" i="1" s="1"/>
  <c r="K546" i="1"/>
  <c r="M546" i="1" s="1"/>
  <c r="K1090" i="1"/>
  <c r="M1090" i="1" s="1"/>
  <c r="K266" i="1"/>
  <c r="M266" i="1" s="1"/>
  <c r="K1162" i="1"/>
  <c r="M1162" i="1" s="1"/>
  <c r="K442" i="1"/>
  <c r="M442" i="1" s="1"/>
  <c r="K410" i="1"/>
  <c r="M410" i="1" s="1"/>
  <c r="K1995" i="1"/>
  <c r="M1995" i="1" s="1"/>
  <c r="K994" i="1"/>
  <c r="M994" i="1" s="1"/>
  <c r="K1651" i="1"/>
  <c r="M1651" i="1" s="1"/>
  <c r="K482" i="1"/>
  <c r="M482" i="1" s="1"/>
  <c r="K1561" i="1"/>
  <c r="M1561" i="1" s="1"/>
  <c r="K1643" i="1"/>
  <c r="M1643" i="1" s="1"/>
  <c r="K1267" i="1"/>
  <c r="M1267" i="1" s="1"/>
  <c r="K570" i="1"/>
  <c r="M570" i="1" s="1"/>
  <c r="K1891" i="1"/>
  <c r="M1891" i="1" s="1"/>
  <c r="K1026" i="1"/>
  <c r="M1026" i="1" s="1"/>
  <c r="K179" i="1"/>
  <c r="M179" i="1" s="1"/>
  <c r="J1403" i="1"/>
  <c r="J1411" i="1"/>
  <c r="J1420" i="1"/>
  <c r="J1434" i="1"/>
  <c r="J1443" i="1"/>
  <c r="J1451" i="1"/>
  <c r="J1460" i="1"/>
  <c r="J1467" i="1"/>
  <c r="J1475" i="1"/>
  <c r="J1491" i="1"/>
  <c r="J1499" i="1"/>
  <c r="J1507" i="1"/>
  <c r="J1515" i="1"/>
  <c r="J1531" i="1"/>
  <c r="J1547" i="1"/>
  <c r="J1564" i="1"/>
  <c r="J1603" i="1"/>
  <c r="J1619" i="1"/>
  <c r="J1627" i="1"/>
  <c r="J1636" i="1"/>
  <c r="J1659" i="1"/>
  <c r="J1667" i="1"/>
  <c r="J1676" i="1"/>
  <c r="J1683" i="1"/>
  <c r="J1691" i="1"/>
  <c r="J1699" i="1"/>
  <c r="J1707" i="1"/>
  <c r="J1716" i="1"/>
  <c r="J1723" i="1"/>
  <c r="J1731" i="1"/>
  <c r="J1739" i="1"/>
  <c r="J1771" i="1"/>
  <c r="J1779" i="1"/>
  <c r="J1795" i="1"/>
  <c r="J1812" i="1"/>
  <c r="J1819" i="1"/>
  <c r="J1827" i="1"/>
  <c r="J1835" i="1"/>
  <c r="J1843" i="1"/>
  <c r="J1850" i="1"/>
  <c r="J1874" i="1"/>
  <c r="J1883" i="1"/>
  <c r="J1899" i="1"/>
  <c r="J1907" i="1"/>
  <c r="J1923" i="1"/>
  <c r="J1931" i="1"/>
  <c r="J1939" i="1"/>
  <c r="J1955" i="1"/>
  <c r="J1971" i="1"/>
  <c r="J1979" i="1"/>
  <c r="J1987" i="1"/>
  <c r="K506" i="1"/>
  <c r="M506" i="1" s="1"/>
  <c r="K922" i="1"/>
  <c r="M922" i="1" s="1"/>
  <c r="K1579" i="1"/>
  <c r="M1579" i="1" s="1"/>
  <c r="K1690" i="1"/>
  <c r="M1690" i="1" s="1"/>
  <c r="K1170" i="1"/>
  <c r="M1170" i="1" s="1"/>
  <c r="K1571" i="1"/>
  <c r="M1571" i="1" s="1"/>
  <c r="K1578" i="1"/>
  <c r="M1578" i="1" s="1"/>
  <c r="K1370" i="1"/>
  <c r="M1370" i="1" s="1"/>
  <c r="K386" i="1"/>
  <c r="M386" i="1" s="1"/>
  <c r="K1074" i="1"/>
  <c r="M1074" i="1" s="1"/>
  <c r="K306" i="1"/>
  <c r="M306" i="1" s="1"/>
  <c r="K1915" i="1"/>
  <c r="M1915" i="1" s="1"/>
  <c r="K1441" i="1"/>
  <c r="M1441" i="1" s="1"/>
  <c r="K1258" i="1"/>
  <c r="M1258" i="1" s="1"/>
  <c r="K826" i="1"/>
  <c r="M826" i="1" s="1"/>
  <c r="K1082" i="1"/>
  <c r="M1082" i="1" s="1"/>
  <c r="K1418" i="1"/>
  <c r="M1418" i="1" s="1"/>
  <c r="K1553" i="1"/>
  <c r="M1553" i="1" s="1"/>
  <c r="K1611" i="1"/>
  <c r="M1611" i="1" s="1"/>
  <c r="J1650" i="1"/>
  <c r="J1657" i="1"/>
  <c r="J1665" i="1"/>
  <c r="J1698" i="1"/>
  <c r="J1705" i="1"/>
  <c r="J1721" i="1"/>
  <c r="J1753" i="1"/>
  <c r="J1761" i="1"/>
  <c r="J1824" i="1"/>
  <c r="J1833" i="1"/>
  <c r="J1849" i="1"/>
  <c r="J1880" i="1"/>
  <c r="J1897" i="1"/>
  <c r="J1968" i="1"/>
  <c r="J1985" i="1"/>
  <c r="K1857" i="1"/>
  <c r="M1857" i="1" s="1"/>
  <c r="K1818" i="1"/>
  <c r="M1818" i="1" s="1"/>
  <c r="K1945" i="1"/>
  <c r="M1945" i="1" s="1"/>
  <c r="K1905" i="1"/>
  <c r="M1905" i="1" s="1"/>
  <c r="K1937" i="1"/>
  <c r="M1937" i="1" s="1"/>
  <c r="K1817" i="1"/>
  <c r="M1817" i="1" s="1"/>
  <c r="K1913" i="1"/>
  <c r="M1913" i="1" s="1"/>
  <c r="K1865" i="1"/>
  <c r="M1865" i="1" s="1"/>
  <c r="K1793" i="1"/>
  <c r="M1793" i="1" s="1"/>
  <c r="K1929" i="1"/>
  <c r="M1929" i="1" s="1"/>
  <c r="K1873" i="1"/>
  <c r="M1873" i="1" s="1"/>
  <c r="K1809" i="1"/>
  <c r="M1809" i="1" s="1"/>
  <c r="J1851" i="1"/>
  <c r="J1866" i="1"/>
  <c r="J1882" i="1"/>
  <c r="J1890" i="1"/>
  <c r="J1938" i="1"/>
  <c r="K1633" i="1"/>
  <c r="M1633" i="1" s="1"/>
  <c r="K1922" i="1"/>
  <c r="M1922" i="1" s="1"/>
  <c r="K1810" i="1"/>
  <c r="M1810" i="1" s="1"/>
  <c r="K1681" i="1"/>
  <c r="M1681" i="1" s="1"/>
  <c r="K1784" i="1"/>
  <c r="M1784" i="1" s="1"/>
  <c r="T209" i="1" l="1"/>
  <c r="T1349" i="1"/>
  <c r="T119" i="1"/>
  <c r="K209" i="1"/>
  <c r="M209" i="1" s="1"/>
  <c r="K1349" i="1"/>
  <c r="M1349" i="1" s="1"/>
  <c r="K1833" i="1"/>
  <c r="M1833" i="1" s="1"/>
  <c r="T1833" i="1"/>
  <c r="K761" i="1"/>
  <c r="M761" i="1" s="1"/>
  <c r="T761" i="1"/>
  <c r="K1935" i="1"/>
  <c r="M1935" i="1" s="1"/>
  <c r="T1935" i="1"/>
  <c r="K1871" i="1"/>
  <c r="M1871" i="1" s="1"/>
  <c r="T1871" i="1"/>
  <c r="K1687" i="1"/>
  <c r="M1687" i="1" s="1"/>
  <c r="T1687" i="1"/>
  <c r="K1431" i="1"/>
  <c r="M1431" i="1" s="1"/>
  <c r="T1431" i="1"/>
  <c r="K1279" i="1"/>
  <c r="M1279" i="1" s="1"/>
  <c r="T1279" i="1"/>
  <c r="K1087" i="1"/>
  <c r="M1087" i="1" s="1"/>
  <c r="T1087" i="1"/>
  <c r="K767" i="1"/>
  <c r="M767" i="1" s="1"/>
  <c r="T767" i="1"/>
  <c r="K599" i="1"/>
  <c r="M599" i="1" s="1"/>
  <c r="T599" i="1"/>
  <c r="K399" i="1"/>
  <c r="M399" i="1" s="1"/>
  <c r="T399" i="1"/>
  <c r="K175" i="1"/>
  <c r="M175" i="1" s="1"/>
  <c r="T175" i="1"/>
  <c r="K798" i="1"/>
  <c r="M798" i="1" s="1"/>
  <c r="T798" i="1"/>
  <c r="K494" i="1"/>
  <c r="M494" i="1" s="1"/>
  <c r="T494" i="1"/>
  <c r="K246" i="1"/>
  <c r="M246" i="1" s="1"/>
  <c r="T246" i="1"/>
  <c r="K1790" i="1"/>
  <c r="M1790" i="1" s="1"/>
  <c r="T1790" i="1"/>
  <c r="K1245" i="1"/>
  <c r="M1245" i="1" s="1"/>
  <c r="T1245" i="1"/>
  <c r="K773" i="1"/>
  <c r="M773" i="1" s="1"/>
  <c r="T773" i="1"/>
  <c r="K342" i="1"/>
  <c r="M342" i="1" s="1"/>
  <c r="T342" i="1"/>
  <c r="K1380" i="1"/>
  <c r="M1380" i="1" s="1"/>
  <c r="T1380" i="1"/>
  <c r="K500" i="1"/>
  <c r="M500" i="1" s="1"/>
  <c r="T500" i="1"/>
  <c r="K1235" i="1"/>
  <c r="M1235" i="1" s="1"/>
  <c r="T1235" i="1"/>
  <c r="K467" i="1"/>
  <c r="M467" i="1" s="1"/>
  <c r="T467" i="1"/>
  <c r="K28" i="1"/>
  <c r="M28" i="1" s="1"/>
  <c r="T28" i="1"/>
  <c r="K1822" i="1"/>
  <c r="M1822" i="1" s="1"/>
  <c r="T1822" i="1"/>
  <c r="K1590" i="1"/>
  <c r="M1590" i="1" s="1"/>
  <c r="T1590" i="1"/>
  <c r="K1326" i="1"/>
  <c r="M1326" i="1" s="1"/>
  <c r="T1326" i="1"/>
  <c r="K1110" i="1"/>
  <c r="M1110" i="1" s="1"/>
  <c r="T1110" i="1"/>
  <c r="K1824" i="1"/>
  <c r="M1824" i="1" s="1"/>
  <c r="T1824" i="1"/>
  <c r="K1939" i="1"/>
  <c r="M1939" i="1" s="1"/>
  <c r="T1939" i="1"/>
  <c r="K1676" i="1"/>
  <c r="M1676" i="1" s="1"/>
  <c r="T1676" i="1"/>
  <c r="K1730" i="1"/>
  <c r="M1730" i="1" s="1"/>
  <c r="T1730" i="1"/>
  <c r="K1322" i="1"/>
  <c r="M1322" i="1" s="1"/>
  <c r="T1322" i="1"/>
  <c r="K698" i="1"/>
  <c r="M698" i="1" s="1"/>
  <c r="T698" i="1"/>
  <c r="K138" i="1"/>
  <c r="M138" i="1" s="1"/>
  <c r="T138" i="1"/>
  <c r="K57" i="1"/>
  <c r="M57" i="1" s="1"/>
  <c r="T57" i="1"/>
  <c r="K1004" i="1"/>
  <c r="M1004" i="1" s="1"/>
  <c r="T1004" i="1"/>
  <c r="K596" i="1"/>
  <c r="M596" i="1" s="1"/>
  <c r="T596" i="1"/>
  <c r="K1083" i="1"/>
  <c r="M1083" i="1" s="1"/>
  <c r="T1083" i="1"/>
  <c r="K379" i="1"/>
  <c r="M379" i="1" s="1"/>
  <c r="T379" i="1"/>
  <c r="K1760" i="1"/>
  <c r="M1760" i="1" s="1"/>
  <c r="T1760" i="1"/>
  <c r="K1536" i="1"/>
  <c r="M1536" i="1" s="1"/>
  <c r="T1536" i="1"/>
  <c r="K1216" i="1"/>
  <c r="M1216" i="1" s="1"/>
  <c r="T1216" i="1"/>
  <c r="K1040" i="1"/>
  <c r="M1040" i="1" s="1"/>
  <c r="T1040" i="1"/>
  <c r="K696" i="1"/>
  <c r="M696" i="1" s="1"/>
  <c r="T696" i="1"/>
  <c r="K488" i="1"/>
  <c r="M488" i="1" s="1"/>
  <c r="T488" i="1"/>
  <c r="K160" i="1"/>
  <c r="M160" i="1" s="1"/>
  <c r="T160" i="1"/>
  <c r="K958" i="1"/>
  <c r="M958" i="1" s="1"/>
  <c r="T958" i="1"/>
  <c r="K1661" i="1"/>
  <c r="M1661" i="1" s="1"/>
  <c r="T1661" i="1"/>
  <c r="K997" i="1"/>
  <c r="M997" i="1" s="1"/>
  <c r="T997" i="1"/>
  <c r="K141" i="1"/>
  <c r="M141" i="1" s="1"/>
  <c r="T141" i="1"/>
  <c r="K1492" i="1"/>
  <c r="M1492" i="1" s="1"/>
  <c r="T1492" i="1"/>
  <c r="K764" i="1"/>
  <c r="M764" i="1" s="1"/>
  <c r="T764" i="1"/>
  <c r="K1299" i="1"/>
  <c r="M1299" i="1" s="1"/>
  <c r="T1299" i="1"/>
  <c r="K835" i="1"/>
  <c r="M835" i="1" s="1"/>
  <c r="T835" i="1"/>
  <c r="K1863" i="1"/>
  <c r="M1863" i="1" s="1"/>
  <c r="T1863" i="1"/>
  <c r="K1607" i="1"/>
  <c r="M1607" i="1" s="1"/>
  <c r="T1607" i="1"/>
  <c r="K1351" i="1"/>
  <c r="M1351" i="1" s="1"/>
  <c r="T1351" i="1"/>
  <c r="K1063" i="1"/>
  <c r="M1063" i="1" s="1"/>
  <c r="T1063" i="1"/>
  <c r="K759" i="1"/>
  <c r="M759" i="1" s="1"/>
  <c r="T759" i="1"/>
  <c r="K591" i="1"/>
  <c r="M591" i="1" s="1"/>
  <c r="T591" i="1"/>
  <c r="K239" i="1"/>
  <c r="M239" i="1" s="1"/>
  <c r="T239" i="1"/>
  <c r="K95" i="1"/>
  <c r="M95" i="1" s="1"/>
  <c r="T95" i="1"/>
  <c r="K678" i="1"/>
  <c r="M678" i="1" s="1"/>
  <c r="T678" i="1"/>
  <c r="K317" i="1"/>
  <c r="M317" i="1" s="1"/>
  <c r="T317" i="1"/>
  <c r="K30" i="1"/>
  <c r="M30" i="1" s="1"/>
  <c r="T30" i="1"/>
  <c r="K1773" i="1"/>
  <c r="M1773" i="1" s="1"/>
  <c r="T1773" i="1"/>
  <c r="K1053" i="1"/>
  <c r="M1053" i="1" s="1"/>
  <c r="T1053" i="1"/>
  <c r="K517" i="1"/>
  <c r="M517" i="1" s="1"/>
  <c r="T517" i="1"/>
  <c r="K61" i="1"/>
  <c r="M61" i="1" s="1"/>
  <c r="T61" i="1"/>
  <c r="K1788" i="1"/>
  <c r="M1788" i="1" s="1"/>
  <c r="T1788" i="1"/>
  <c r="K723" i="1"/>
  <c r="M723" i="1" s="1"/>
  <c r="T723" i="1"/>
  <c r="K236" i="1"/>
  <c r="M236" i="1" s="1"/>
  <c r="T236" i="1"/>
  <c r="K724" i="1"/>
  <c r="M724" i="1" s="1"/>
  <c r="T724" i="1"/>
  <c r="K1894" i="1"/>
  <c r="M1894" i="1" s="1"/>
  <c r="T1894" i="1"/>
  <c r="K1742" i="1"/>
  <c r="M1742" i="1" s="1"/>
  <c r="T1742" i="1"/>
  <c r="K1494" i="1"/>
  <c r="M1494" i="1" s="1"/>
  <c r="T1494" i="1"/>
  <c r="K1237" i="1"/>
  <c r="M1237" i="1" s="1"/>
  <c r="T1237" i="1"/>
  <c r="K1038" i="1"/>
  <c r="M1038" i="1" s="1"/>
  <c r="T1038" i="1"/>
  <c r="K1682" i="1"/>
  <c r="M1682" i="1" s="1"/>
  <c r="T1682" i="1"/>
  <c r="K1586" i="1"/>
  <c r="M1586" i="1" s="1"/>
  <c r="T1586" i="1"/>
  <c r="K1402" i="1"/>
  <c r="M1402" i="1" s="1"/>
  <c r="T1402" i="1"/>
  <c r="K1186" i="1"/>
  <c r="M1186" i="1" s="1"/>
  <c r="T1186" i="1"/>
  <c r="K1042" i="1"/>
  <c r="M1042" i="1" s="1"/>
  <c r="T1042" i="1"/>
  <c r="K938" i="1"/>
  <c r="M938" i="1" s="1"/>
  <c r="T938" i="1"/>
  <c r="K786" i="1"/>
  <c r="M786" i="1" s="1"/>
  <c r="T786" i="1"/>
  <c r="K666" i="1"/>
  <c r="M666" i="1" s="1"/>
  <c r="T666" i="1"/>
  <c r="K522" i="1"/>
  <c r="M522" i="1" s="1"/>
  <c r="T522" i="1"/>
  <c r="K337" i="1"/>
  <c r="M337" i="1" s="1"/>
  <c r="T337" i="1"/>
  <c r="K250" i="1"/>
  <c r="M250" i="1" s="1"/>
  <c r="T250" i="1"/>
  <c r="K114" i="1"/>
  <c r="M114" i="1" s="1"/>
  <c r="T114" i="1"/>
  <c r="K1425" i="1"/>
  <c r="M1425" i="1" s="1"/>
  <c r="T1425" i="1"/>
  <c r="K1504" i="1"/>
  <c r="M1504" i="1" s="1"/>
  <c r="T1504" i="1"/>
  <c r="K1369" i="1"/>
  <c r="M1369" i="1" s="1"/>
  <c r="T1369" i="1"/>
  <c r="K1289" i="1"/>
  <c r="M1289" i="1" s="1"/>
  <c r="T1289" i="1"/>
  <c r="K1209" i="1"/>
  <c r="M1209" i="1" s="1"/>
  <c r="T1209" i="1"/>
  <c r="K1129" i="1"/>
  <c r="M1129" i="1" s="1"/>
  <c r="T1129" i="1"/>
  <c r="K1058" i="1"/>
  <c r="M1058" i="1" s="1"/>
  <c r="T1058" i="1"/>
  <c r="K913" i="1"/>
  <c r="M913" i="1" s="1"/>
  <c r="T913" i="1"/>
  <c r="K832" i="1"/>
  <c r="M832" i="1" s="1"/>
  <c r="T832" i="1"/>
  <c r="K737" i="1"/>
  <c r="M737" i="1" s="1"/>
  <c r="T737" i="1"/>
  <c r="K657" i="1"/>
  <c r="M657" i="1" s="1"/>
  <c r="T657" i="1"/>
  <c r="K577" i="1"/>
  <c r="M577" i="1" s="1"/>
  <c r="T577" i="1"/>
  <c r="K481" i="1"/>
  <c r="M481" i="1" s="1"/>
  <c r="T481" i="1"/>
  <c r="K408" i="1"/>
  <c r="M408" i="1" s="1"/>
  <c r="T408" i="1"/>
  <c r="K329" i="1"/>
  <c r="M329" i="1" s="1"/>
  <c r="T329" i="1"/>
  <c r="K265" i="1"/>
  <c r="M265" i="1" s="1"/>
  <c r="T265" i="1"/>
  <c r="K193" i="1"/>
  <c r="M193" i="1" s="1"/>
  <c r="T193" i="1"/>
  <c r="K105" i="1"/>
  <c r="M105" i="1" s="1"/>
  <c r="T105" i="1"/>
  <c r="K41" i="1"/>
  <c r="M41" i="1" s="1"/>
  <c r="T41" i="1"/>
  <c r="K1070" i="1"/>
  <c r="M1070" i="1" s="1"/>
  <c r="T1070" i="1"/>
  <c r="K900" i="1"/>
  <c r="M900" i="1" s="1"/>
  <c r="T900" i="1"/>
  <c r="K637" i="1"/>
  <c r="M637" i="1" s="1"/>
  <c r="T637" i="1"/>
  <c r="K237" i="1"/>
  <c r="M237" i="1" s="1"/>
  <c r="T237" i="1"/>
  <c r="K53" i="1"/>
  <c r="M53" i="1" s="1"/>
  <c r="T53" i="1"/>
  <c r="K1692" i="1"/>
  <c r="M1692" i="1" s="1"/>
  <c r="T1692" i="1"/>
  <c r="K1484" i="1"/>
  <c r="M1484" i="1" s="1"/>
  <c r="T1484" i="1"/>
  <c r="K1188" i="1"/>
  <c r="M1188" i="1" s="1"/>
  <c r="T1188" i="1"/>
  <c r="K956" i="1"/>
  <c r="M956" i="1" s="1"/>
  <c r="T956" i="1"/>
  <c r="K716" i="1"/>
  <c r="M716" i="1" s="1"/>
  <c r="T716" i="1"/>
  <c r="K555" i="1"/>
  <c r="M555" i="1" s="1"/>
  <c r="T555" i="1"/>
  <c r="K340" i="1"/>
  <c r="M340" i="1" s="1"/>
  <c r="T340" i="1"/>
  <c r="K92" i="1"/>
  <c r="M92" i="1" s="1"/>
  <c r="T92" i="1"/>
  <c r="K1259" i="1"/>
  <c r="M1259" i="1" s="1"/>
  <c r="T1259" i="1"/>
  <c r="K1035" i="1"/>
  <c r="M1035" i="1" s="1"/>
  <c r="T1035" i="1"/>
  <c r="K771" i="1"/>
  <c r="M771" i="1" s="1"/>
  <c r="T771" i="1"/>
  <c r="K539" i="1"/>
  <c r="M539" i="1" s="1"/>
  <c r="T539" i="1"/>
  <c r="K339" i="1"/>
  <c r="M339" i="1" s="1"/>
  <c r="T339" i="1"/>
  <c r="K75" i="1"/>
  <c r="M75" i="1" s="1"/>
  <c r="T75" i="1"/>
  <c r="K1969" i="1"/>
  <c r="M1969" i="1" s="1"/>
  <c r="T1969" i="1"/>
  <c r="K1888" i="1"/>
  <c r="M1888" i="1" s="1"/>
  <c r="T1888" i="1"/>
  <c r="K1816" i="1"/>
  <c r="M1816" i="1" s="1"/>
  <c r="T1816" i="1"/>
  <c r="K1735" i="1"/>
  <c r="M1735" i="1" s="1"/>
  <c r="T1735" i="1"/>
  <c r="K1632" i="1"/>
  <c r="M1632" i="1" s="1"/>
  <c r="T1632" i="1"/>
  <c r="K1512" i="1"/>
  <c r="M1512" i="1" s="1"/>
  <c r="T1512" i="1"/>
  <c r="K1424" i="1"/>
  <c r="M1424" i="1" s="1"/>
  <c r="T1424" i="1"/>
  <c r="K1344" i="1"/>
  <c r="M1344" i="1" s="1"/>
  <c r="T1344" i="1"/>
  <c r="K1264" i="1"/>
  <c r="M1264" i="1" s="1"/>
  <c r="T1264" i="1"/>
  <c r="K1192" i="1"/>
  <c r="M1192" i="1" s="1"/>
  <c r="T1192" i="1"/>
  <c r="K1089" i="1"/>
  <c r="M1089" i="1" s="1"/>
  <c r="T1089" i="1"/>
  <c r="K1024" i="1"/>
  <c r="M1024" i="1" s="1"/>
  <c r="T1024" i="1"/>
  <c r="K928" i="1"/>
  <c r="M928" i="1" s="1"/>
  <c r="T928" i="1"/>
  <c r="K833" i="1"/>
  <c r="M833" i="1" s="1"/>
  <c r="T833" i="1"/>
  <c r="K752" i="1"/>
  <c r="M752" i="1" s="1"/>
  <c r="T752" i="1"/>
  <c r="K680" i="1"/>
  <c r="M680" i="1" s="1"/>
  <c r="T680" i="1"/>
  <c r="K600" i="1"/>
  <c r="M600" i="1" s="1"/>
  <c r="T600" i="1"/>
  <c r="K464" i="1"/>
  <c r="M464" i="1" s="1"/>
  <c r="T464" i="1"/>
  <c r="K384" i="1"/>
  <c r="M384" i="1" s="1"/>
  <c r="T384" i="1"/>
  <c r="K312" i="1"/>
  <c r="M312" i="1" s="1"/>
  <c r="T312" i="1"/>
  <c r="K224" i="1"/>
  <c r="M224" i="1" s="1"/>
  <c r="T224" i="1"/>
  <c r="K128" i="1"/>
  <c r="M128" i="1" s="1"/>
  <c r="T128" i="1"/>
  <c r="K48" i="1"/>
  <c r="M48" i="1" s="1"/>
  <c r="T48" i="1"/>
  <c r="K934" i="1"/>
  <c r="M934" i="1" s="1"/>
  <c r="T934" i="1"/>
  <c r="K1925" i="1"/>
  <c r="M1925" i="1" s="1"/>
  <c r="T1925" i="1"/>
  <c r="K1781" i="1"/>
  <c r="M1781" i="1" s="1"/>
  <c r="T1781" i="1"/>
  <c r="K1613" i="1"/>
  <c r="M1613" i="1" s="1"/>
  <c r="T1613" i="1"/>
  <c r="K1445" i="1"/>
  <c r="M1445" i="1" s="1"/>
  <c r="T1445" i="1"/>
  <c r="K1173" i="1"/>
  <c r="M1173" i="1" s="1"/>
  <c r="T1173" i="1"/>
  <c r="K957" i="1"/>
  <c r="M957" i="1" s="1"/>
  <c r="T957" i="1"/>
  <c r="K654" i="1"/>
  <c r="M654" i="1" s="1"/>
  <c r="T654" i="1"/>
  <c r="K421" i="1"/>
  <c r="M421" i="1" s="1"/>
  <c r="T421" i="1"/>
  <c r="K45" i="1"/>
  <c r="M45" i="1" s="1"/>
  <c r="T45" i="1"/>
  <c r="K1884" i="1"/>
  <c r="M1884" i="1" s="1"/>
  <c r="T1884" i="1"/>
  <c r="K1668" i="1"/>
  <c r="M1668" i="1" s="1"/>
  <c r="T1668" i="1"/>
  <c r="K1459" i="1"/>
  <c r="M1459" i="1" s="1"/>
  <c r="T1459" i="1"/>
  <c r="K1244" i="1"/>
  <c r="M1244" i="1" s="1"/>
  <c r="T1244" i="1"/>
  <c r="K924" i="1"/>
  <c r="M924" i="1" s="1"/>
  <c r="T924" i="1"/>
  <c r="K684" i="1"/>
  <c r="M684" i="1" s="1"/>
  <c r="T684" i="1"/>
  <c r="K388" i="1"/>
  <c r="M388" i="1" s="1"/>
  <c r="T388" i="1"/>
  <c r="K116" i="1"/>
  <c r="M116" i="1" s="1"/>
  <c r="T116" i="1"/>
  <c r="K1251" i="1"/>
  <c r="M1251" i="1" s="1"/>
  <c r="T1251" i="1"/>
  <c r="K1067" i="1"/>
  <c r="M1067" i="1" s="1"/>
  <c r="T1067" i="1"/>
  <c r="K787" i="1"/>
  <c r="M787" i="1" s="1"/>
  <c r="T787" i="1"/>
  <c r="K595" i="1"/>
  <c r="M595" i="1" s="1"/>
  <c r="T595" i="1"/>
  <c r="K347" i="1"/>
  <c r="M347" i="1" s="1"/>
  <c r="T347" i="1"/>
  <c r="K139" i="1"/>
  <c r="M139" i="1" s="1"/>
  <c r="T139" i="1"/>
  <c r="K1991" i="1"/>
  <c r="M1991" i="1" s="1"/>
  <c r="T1991" i="1"/>
  <c r="K1912" i="1"/>
  <c r="M1912" i="1" s="1"/>
  <c r="T1912" i="1"/>
  <c r="K1848" i="1"/>
  <c r="M1848" i="1" s="1"/>
  <c r="T1848" i="1"/>
  <c r="K1736" i="1"/>
  <c r="M1736" i="1" s="1"/>
  <c r="T1736" i="1"/>
  <c r="K1655" i="1"/>
  <c r="M1655" i="1" s="1"/>
  <c r="T1655" i="1"/>
  <c r="K1591" i="1"/>
  <c r="M1591" i="1" s="1"/>
  <c r="T1591" i="1"/>
  <c r="K1487" i="1"/>
  <c r="M1487" i="1" s="1"/>
  <c r="T1487" i="1"/>
  <c r="K1407" i="1"/>
  <c r="M1407" i="1" s="1"/>
  <c r="T1407" i="1"/>
  <c r="K1335" i="1"/>
  <c r="M1335" i="1" s="1"/>
  <c r="T1335" i="1"/>
  <c r="K1231" i="1"/>
  <c r="M1231" i="1" s="1"/>
  <c r="T1231" i="1"/>
  <c r="K1127" i="1"/>
  <c r="M1127" i="1" s="1"/>
  <c r="T1127" i="1"/>
  <c r="K1047" i="1"/>
  <c r="M1047" i="1" s="1"/>
  <c r="T1047" i="1"/>
  <c r="K943" i="1"/>
  <c r="M943" i="1" s="1"/>
  <c r="T943" i="1"/>
  <c r="K839" i="1"/>
  <c r="M839" i="1" s="1"/>
  <c r="T839" i="1"/>
  <c r="K735" i="1"/>
  <c r="M735" i="1" s="1"/>
  <c r="T735" i="1"/>
  <c r="K647" i="1"/>
  <c r="M647" i="1" s="1"/>
  <c r="T647" i="1"/>
  <c r="K575" i="1"/>
  <c r="M575" i="1" s="1"/>
  <c r="T575" i="1"/>
  <c r="K455" i="1"/>
  <c r="M455" i="1" s="1"/>
  <c r="T455" i="1"/>
  <c r="K367" i="1"/>
  <c r="M367" i="1" s="1"/>
  <c r="T367" i="1"/>
  <c r="K287" i="1"/>
  <c r="M287" i="1" s="1"/>
  <c r="T287" i="1"/>
  <c r="K223" i="1"/>
  <c r="M223" i="1" s="1"/>
  <c r="T223" i="1"/>
  <c r="K152" i="1"/>
  <c r="M152" i="1" s="1"/>
  <c r="T152" i="1"/>
  <c r="K79" i="1"/>
  <c r="M79" i="1" s="1"/>
  <c r="T79" i="1"/>
  <c r="K950" i="1"/>
  <c r="M950" i="1" s="1"/>
  <c r="T950" i="1"/>
  <c r="K838" i="1"/>
  <c r="M838" i="1" s="1"/>
  <c r="T838" i="1"/>
  <c r="K757" i="1"/>
  <c r="M757" i="1" s="1"/>
  <c r="T757" i="1"/>
  <c r="K662" i="1"/>
  <c r="M662" i="1" s="1"/>
  <c r="T662" i="1"/>
  <c r="K558" i="1"/>
  <c r="M558" i="1" s="1"/>
  <c r="T558" i="1"/>
  <c r="K470" i="1"/>
  <c r="M470" i="1" s="1"/>
  <c r="T470" i="1"/>
  <c r="K390" i="1"/>
  <c r="M390" i="1" s="1"/>
  <c r="T390" i="1"/>
  <c r="K294" i="1"/>
  <c r="M294" i="1" s="1"/>
  <c r="T294" i="1"/>
  <c r="K222" i="1"/>
  <c r="M222" i="1" s="1"/>
  <c r="T222" i="1"/>
  <c r="K110" i="1"/>
  <c r="M110" i="1" s="1"/>
  <c r="T110" i="1"/>
  <c r="K14" i="1"/>
  <c r="M14" i="1" s="1"/>
  <c r="T14" i="1"/>
  <c r="K1885" i="1"/>
  <c r="M1885" i="1" s="1"/>
  <c r="T1885" i="1"/>
  <c r="K1749" i="1"/>
  <c r="M1749" i="1" s="1"/>
  <c r="T1749" i="1"/>
  <c r="K1606" i="1"/>
  <c r="M1606" i="1" s="1"/>
  <c r="T1606" i="1"/>
  <c r="K1477" i="1"/>
  <c r="M1477" i="1" s="1"/>
  <c r="T1477" i="1"/>
  <c r="K1181" i="1"/>
  <c r="M1181" i="1" s="1"/>
  <c r="T1181" i="1"/>
  <c r="K1005" i="1"/>
  <c r="M1005" i="1" s="1"/>
  <c r="T1005" i="1"/>
  <c r="K668" i="1"/>
  <c r="M668" i="1" s="1"/>
  <c r="T668" i="1"/>
  <c r="K477" i="1"/>
  <c r="M477" i="1" s="1"/>
  <c r="T477" i="1"/>
  <c r="K181" i="1"/>
  <c r="M181" i="1" s="1"/>
  <c r="T181" i="1"/>
  <c r="K22" i="1"/>
  <c r="M22" i="1" s="1"/>
  <c r="T22" i="1"/>
  <c r="K1996" i="1"/>
  <c r="M1996" i="1" s="1"/>
  <c r="T1996" i="1"/>
  <c r="K1715" i="1"/>
  <c r="M1715" i="1" s="1"/>
  <c r="T1715" i="1"/>
  <c r="K1500" i="1"/>
  <c r="M1500" i="1" s="1"/>
  <c r="T1500" i="1"/>
  <c r="K1276" i="1"/>
  <c r="M1276" i="1" s="1"/>
  <c r="T1276" i="1"/>
  <c r="K972" i="1"/>
  <c r="M972" i="1" s="1"/>
  <c r="T972" i="1"/>
  <c r="K669" i="1"/>
  <c r="M669" i="1" s="1"/>
  <c r="T669" i="1"/>
  <c r="K451" i="1"/>
  <c r="M451" i="1" s="1"/>
  <c r="T451" i="1"/>
  <c r="K204" i="1"/>
  <c r="M204" i="1" s="1"/>
  <c r="T204" i="1"/>
  <c r="K1372" i="1"/>
  <c r="M1372" i="1" s="1"/>
  <c r="T1372" i="1"/>
  <c r="K1147" i="1"/>
  <c r="M1147" i="1" s="1"/>
  <c r="T1147" i="1"/>
  <c r="K939" i="1"/>
  <c r="M939" i="1" s="1"/>
  <c r="T939" i="1"/>
  <c r="K667" i="1"/>
  <c r="M667" i="1" s="1"/>
  <c r="T667" i="1"/>
  <c r="K411" i="1"/>
  <c r="M411" i="1" s="1"/>
  <c r="T411" i="1"/>
  <c r="K171" i="1"/>
  <c r="M171" i="1" s="1"/>
  <c r="T171" i="1"/>
  <c r="K1951" i="1"/>
  <c r="M1951" i="1" s="1"/>
  <c r="T1951" i="1"/>
  <c r="K1870" i="1"/>
  <c r="M1870" i="1" s="1"/>
  <c r="T1870" i="1"/>
  <c r="K1798" i="1"/>
  <c r="M1798" i="1" s="1"/>
  <c r="T1798" i="1"/>
  <c r="K1718" i="1"/>
  <c r="M1718" i="1" s="1"/>
  <c r="T1718" i="1"/>
  <c r="K1631" i="1"/>
  <c r="M1631" i="1" s="1"/>
  <c r="T1631" i="1"/>
  <c r="K1566" i="1"/>
  <c r="M1566" i="1" s="1"/>
  <c r="T1566" i="1"/>
  <c r="K1478" i="1"/>
  <c r="M1478" i="1" s="1"/>
  <c r="T1478" i="1"/>
  <c r="K1383" i="1"/>
  <c r="M1383" i="1" s="1"/>
  <c r="T1383" i="1"/>
  <c r="K1294" i="1"/>
  <c r="M1294" i="1" s="1"/>
  <c r="T1294" i="1"/>
  <c r="K1222" i="1"/>
  <c r="M1222" i="1" s="1"/>
  <c r="T1222" i="1"/>
  <c r="K1158" i="1"/>
  <c r="M1158" i="1" s="1"/>
  <c r="T1158" i="1"/>
  <c r="K1086" i="1"/>
  <c r="M1086" i="1" s="1"/>
  <c r="T1086" i="1"/>
  <c r="K1021" i="1"/>
  <c r="M1021" i="1" s="1"/>
  <c r="T1021" i="1"/>
  <c r="K1657" i="1"/>
  <c r="M1657" i="1" s="1"/>
  <c r="T1657" i="1"/>
  <c r="K1955" i="1"/>
  <c r="M1955" i="1" s="1"/>
  <c r="T1955" i="1"/>
  <c r="K1771" i="1"/>
  <c r="M1771" i="1" s="1"/>
  <c r="T1771" i="1"/>
  <c r="K1458" i="1"/>
  <c r="M1458" i="1" s="1"/>
  <c r="T1458" i="1"/>
  <c r="K578" i="1"/>
  <c r="M578" i="1" s="1"/>
  <c r="T578" i="1"/>
  <c r="K1081" i="1"/>
  <c r="M1081" i="1" s="1"/>
  <c r="T1081" i="1"/>
  <c r="K609" i="1"/>
  <c r="M609" i="1" s="1"/>
  <c r="T609" i="1"/>
  <c r="K289" i="1"/>
  <c r="M289" i="1" s="1"/>
  <c r="T289" i="1"/>
  <c r="K65" i="1"/>
  <c r="M65" i="1" s="1"/>
  <c r="T65" i="1"/>
  <c r="K333" i="1"/>
  <c r="M333" i="1" s="1"/>
  <c r="T333" i="1"/>
  <c r="K1748" i="1"/>
  <c r="M1748" i="1" s="1"/>
  <c r="T1748" i="1"/>
  <c r="K796" i="1"/>
  <c r="M796" i="1" s="1"/>
  <c r="T796" i="1"/>
  <c r="K396" i="1"/>
  <c r="M396" i="1" s="1"/>
  <c r="T396" i="1"/>
  <c r="K1107" i="1"/>
  <c r="M1107" i="1" s="1"/>
  <c r="T1107" i="1"/>
  <c r="K402" i="1"/>
  <c r="M402" i="1" s="1"/>
  <c r="T402" i="1"/>
  <c r="K1920" i="1"/>
  <c r="M1920" i="1" s="1"/>
  <c r="T1920" i="1"/>
  <c r="K1544" i="1"/>
  <c r="M1544" i="1" s="1"/>
  <c r="T1544" i="1"/>
  <c r="K1120" i="1"/>
  <c r="M1120" i="1" s="1"/>
  <c r="T1120" i="1"/>
  <c r="K864" i="1"/>
  <c r="M864" i="1" s="1"/>
  <c r="T864" i="1"/>
  <c r="K633" i="1"/>
  <c r="M633" i="1" s="1"/>
  <c r="T633" i="1"/>
  <c r="K409" i="1"/>
  <c r="M409" i="1" s="1"/>
  <c r="T409" i="1"/>
  <c r="K184" i="1"/>
  <c r="M184" i="1" s="1"/>
  <c r="T184" i="1"/>
  <c r="K982" i="1"/>
  <c r="M982" i="1" s="1"/>
  <c r="T982" i="1"/>
  <c r="K1677" i="1"/>
  <c r="M1677" i="1" s="1"/>
  <c r="T1677" i="1"/>
  <c r="K1517" i="1"/>
  <c r="M1517" i="1" s="1"/>
  <c r="T1517" i="1"/>
  <c r="K1022" i="1"/>
  <c r="M1022" i="1" s="1"/>
  <c r="T1022" i="1"/>
  <c r="K501" i="1"/>
  <c r="M501" i="1" s="1"/>
  <c r="T501" i="1"/>
  <c r="K1772" i="1"/>
  <c r="M1772" i="1" s="1"/>
  <c r="T1772" i="1"/>
  <c r="K1316" i="1"/>
  <c r="M1316" i="1" s="1"/>
  <c r="T1316" i="1"/>
  <c r="K524" i="1"/>
  <c r="M524" i="1" s="1"/>
  <c r="T524" i="1"/>
  <c r="K1323" i="1"/>
  <c r="M1323" i="1" s="1"/>
  <c r="T1323" i="1"/>
  <c r="K883" i="1"/>
  <c r="M883" i="1" s="1"/>
  <c r="T883" i="1"/>
  <c r="K419" i="1"/>
  <c r="M419" i="1" s="1"/>
  <c r="T419" i="1"/>
  <c r="K12" i="1"/>
  <c r="M12" i="1" s="1"/>
  <c r="T12" i="1"/>
  <c r="K1519" i="1"/>
  <c r="M1519" i="1" s="1"/>
  <c r="T1519" i="1"/>
  <c r="K895" i="1"/>
  <c r="M895" i="1" s="1"/>
  <c r="T895" i="1"/>
  <c r="K319" i="1"/>
  <c r="M319" i="1" s="1"/>
  <c r="T319" i="1"/>
  <c r="K686" i="1"/>
  <c r="M686" i="1" s="1"/>
  <c r="T686" i="1"/>
  <c r="K1389" i="1"/>
  <c r="M1389" i="1" s="1"/>
  <c r="T1389" i="1"/>
  <c r="K77" i="1"/>
  <c r="M77" i="1" s="1"/>
  <c r="T77" i="1"/>
  <c r="K19" i="1"/>
  <c r="M19" i="1" s="1"/>
  <c r="T19" i="1"/>
  <c r="K1982" i="1"/>
  <c r="M1982" i="1" s="1"/>
  <c r="T1982" i="1"/>
  <c r="K1509" i="1"/>
  <c r="M1509" i="1" s="1"/>
  <c r="T1509" i="1"/>
  <c r="K1650" i="1"/>
  <c r="M1650" i="1" s="1"/>
  <c r="T1650" i="1"/>
  <c r="K1739" i="1"/>
  <c r="M1739" i="1" s="1"/>
  <c r="T1739" i="1"/>
  <c r="K1460" i="1"/>
  <c r="M1460" i="1" s="1"/>
  <c r="T1460" i="1"/>
  <c r="K1602" i="1"/>
  <c r="M1602" i="1" s="1"/>
  <c r="T1602" i="1"/>
  <c r="K962" i="1"/>
  <c r="M962" i="1" s="1"/>
  <c r="T962" i="1"/>
  <c r="K370" i="1"/>
  <c r="M370" i="1" s="1"/>
  <c r="T370" i="1"/>
  <c r="K10" i="1"/>
  <c r="M10" i="1" s="1"/>
  <c r="T10" i="1"/>
  <c r="K1521" i="1"/>
  <c r="M1521" i="1" s="1"/>
  <c r="T1521" i="1"/>
  <c r="K1145" i="1"/>
  <c r="M1145" i="1" s="1"/>
  <c r="T1145" i="1"/>
  <c r="K753" i="1"/>
  <c r="M753" i="1" s="1"/>
  <c r="T753" i="1"/>
  <c r="K433" i="1"/>
  <c r="M433" i="1" s="1"/>
  <c r="T433" i="1"/>
  <c r="K1117" i="1"/>
  <c r="M1117" i="1" s="1"/>
  <c r="T1117" i="1"/>
  <c r="K1732" i="1"/>
  <c r="M1732" i="1" s="1"/>
  <c r="T1732" i="1"/>
  <c r="K380" i="1"/>
  <c r="M380" i="1" s="1"/>
  <c r="T380" i="1"/>
  <c r="K579" i="1"/>
  <c r="M579" i="1" s="1"/>
  <c r="T579" i="1"/>
  <c r="K1984" i="1"/>
  <c r="M1984" i="1" s="1"/>
  <c r="T1984" i="1"/>
  <c r="K1440" i="1"/>
  <c r="M1440" i="1" s="1"/>
  <c r="T1440" i="1"/>
  <c r="K856" i="1"/>
  <c r="M856" i="1" s="1"/>
  <c r="T856" i="1"/>
  <c r="K327" i="1"/>
  <c r="M327" i="1" s="1"/>
  <c r="T327" i="1"/>
  <c r="K1813" i="1"/>
  <c r="M1813" i="1" s="1"/>
  <c r="T1813" i="1"/>
  <c r="K469" i="1"/>
  <c r="M469" i="1" s="1"/>
  <c r="T469" i="1"/>
  <c r="K1012" i="1"/>
  <c r="M1012" i="1" s="1"/>
  <c r="T1012" i="1"/>
  <c r="K1099" i="1"/>
  <c r="M1099" i="1" s="1"/>
  <c r="T1099" i="1"/>
  <c r="K395" i="1"/>
  <c r="M395" i="1" s="1"/>
  <c r="T395" i="1"/>
  <c r="K1926" i="1"/>
  <c r="M1926" i="1" s="1"/>
  <c r="T1926" i="1"/>
  <c r="K1423" i="1"/>
  <c r="M1423" i="1" s="1"/>
  <c r="T1423" i="1"/>
  <c r="K871" i="1"/>
  <c r="M871" i="1" s="1"/>
  <c r="T871" i="1"/>
  <c r="K311" i="1"/>
  <c r="M311" i="1" s="1"/>
  <c r="T311" i="1"/>
  <c r="K854" i="1"/>
  <c r="M854" i="1" s="1"/>
  <c r="T854" i="1"/>
  <c r="K406" i="1"/>
  <c r="M406" i="1" s="1"/>
  <c r="T406" i="1"/>
  <c r="K1629" i="1"/>
  <c r="M1629" i="1" s="1"/>
  <c r="T1629" i="1"/>
  <c r="K1373" i="1"/>
  <c r="M1373" i="1" s="1"/>
  <c r="T1373" i="1"/>
  <c r="K318" i="1"/>
  <c r="M318" i="1" s="1"/>
  <c r="T318" i="1"/>
  <c r="K1020" i="1"/>
  <c r="M1020" i="1" s="1"/>
  <c r="T1020" i="1"/>
  <c r="K980" i="1"/>
  <c r="M980" i="1" s="1"/>
  <c r="T980" i="1"/>
  <c r="K1965" i="1"/>
  <c r="M1965" i="1" s="1"/>
  <c r="T1965" i="1"/>
  <c r="K1582" i="1"/>
  <c r="M1582" i="1" s="1"/>
  <c r="T1582" i="1"/>
  <c r="K1174" i="1"/>
  <c r="M1174" i="1" s="1"/>
  <c r="T1174" i="1"/>
  <c r="K1938" i="1"/>
  <c r="M1938" i="1" s="1"/>
  <c r="T1938" i="1"/>
  <c r="K1761" i="1"/>
  <c r="M1761" i="1" s="1"/>
  <c r="T1761" i="1"/>
  <c r="K1731" i="1"/>
  <c r="M1731" i="1" s="1"/>
  <c r="T1731" i="1"/>
  <c r="K1451" i="1"/>
  <c r="M1451" i="1" s="1"/>
  <c r="T1451" i="1"/>
  <c r="K1593" i="1"/>
  <c r="M1593" i="1" s="1"/>
  <c r="T1593" i="1"/>
  <c r="K810" i="1"/>
  <c r="M810" i="1" s="1"/>
  <c r="T810" i="1"/>
  <c r="K122" i="1"/>
  <c r="M122" i="1" s="1"/>
  <c r="T122" i="1"/>
  <c r="K1217" i="1"/>
  <c r="M1217" i="1" s="1"/>
  <c r="T1217" i="1"/>
  <c r="K841" i="1"/>
  <c r="M841" i="1" s="1"/>
  <c r="T841" i="1"/>
  <c r="K497" i="1"/>
  <c r="M497" i="1" s="1"/>
  <c r="T497" i="1"/>
  <c r="K201" i="1"/>
  <c r="M201" i="1" s="1"/>
  <c r="T201" i="1"/>
  <c r="K925" i="1"/>
  <c r="M925" i="1" s="1"/>
  <c r="T925" i="1"/>
  <c r="K69" i="1"/>
  <c r="M69" i="1" s="1"/>
  <c r="T69" i="1"/>
  <c r="K1212" i="1"/>
  <c r="M1212" i="1" s="1"/>
  <c r="T1212" i="1"/>
  <c r="K364" i="1"/>
  <c r="M364" i="1" s="1"/>
  <c r="T364" i="1"/>
  <c r="K563" i="1"/>
  <c r="M563" i="1" s="1"/>
  <c r="T563" i="1"/>
  <c r="K1896" i="1"/>
  <c r="M1896" i="1" s="1"/>
  <c r="T1896" i="1"/>
  <c r="K1432" i="1"/>
  <c r="M1432" i="1" s="1"/>
  <c r="T1432" i="1"/>
  <c r="K1096" i="1"/>
  <c r="M1096" i="1" s="1"/>
  <c r="T1096" i="1"/>
  <c r="K688" i="1"/>
  <c r="M688" i="1" s="1"/>
  <c r="T688" i="1"/>
  <c r="K240" i="1"/>
  <c r="M240" i="1" s="1"/>
  <c r="T240" i="1"/>
  <c r="K1957" i="1"/>
  <c r="M1957" i="1" s="1"/>
  <c r="T1957" i="1"/>
  <c r="K1189" i="1"/>
  <c r="M1189" i="1" s="1"/>
  <c r="T1189" i="1"/>
  <c r="K109" i="1"/>
  <c r="M109" i="1" s="1"/>
  <c r="T109" i="1"/>
  <c r="K1476" i="1"/>
  <c r="M1476" i="1" s="1"/>
  <c r="T1476" i="1"/>
  <c r="K420" i="1"/>
  <c r="M420" i="1" s="1"/>
  <c r="T420" i="1"/>
  <c r="K811" i="1"/>
  <c r="M811" i="1" s="1"/>
  <c r="T811" i="1"/>
  <c r="K1998" i="1"/>
  <c r="M1998" i="1" s="1"/>
  <c r="T1998" i="1"/>
  <c r="K1599" i="1"/>
  <c r="M1599" i="1" s="1"/>
  <c r="T1599" i="1"/>
  <c r="K1343" i="1"/>
  <c r="M1343" i="1" s="1"/>
  <c r="T1343" i="1"/>
  <c r="K952" i="1"/>
  <c r="M952" i="1" s="1"/>
  <c r="T952" i="1"/>
  <c r="K583" i="1"/>
  <c r="M583" i="1" s="1"/>
  <c r="T583" i="1"/>
  <c r="K159" i="1"/>
  <c r="M159" i="1" s="1"/>
  <c r="T159" i="1"/>
  <c r="K782" i="1"/>
  <c r="M782" i="1" s="1"/>
  <c r="T782" i="1"/>
  <c r="K302" i="1"/>
  <c r="M302" i="1" s="1"/>
  <c r="T302" i="1"/>
  <c r="K1765" i="1"/>
  <c r="M1765" i="1" s="1"/>
  <c r="T1765" i="1"/>
  <c r="K1221" i="1"/>
  <c r="M1221" i="1" s="1"/>
  <c r="T1221" i="1"/>
  <c r="K37" i="1"/>
  <c r="M37" i="1" s="1"/>
  <c r="T37" i="1"/>
  <c r="K1348" i="1"/>
  <c r="M1348" i="1" s="1"/>
  <c r="T1348" i="1"/>
  <c r="K692" i="1"/>
  <c r="M692" i="1" s="1"/>
  <c r="T692" i="1"/>
  <c r="K1171" i="1"/>
  <c r="M1171" i="1" s="1"/>
  <c r="T1171" i="1"/>
  <c r="K435" i="1"/>
  <c r="M435" i="1" s="1"/>
  <c r="T435" i="1"/>
  <c r="K1878" i="1"/>
  <c r="M1878" i="1" s="1"/>
  <c r="T1878" i="1"/>
  <c r="K1574" i="1"/>
  <c r="M1574" i="1" s="1"/>
  <c r="T1574" i="1"/>
  <c r="K1310" i="1"/>
  <c r="M1310" i="1" s="1"/>
  <c r="T1310" i="1"/>
  <c r="K1094" i="1"/>
  <c r="M1094" i="1" s="1"/>
  <c r="T1094" i="1"/>
  <c r="K1890" i="1"/>
  <c r="M1890" i="1" s="1"/>
  <c r="T1890" i="1"/>
  <c r="K1985" i="1"/>
  <c r="M1985" i="1" s="1"/>
  <c r="T1985" i="1"/>
  <c r="K1753" i="1"/>
  <c r="M1753" i="1" s="1"/>
  <c r="T1753" i="1"/>
  <c r="K1923" i="1"/>
  <c r="M1923" i="1" s="1"/>
  <c r="T1923" i="1"/>
  <c r="K1827" i="1"/>
  <c r="M1827" i="1" s="1"/>
  <c r="T1827" i="1"/>
  <c r="K1723" i="1"/>
  <c r="M1723" i="1" s="1"/>
  <c r="T1723" i="1"/>
  <c r="K1659" i="1"/>
  <c r="M1659" i="1" s="1"/>
  <c r="T1659" i="1"/>
  <c r="K1515" i="1"/>
  <c r="M1515" i="1" s="1"/>
  <c r="T1515" i="1"/>
  <c r="K1443" i="1"/>
  <c r="M1443" i="1" s="1"/>
  <c r="T1443" i="1"/>
  <c r="K1882" i="1"/>
  <c r="M1882" i="1" s="1"/>
  <c r="T1882" i="1"/>
  <c r="K1968" i="1"/>
  <c r="M1968" i="1" s="1"/>
  <c r="T1968" i="1"/>
  <c r="K1721" i="1"/>
  <c r="M1721" i="1" s="1"/>
  <c r="T1721" i="1"/>
  <c r="K1907" i="1"/>
  <c r="M1907" i="1" s="1"/>
  <c r="T1907" i="1"/>
  <c r="K1819" i="1"/>
  <c r="M1819" i="1" s="1"/>
  <c r="T1819" i="1"/>
  <c r="K1716" i="1"/>
  <c r="M1716" i="1" s="1"/>
  <c r="T1716" i="1"/>
  <c r="K1636" i="1"/>
  <c r="M1636" i="1" s="1"/>
  <c r="T1636" i="1"/>
  <c r="K1507" i="1"/>
  <c r="M1507" i="1" s="1"/>
  <c r="T1507" i="1"/>
  <c r="K1434" i="1"/>
  <c r="M1434" i="1" s="1"/>
  <c r="T1434" i="1"/>
  <c r="K1786" i="1"/>
  <c r="M1786" i="1" s="1"/>
  <c r="T1786" i="1"/>
  <c r="K1674" i="1"/>
  <c r="M1674" i="1" s="1"/>
  <c r="T1674" i="1"/>
  <c r="K1562" i="1"/>
  <c r="M1562" i="1" s="1"/>
  <c r="T1562" i="1"/>
  <c r="K1394" i="1"/>
  <c r="M1394" i="1" s="1"/>
  <c r="T1394" i="1"/>
  <c r="K1178" i="1"/>
  <c r="M1178" i="1" s="1"/>
  <c r="T1178" i="1"/>
  <c r="K1034" i="1"/>
  <c r="M1034" i="1" s="1"/>
  <c r="T1034" i="1"/>
  <c r="K930" i="1"/>
  <c r="M930" i="1" s="1"/>
  <c r="T930" i="1"/>
  <c r="K770" i="1"/>
  <c r="M770" i="1" s="1"/>
  <c r="T770" i="1"/>
  <c r="K658" i="1"/>
  <c r="M658" i="1" s="1"/>
  <c r="T658" i="1"/>
  <c r="K514" i="1"/>
  <c r="M514" i="1" s="1"/>
  <c r="T514" i="1"/>
  <c r="K331" i="1"/>
  <c r="M331" i="1" s="1"/>
  <c r="T331" i="1"/>
  <c r="K242" i="1"/>
  <c r="M242" i="1" s="1"/>
  <c r="T242" i="1"/>
  <c r="K90" i="1"/>
  <c r="M90" i="1" s="1"/>
  <c r="T90" i="1"/>
  <c r="K1480" i="1"/>
  <c r="M1480" i="1" s="1"/>
  <c r="T1480" i="1"/>
  <c r="K1361" i="1"/>
  <c r="M1361" i="1" s="1"/>
  <c r="T1361" i="1"/>
  <c r="K1281" i="1"/>
  <c r="M1281" i="1" s="1"/>
  <c r="T1281" i="1"/>
  <c r="K1193" i="1"/>
  <c r="M1193" i="1" s="1"/>
  <c r="T1193" i="1"/>
  <c r="K1121" i="1"/>
  <c r="M1121" i="1" s="1"/>
  <c r="T1121" i="1"/>
  <c r="K1025" i="1"/>
  <c r="M1025" i="1" s="1"/>
  <c r="T1025" i="1"/>
  <c r="K905" i="1"/>
  <c r="M905" i="1" s="1"/>
  <c r="T905" i="1"/>
  <c r="K817" i="1"/>
  <c r="M817" i="1" s="1"/>
  <c r="T817" i="1"/>
  <c r="K729" i="1"/>
  <c r="M729" i="1" s="1"/>
  <c r="T729" i="1"/>
  <c r="K641" i="1"/>
  <c r="M641" i="1" s="1"/>
  <c r="T641" i="1"/>
  <c r="K561" i="1"/>
  <c r="M561" i="1" s="1"/>
  <c r="T561" i="1"/>
  <c r="K473" i="1"/>
  <c r="M473" i="1" s="1"/>
  <c r="T473" i="1"/>
  <c r="K401" i="1"/>
  <c r="M401" i="1" s="1"/>
  <c r="T401" i="1"/>
  <c r="K321" i="1"/>
  <c r="M321" i="1" s="1"/>
  <c r="T321" i="1"/>
  <c r="K257" i="1"/>
  <c r="M257" i="1" s="1"/>
  <c r="T257" i="1"/>
  <c r="K185" i="1"/>
  <c r="M185" i="1" s="1"/>
  <c r="T185" i="1"/>
  <c r="K97" i="1"/>
  <c r="M97" i="1" s="1"/>
  <c r="T97" i="1"/>
  <c r="K32" i="1"/>
  <c r="M32" i="1" s="1"/>
  <c r="T32" i="1"/>
  <c r="K1045" i="1"/>
  <c r="M1045" i="1" s="1"/>
  <c r="T1045" i="1"/>
  <c r="K877" i="1"/>
  <c r="M877" i="1" s="1"/>
  <c r="T877" i="1"/>
  <c r="K614" i="1"/>
  <c r="M614" i="1" s="1"/>
  <c r="T614" i="1"/>
  <c r="K197" i="1"/>
  <c r="M197" i="1" s="1"/>
  <c r="T197" i="1"/>
  <c r="K29" i="1"/>
  <c r="M29" i="1" s="1"/>
  <c r="T29" i="1"/>
  <c r="K1900" i="1"/>
  <c r="M1900" i="1" s="1"/>
  <c r="T1900" i="1"/>
  <c r="K1684" i="1"/>
  <c r="M1684" i="1" s="1"/>
  <c r="T1684" i="1"/>
  <c r="K1452" i="1"/>
  <c r="M1452" i="1" s="1"/>
  <c r="T1452" i="1"/>
  <c r="K1164" i="1"/>
  <c r="M1164" i="1" s="1"/>
  <c r="T1164" i="1"/>
  <c r="K907" i="1"/>
  <c r="M907" i="1" s="1"/>
  <c r="T907" i="1"/>
  <c r="K700" i="1"/>
  <c r="M700" i="1" s="1"/>
  <c r="T700" i="1"/>
  <c r="K484" i="1"/>
  <c r="M484" i="1" s="1"/>
  <c r="T484" i="1"/>
  <c r="K292" i="1"/>
  <c r="M292" i="1" s="1"/>
  <c r="T292" i="1"/>
  <c r="K36" i="1"/>
  <c r="M36" i="1" s="1"/>
  <c r="T36" i="1"/>
  <c r="K1243" i="1"/>
  <c r="M1243" i="1" s="1"/>
  <c r="T1243" i="1"/>
  <c r="K995" i="1"/>
  <c r="M995" i="1" s="1"/>
  <c r="T995" i="1"/>
  <c r="K755" i="1"/>
  <c r="M755" i="1" s="1"/>
  <c r="T755" i="1"/>
  <c r="K523" i="1"/>
  <c r="M523" i="1" s="1"/>
  <c r="T523" i="1"/>
  <c r="K323" i="1"/>
  <c r="M323" i="1" s="1"/>
  <c r="T323" i="1"/>
  <c r="K51" i="1"/>
  <c r="M51" i="1" s="1"/>
  <c r="T51" i="1"/>
  <c r="K1960" i="1"/>
  <c r="M1960" i="1" s="1"/>
  <c r="T1960" i="1"/>
  <c r="K1872" i="1"/>
  <c r="M1872" i="1" s="1"/>
  <c r="T1872" i="1"/>
  <c r="K1808" i="1"/>
  <c r="M1808" i="1" s="1"/>
  <c r="T1808" i="1"/>
  <c r="K1712" i="1"/>
  <c r="M1712" i="1" s="1"/>
  <c r="T1712" i="1"/>
  <c r="K1616" i="1"/>
  <c r="M1616" i="1" s="1"/>
  <c r="T1616" i="1"/>
  <c r="K1505" i="1"/>
  <c r="M1505" i="1" s="1"/>
  <c r="T1505" i="1"/>
  <c r="K1416" i="1"/>
  <c r="M1416" i="1" s="1"/>
  <c r="T1416" i="1"/>
  <c r="K1336" i="1"/>
  <c r="M1336" i="1" s="1"/>
  <c r="T1336" i="1"/>
  <c r="K1256" i="1"/>
  <c r="M1256" i="1" s="1"/>
  <c r="T1256" i="1"/>
  <c r="K1175" i="1"/>
  <c r="M1175" i="1" s="1"/>
  <c r="T1175" i="1"/>
  <c r="K1080" i="1"/>
  <c r="M1080" i="1" s="1"/>
  <c r="T1080" i="1"/>
  <c r="K1016" i="1"/>
  <c r="M1016" i="1" s="1"/>
  <c r="T1016" i="1"/>
  <c r="K920" i="1"/>
  <c r="M920" i="1" s="1"/>
  <c r="T920" i="1"/>
  <c r="K824" i="1"/>
  <c r="M824" i="1" s="1"/>
  <c r="T824" i="1"/>
  <c r="K744" i="1"/>
  <c r="M744" i="1" s="1"/>
  <c r="T744" i="1"/>
  <c r="K671" i="1"/>
  <c r="M671" i="1" s="1"/>
  <c r="T671" i="1"/>
  <c r="K592" i="1"/>
  <c r="M592" i="1" s="1"/>
  <c r="T592" i="1"/>
  <c r="K456" i="1"/>
  <c r="M456" i="1" s="1"/>
  <c r="T456" i="1"/>
  <c r="K376" i="1"/>
  <c r="M376" i="1" s="1"/>
  <c r="T376" i="1"/>
  <c r="K288" i="1"/>
  <c r="M288" i="1" s="1"/>
  <c r="T288" i="1"/>
  <c r="K216" i="1"/>
  <c r="M216" i="1" s="1"/>
  <c r="T216" i="1"/>
  <c r="K119" i="1"/>
  <c r="M119" i="1" s="1"/>
  <c r="K40" i="1"/>
  <c r="M40" i="1" s="1"/>
  <c r="T40" i="1"/>
  <c r="K902" i="1"/>
  <c r="M902" i="1" s="1"/>
  <c r="T902" i="1"/>
  <c r="K1917" i="1"/>
  <c r="M1917" i="1" s="1"/>
  <c r="T1917" i="1"/>
  <c r="K1733" i="1"/>
  <c r="M1733" i="1" s="1"/>
  <c r="T1733" i="1"/>
  <c r="K1597" i="1"/>
  <c r="M1597" i="1" s="1"/>
  <c r="T1597" i="1"/>
  <c r="K1429" i="1"/>
  <c r="M1429" i="1" s="1"/>
  <c r="T1429" i="1"/>
  <c r="K1157" i="1"/>
  <c r="M1157" i="1" s="1"/>
  <c r="T1157" i="1"/>
  <c r="K933" i="1"/>
  <c r="M933" i="1" s="1"/>
  <c r="T933" i="1"/>
  <c r="K589" i="1"/>
  <c r="M589" i="1" s="1"/>
  <c r="T589" i="1"/>
  <c r="K349" i="1"/>
  <c r="M349" i="1" s="1"/>
  <c r="T349" i="1"/>
  <c r="K13" i="1"/>
  <c r="M13" i="1" s="1"/>
  <c r="T13" i="1"/>
  <c r="K1860" i="1"/>
  <c r="M1860" i="1" s="1"/>
  <c r="T1860" i="1"/>
  <c r="K1612" i="1"/>
  <c r="M1612" i="1" s="1"/>
  <c r="T1612" i="1"/>
  <c r="K1436" i="1"/>
  <c r="M1436" i="1" s="1"/>
  <c r="T1436" i="1"/>
  <c r="K1196" i="1"/>
  <c r="M1196" i="1" s="1"/>
  <c r="T1196" i="1"/>
  <c r="K852" i="1"/>
  <c r="M852" i="1" s="1"/>
  <c r="T852" i="1"/>
  <c r="K628" i="1"/>
  <c r="M628" i="1" s="1"/>
  <c r="T628" i="1"/>
  <c r="K348" i="1"/>
  <c r="M348" i="1" s="1"/>
  <c r="T348" i="1"/>
  <c r="K68" i="1"/>
  <c r="M68" i="1" s="1"/>
  <c r="T68" i="1"/>
  <c r="K1227" i="1"/>
  <c r="M1227" i="1" s="1"/>
  <c r="T1227" i="1"/>
  <c r="K1051" i="1"/>
  <c r="M1051" i="1" s="1"/>
  <c r="T1051" i="1"/>
  <c r="K763" i="1"/>
  <c r="M763" i="1" s="1"/>
  <c r="T763" i="1"/>
  <c r="K556" i="1"/>
  <c r="M556" i="1" s="1"/>
  <c r="T556" i="1"/>
  <c r="K307" i="1"/>
  <c r="M307" i="1" s="1"/>
  <c r="T307" i="1"/>
  <c r="K115" i="1"/>
  <c r="M115" i="1" s="1"/>
  <c r="T115" i="1"/>
  <c r="K1983" i="1"/>
  <c r="M1983" i="1" s="1"/>
  <c r="T1983" i="1"/>
  <c r="K1903" i="1"/>
  <c r="M1903" i="1" s="1"/>
  <c r="T1903" i="1"/>
  <c r="K1839" i="1"/>
  <c r="M1839" i="1" s="1"/>
  <c r="T1839" i="1"/>
  <c r="K1727" i="1"/>
  <c r="M1727" i="1" s="1"/>
  <c r="T1727" i="1"/>
  <c r="K1647" i="1"/>
  <c r="M1647" i="1" s="1"/>
  <c r="T1647" i="1"/>
  <c r="K1583" i="1"/>
  <c r="M1583" i="1" s="1"/>
  <c r="T1583" i="1"/>
  <c r="K1479" i="1"/>
  <c r="M1479" i="1" s="1"/>
  <c r="T1479" i="1"/>
  <c r="K1399" i="1"/>
  <c r="M1399" i="1" s="1"/>
  <c r="T1399" i="1"/>
  <c r="K1319" i="1"/>
  <c r="M1319" i="1" s="1"/>
  <c r="T1319" i="1"/>
  <c r="K1223" i="1"/>
  <c r="M1223" i="1" s="1"/>
  <c r="T1223" i="1"/>
  <c r="K1119" i="1"/>
  <c r="M1119" i="1" s="1"/>
  <c r="T1119" i="1"/>
  <c r="K1039" i="1"/>
  <c r="M1039" i="1" s="1"/>
  <c r="T1039" i="1"/>
  <c r="K935" i="1"/>
  <c r="M935" i="1" s="1"/>
  <c r="T935" i="1"/>
  <c r="K823" i="1"/>
  <c r="M823" i="1" s="1"/>
  <c r="T823" i="1"/>
  <c r="K727" i="1"/>
  <c r="M727" i="1" s="1"/>
  <c r="T727" i="1"/>
  <c r="K631" i="1"/>
  <c r="M631" i="1" s="1"/>
  <c r="T631" i="1"/>
  <c r="K560" i="1"/>
  <c r="M560" i="1" s="1"/>
  <c r="T560" i="1"/>
  <c r="K446" i="1"/>
  <c r="M446" i="1" s="1"/>
  <c r="T446" i="1"/>
  <c r="K352" i="1"/>
  <c r="M352" i="1" s="1"/>
  <c r="T352" i="1"/>
  <c r="K279" i="1"/>
  <c r="M279" i="1" s="1"/>
  <c r="T279" i="1"/>
  <c r="K215" i="1"/>
  <c r="M215" i="1" s="1"/>
  <c r="T215" i="1"/>
  <c r="K143" i="1"/>
  <c r="M143" i="1" s="1"/>
  <c r="T143" i="1"/>
  <c r="K71" i="1"/>
  <c r="M71" i="1" s="1"/>
  <c r="T71" i="1"/>
  <c r="K926" i="1"/>
  <c r="M926" i="1" s="1"/>
  <c r="T926" i="1"/>
  <c r="K830" i="1"/>
  <c r="M830" i="1" s="1"/>
  <c r="T830" i="1"/>
  <c r="K750" i="1"/>
  <c r="M750" i="1" s="1"/>
  <c r="T750" i="1"/>
  <c r="K646" i="1"/>
  <c r="M646" i="1" s="1"/>
  <c r="T646" i="1"/>
  <c r="K550" i="1"/>
  <c r="M550" i="1" s="1"/>
  <c r="T550" i="1"/>
  <c r="K462" i="1"/>
  <c r="M462" i="1" s="1"/>
  <c r="T462" i="1"/>
  <c r="K366" i="1"/>
  <c r="M366" i="1" s="1"/>
  <c r="T366" i="1"/>
  <c r="K278" i="1"/>
  <c r="M278" i="1" s="1"/>
  <c r="T278" i="1"/>
  <c r="K190" i="1"/>
  <c r="M190" i="1" s="1"/>
  <c r="T190" i="1"/>
  <c r="K102" i="1"/>
  <c r="M102" i="1" s="1"/>
  <c r="T102" i="1"/>
  <c r="K6" i="1"/>
  <c r="M6" i="1" s="1"/>
  <c r="T6" i="1"/>
  <c r="K1869" i="1"/>
  <c r="M1869" i="1" s="1"/>
  <c r="T1869" i="1"/>
  <c r="K1741" i="1"/>
  <c r="M1741" i="1" s="1"/>
  <c r="T1741" i="1"/>
  <c r="K1572" i="1"/>
  <c r="M1572" i="1" s="1"/>
  <c r="T1572" i="1"/>
  <c r="K1453" i="1"/>
  <c r="M1453" i="1" s="1"/>
  <c r="T1453" i="1"/>
  <c r="K1341" i="1"/>
  <c r="M1341" i="1" s="1"/>
  <c r="T1341" i="1"/>
  <c r="K1165" i="1"/>
  <c r="M1165" i="1" s="1"/>
  <c r="T1165" i="1"/>
  <c r="K941" i="1"/>
  <c r="M941" i="1" s="1"/>
  <c r="T941" i="1"/>
  <c r="K645" i="1"/>
  <c r="M645" i="1" s="1"/>
  <c r="T645" i="1"/>
  <c r="K461" i="1"/>
  <c r="M461" i="1" s="1"/>
  <c r="T461" i="1"/>
  <c r="K164" i="1"/>
  <c r="M164" i="1" s="1"/>
  <c r="T164" i="1"/>
  <c r="K1972" i="1"/>
  <c r="M1972" i="1" s="1"/>
  <c r="T1972" i="1"/>
  <c r="K1675" i="1"/>
  <c r="M1675" i="1" s="1"/>
  <c r="T1675" i="1"/>
  <c r="K1468" i="1"/>
  <c r="M1468" i="1" s="1"/>
  <c r="T1468" i="1"/>
  <c r="K1252" i="1"/>
  <c r="M1252" i="1" s="1"/>
  <c r="T1252" i="1"/>
  <c r="K964" i="1"/>
  <c r="M964" i="1" s="1"/>
  <c r="T964" i="1"/>
  <c r="K612" i="1"/>
  <c r="M612" i="1" s="1"/>
  <c r="T612" i="1"/>
  <c r="K428" i="1"/>
  <c r="M428" i="1" s="1"/>
  <c r="T428" i="1"/>
  <c r="K148" i="1"/>
  <c r="M148" i="1" s="1"/>
  <c r="T148" i="1"/>
  <c r="K1355" i="1"/>
  <c r="M1355" i="1" s="1"/>
  <c r="T1355" i="1"/>
  <c r="K1131" i="1"/>
  <c r="M1131" i="1" s="1"/>
  <c r="T1131" i="1"/>
  <c r="K867" i="1"/>
  <c r="M867" i="1" s="1"/>
  <c r="T867" i="1"/>
  <c r="K659" i="1"/>
  <c r="M659" i="1" s="1"/>
  <c r="T659" i="1"/>
  <c r="K387" i="1"/>
  <c r="M387" i="1" s="1"/>
  <c r="T387" i="1"/>
  <c r="K146" i="1"/>
  <c r="M146" i="1" s="1"/>
  <c r="T146" i="1"/>
  <c r="K1942" i="1"/>
  <c r="M1942" i="1" s="1"/>
  <c r="T1942" i="1"/>
  <c r="K1862" i="1"/>
  <c r="M1862" i="1" s="1"/>
  <c r="T1862" i="1"/>
  <c r="K1789" i="1"/>
  <c r="M1789" i="1" s="1"/>
  <c r="T1789" i="1"/>
  <c r="K1702" i="1"/>
  <c r="M1702" i="1" s="1"/>
  <c r="T1702" i="1"/>
  <c r="K1622" i="1"/>
  <c r="M1622" i="1" s="1"/>
  <c r="T1622" i="1"/>
  <c r="K1558" i="1"/>
  <c r="M1558" i="1" s="1"/>
  <c r="T1558" i="1"/>
  <c r="K1454" i="1"/>
  <c r="M1454" i="1" s="1"/>
  <c r="T1454" i="1"/>
  <c r="K1374" i="1"/>
  <c r="M1374" i="1" s="1"/>
  <c r="T1374" i="1"/>
  <c r="K1286" i="1"/>
  <c r="M1286" i="1" s="1"/>
  <c r="T1286" i="1"/>
  <c r="K1214" i="1"/>
  <c r="M1214" i="1" s="1"/>
  <c r="T1214" i="1"/>
  <c r="K1150" i="1"/>
  <c r="M1150" i="1" s="1"/>
  <c r="T1150" i="1"/>
  <c r="K1078" i="1"/>
  <c r="M1078" i="1" s="1"/>
  <c r="T1078" i="1"/>
  <c r="K1006" i="1"/>
  <c r="M1006" i="1" s="1"/>
  <c r="T1006" i="1"/>
  <c r="K1850" i="1"/>
  <c r="M1850" i="1" s="1"/>
  <c r="T1850" i="1"/>
  <c r="K1564" i="1"/>
  <c r="M1564" i="1" s="1"/>
  <c r="T1564" i="1"/>
  <c r="K1738" i="1"/>
  <c r="M1738" i="1" s="1"/>
  <c r="T1738" i="1"/>
  <c r="K1330" i="1"/>
  <c r="M1330" i="1" s="1"/>
  <c r="T1330" i="1"/>
  <c r="K978" i="1"/>
  <c r="M978" i="1" s="1"/>
  <c r="T978" i="1"/>
  <c r="K731" i="1"/>
  <c r="M731" i="1" s="1"/>
  <c r="T731" i="1"/>
  <c r="K377" i="1"/>
  <c r="M377" i="1" s="1"/>
  <c r="T377" i="1"/>
  <c r="K147" i="1"/>
  <c r="M147" i="1" s="1"/>
  <c r="T147" i="1"/>
  <c r="K18" i="1"/>
  <c r="M18" i="1" s="1"/>
  <c r="T18" i="1"/>
  <c r="K1569" i="1"/>
  <c r="M1569" i="1" s="1"/>
  <c r="T1569" i="1"/>
  <c r="K1433" i="1"/>
  <c r="M1433" i="1" s="1"/>
  <c r="T1433" i="1"/>
  <c r="K1393" i="1"/>
  <c r="M1393" i="1" s="1"/>
  <c r="T1393" i="1"/>
  <c r="K1241" i="1"/>
  <c r="M1241" i="1" s="1"/>
  <c r="T1241" i="1"/>
  <c r="K969" i="1"/>
  <c r="M969" i="1" s="1"/>
  <c r="T969" i="1"/>
  <c r="K689" i="1"/>
  <c r="M689" i="1" s="1"/>
  <c r="T689" i="1"/>
  <c r="K513" i="1"/>
  <c r="M513" i="1" s="1"/>
  <c r="T513" i="1"/>
  <c r="K440" i="1"/>
  <c r="M440" i="1" s="1"/>
  <c r="T440" i="1"/>
  <c r="K353" i="1"/>
  <c r="M353" i="1" s="1"/>
  <c r="T353" i="1"/>
  <c r="K137" i="1"/>
  <c r="M137" i="1" s="1"/>
  <c r="T137" i="1"/>
  <c r="K965" i="1"/>
  <c r="M965" i="1" s="1"/>
  <c r="T965" i="1"/>
  <c r="K1260" i="1"/>
  <c r="M1260" i="1" s="1"/>
  <c r="T1260" i="1"/>
  <c r="K156" i="1"/>
  <c r="M156" i="1" s="1"/>
  <c r="T156" i="1"/>
  <c r="K1036" i="1"/>
  <c r="M1036" i="1" s="1"/>
  <c r="T1036" i="1"/>
  <c r="K103" i="1"/>
  <c r="M103" i="1" s="1"/>
  <c r="T103" i="1"/>
  <c r="K414" i="1"/>
  <c r="M414" i="1" s="1"/>
  <c r="T414" i="1"/>
  <c r="K38" i="1"/>
  <c r="M38" i="1" s="1"/>
  <c r="T38" i="1"/>
  <c r="K1510" i="1"/>
  <c r="M1510" i="1" s="1"/>
  <c r="T1510" i="1"/>
  <c r="K533" i="1"/>
  <c r="M533" i="1" s="1"/>
  <c r="T533" i="1"/>
  <c r="K1844" i="1"/>
  <c r="M1844" i="1" s="1"/>
  <c r="T1844" i="1"/>
  <c r="K732" i="1"/>
  <c r="M732" i="1" s="1"/>
  <c r="T732" i="1"/>
  <c r="K746" i="1"/>
  <c r="M746" i="1" s="1"/>
  <c r="T746" i="1"/>
  <c r="K1750" i="1"/>
  <c r="M1750" i="1" s="1"/>
  <c r="T1750" i="1"/>
  <c r="K1246" i="1"/>
  <c r="M1246" i="1" s="1"/>
  <c r="T1246" i="1"/>
  <c r="K1450" i="1"/>
  <c r="M1450" i="1" s="1"/>
  <c r="T1450" i="1"/>
  <c r="K819" i="1"/>
  <c r="M819" i="1" s="1"/>
  <c r="T819" i="1"/>
  <c r="K274" i="1"/>
  <c r="M274" i="1" s="1"/>
  <c r="T274" i="1"/>
  <c r="K1385" i="1"/>
  <c r="M1385" i="1" s="1"/>
  <c r="T1385" i="1"/>
  <c r="K1073" i="1"/>
  <c r="M1073" i="1" s="1"/>
  <c r="T1073" i="1"/>
  <c r="K681" i="1"/>
  <c r="M681" i="1" s="1"/>
  <c r="T681" i="1"/>
  <c r="K280" i="1"/>
  <c r="M280" i="1" s="1"/>
  <c r="T280" i="1"/>
  <c r="K685" i="1"/>
  <c r="M685" i="1" s="1"/>
  <c r="T685" i="1"/>
  <c r="K1548" i="1"/>
  <c r="M1548" i="1" s="1"/>
  <c r="T1548" i="1"/>
  <c r="K132" i="1"/>
  <c r="M132" i="1" s="1"/>
  <c r="T132" i="1"/>
  <c r="K123" i="1"/>
  <c r="M123" i="1" s="1"/>
  <c r="T123" i="1"/>
  <c r="K1911" i="1"/>
  <c r="M1911" i="1" s="1"/>
  <c r="T1911" i="1"/>
  <c r="K1360" i="1"/>
  <c r="M1360" i="1" s="1"/>
  <c r="T1360" i="1"/>
  <c r="K777" i="1"/>
  <c r="M777" i="1" s="1"/>
  <c r="T777" i="1"/>
  <c r="K248" i="1"/>
  <c r="M248" i="1" s="1"/>
  <c r="T248" i="1"/>
  <c r="K1493" i="1"/>
  <c r="M1493" i="1" s="1"/>
  <c r="T1493" i="1"/>
  <c r="K1756" i="1"/>
  <c r="M1756" i="1" s="1"/>
  <c r="T1756" i="1"/>
  <c r="K172" i="1"/>
  <c r="M172" i="1" s="1"/>
  <c r="T172" i="1"/>
  <c r="K178" i="1"/>
  <c r="M178" i="1" s="1"/>
  <c r="T178" i="1"/>
  <c r="K1671" i="1"/>
  <c r="M1671" i="1" s="1"/>
  <c r="T1671" i="1"/>
  <c r="K1159" i="1"/>
  <c r="M1159" i="1" s="1"/>
  <c r="T1159" i="1"/>
  <c r="K479" i="1"/>
  <c r="M479" i="1" s="1"/>
  <c r="T479" i="1"/>
  <c r="K23" i="1"/>
  <c r="M23" i="1" s="1"/>
  <c r="T23" i="1"/>
  <c r="K598" i="1"/>
  <c r="M598" i="1" s="1"/>
  <c r="T598" i="1"/>
  <c r="K126" i="1"/>
  <c r="M126" i="1" s="1"/>
  <c r="T126" i="1"/>
  <c r="K1909" i="1"/>
  <c r="M1909" i="1" s="1"/>
  <c r="T1909" i="1"/>
  <c r="K749" i="1"/>
  <c r="M749" i="1" s="1"/>
  <c r="T749" i="1"/>
  <c r="K1532" i="1"/>
  <c r="M1532" i="1" s="1"/>
  <c r="T1532" i="1"/>
  <c r="K4" i="1"/>
  <c r="M4" i="1" s="1"/>
  <c r="T4" i="1"/>
  <c r="K267" i="1"/>
  <c r="M267" i="1" s="1"/>
  <c r="T267" i="1"/>
  <c r="K1645" i="1"/>
  <c r="M1645" i="1" s="1"/>
  <c r="T1645" i="1"/>
  <c r="K1318" i="1"/>
  <c r="M1318" i="1" s="1"/>
  <c r="T1318" i="1"/>
  <c r="K1103" i="1"/>
  <c r="M1103" i="1" s="1"/>
  <c r="T1103" i="1"/>
  <c r="K1667" i="1"/>
  <c r="M1667" i="1" s="1"/>
  <c r="T1667" i="1"/>
  <c r="K1722" i="1"/>
  <c r="M1722" i="1" s="1"/>
  <c r="T1722" i="1"/>
  <c r="K1306" i="1"/>
  <c r="M1306" i="1" s="1"/>
  <c r="T1306" i="1"/>
  <c r="K954" i="1"/>
  <c r="M954" i="1" s="1"/>
  <c r="T954" i="1"/>
  <c r="K554" i="1"/>
  <c r="M554" i="1" s="1"/>
  <c r="T554" i="1"/>
  <c r="K258" i="1"/>
  <c r="M258" i="1" s="1"/>
  <c r="T258" i="1"/>
  <c r="K1449" i="1"/>
  <c r="M1449" i="1" s="1"/>
  <c r="T1449" i="1"/>
  <c r="K1513" i="1"/>
  <c r="M1513" i="1" s="1"/>
  <c r="T1513" i="1"/>
  <c r="K1377" i="1"/>
  <c r="M1377" i="1" s="1"/>
  <c r="T1377" i="1"/>
  <c r="K1065" i="1"/>
  <c r="M1065" i="1" s="1"/>
  <c r="T1065" i="1"/>
  <c r="K745" i="1"/>
  <c r="M745" i="1" s="1"/>
  <c r="T745" i="1"/>
  <c r="K338" i="1"/>
  <c r="M338" i="1" s="1"/>
  <c r="T338" i="1"/>
  <c r="K49" i="1"/>
  <c r="M49" i="1" s="1"/>
  <c r="T49" i="1"/>
  <c r="K979" i="1"/>
  <c r="M979" i="1" s="1"/>
  <c r="T979" i="1"/>
  <c r="K108" i="1"/>
  <c r="M108" i="1" s="1"/>
  <c r="T108" i="1"/>
  <c r="K1059" i="1"/>
  <c r="M1059" i="1" s="1"/>
  <c r="T1059" i="1"/>
  <c r="K355" i="1"/>
  <c r="M355" i="1" s="1"/>
  <c r="T355" i="1"/>
  <c r="K1976" i="1"/>
  <c r="M1976" i="1" s="1"/>
  <c r="T1976" i="1"/>
  <c r="K1744" i="1"/>
  <c r="M1744" i="1" s="1"/>
  <c r="T1744" i="1"/>
  <c r="K1527" i="1"/>
  <c r="M1527" i="1" s="1"/>
  <c r="T1527" i="1"/>
  <c r="K1272" i="1"/>
  <c r="M1272" i="1" s="1"/>
  <c r="T1272" i="1"/>
  <c r="K1032" i="1"/>
  <c r="M1032" i="1" s="1"/>
  <c r="T1032" i="1"/>
  <c r="K769" i="1"/>
  <c r="M769" i="1" s="1"/>
  <c r="T769" i="1"/>
  <c r="K392" i="1"/>
  <c r="M392" i="1" s="1"/>
  <c r="T392" i="1"/>
  <c r="K64" i="1"/>
  <c r="M64" i="1" s="1"/>
  <c r="T64" i="1"/>
  <c r="K1797" i="1"/>
  <c r="M1797" i="1" s="1"/>
  <c r="T1797" i="1"/>
  <c r="K973" i="1"/>
  <c r="M973" i="1" s="1"/>
  <c r="T973" i="1"/>
  <c r="K1908" i="1"/>
  <c r="M1908" i="1" s="1"/>
  <c r="T1908" i="1"/>
  <c r="K708" i="1"/>
  <c r="M708" i="1" s="1"/>
  <c r="T708" i="1"/>
  <c r="K1092" i="1"/>
  <c r="M1092" i="1" s="1"/>
  <c r="T1092" i="1"/>
  <c r="K1919" i="1"/>
  <c r="M1919" i="1" s="1"/>
  <c r="T1919" i="1"/>
  <c r="K1663" i="1"/>
  <c r="M1663" i="1" s="1"/>
  <c r="T1663" i="1"/>
  <c r="K1415" i="1"/>
  <c r="M1415" i="1" s="1"/>
  <c r="T1415" i="1"/>
  <c r="K1135" i="1"/>
  <c r="M1135" i="1" s="1"/>
  <c r="T1135" i="1"/>
  <c r="K743" i="1"/>
  <c r="M743" i="1" s="1"/>
  <c r="T743" i="1"/>
  <c r="K463" i="1"/>
  <c r="M463" i="1" s="1"/>
  <c r="T463" i="1"/>
  <c r="K231" i="1"/>
  <c r="M231" i="1" s="1"/>
  <c r="T231" i="1"/>
  <c r="K998" i="1"/>
  <c r="M998" i="1" s="1"/>
  <c r="T998" i="1"/>
  <c r="K670" i="1"/>
  <c r="M670" i="1" s="1"/>
  <c r="T670" i="1"/>
  <c r="K398" i="1"/>
  <c r="M398" i="1" s="1"/>
  <c r="T398" i="1"/>
  <c r="K230" i="1"/>
  <c r="M230" i="1" s="1"/>
  <c r="T230" i="1"/>
  <c r="K118" i="1"/>
  <c r="M118" i="1" s="1"/>
  <c r="T118" i="1"/>
  <c r="K1893" i="1"/>
  <c r="M1893" i="1" s="1"/>
  <c r="T1893" i="1"/>
  <c r="K1485" i="1"/>
  <c r="M1485" i="1" s="1"/>
  <c r="T1485" i="1"/>
  <c r="K1037" i="1"/>
  <c r="M1037" i="1" s="1"/>
  <c r="T1037" i="1"/>
  <c r="K493" i="1"/>
  <c r="M493" i="1" s="1"/>
  <c r="T493" i="1"/>
  <c r="K205" i="1"/>
  <c r="M205" i="1" s="1"/>
  <c r="T205" i="1"/>
  <c r="K1516" i="1"/>
  <c r="M1516" i="1" s="1"/>
  <c r="T1516" i="1"/>
  <c r="K468" i="1"/>
  <c r="M468" i="1" s="1"/>
  <c r="T468" i="1"/>
  <c r="K699" i="1"/>
  <c r="M699" i="1" s="1"/>
  <c r="T699" i="1"/>
  <c r="K1958" i="1"/>
  <c r="M1958" i="1" s="1"/>
  <c r="T1958" i="1"/>
  <c r="K1638" i="1"/>
  <c r="M1638" i="1" s="1"/>
  <c r="T1638" i="1"/>
  <c r="K1230" i="1"/>
  <c r="M1230" i="1" s="1"/>
  <c r="T1230" i="1"/>
  <c r="K1866" i="1"/>
  <c r="M1866" i="1" s="1"/>
  <c r="T1866" i="1"/>
  <c r="K1705" i="1"/>
  <c r="M1705" i="1" s="1"/>
  <c r="T1705" i="1"/>
  <c r="K1987" i="1"/>
  <c r="M1987" i="1" s="1"/>
  <c r="T1987" i="1"/>
  <c r="K1707" i="1"/>
  <c r="M1707" i="1" s="1"/>
  <c r="T1707" i="1"/>
  <c r="K1420" i="1"/>
  <c r="M1420" i="1" s="1"/>
  <c r="T1420" i="1"/>
  <c r="K1666" i="1"/>
  <c r="M1666" i="1" s="1"/>
  <c r="T1666" i="1"/>
  <c r="K1138" i="1"/>
  <c r="M1138" i="1" s="1"/>
  <c r="T1138" i="1"/>
  <c r="K906" i="1"/>
  <c r="M906" i="1" s="1"/>
  <c r="T906" i="1"/>
  <c r="K754" i="1"/>
  <c r="M754" i="1" s="1"/>
  <c r="T754" i="1"/>
  <c r="K650" i="1"/>
  <c r="M650" i="1" s="1"/>
  <c r="T650" i="1"/>
  <c r="K418" i="1"/>
  <c r="M418" i="1" s="1"/>
  <c r="T418" i="1"/>
  <c r="K82" i="1"/>
  <c r="M82" i="1" s="1"/>
  <c r="T82" i="1"/>
  <c r="K1594" i="1"/>
  <c r="M1594" i="1" s="1"/>
  <c r="T1594" i="1"/>
  <c r="K1473" i="1"/>
  <c r="M1473" i="1" s="1"/>
  <c r="T1473" i="1"/>
  <c r="K1417" i="1"/>
  <c r="M1417" i="1" s="1"/>
  <c r="T1417" i="1"/>
  <c r="K1353" i="1"/>
  <c r="M1353" i="1" s="1"/>
  <c r="T1353" i="1"/>
  <c r="K1265" i="1"/>
  <c r="M1265" i="1" s="1"/>
  <c r="T1265" i="1"/>
  <c r="K1185" i="1"/>
  <c r="M1185" i="1" s="1"/>
  <c r="T1185" i="1"/>
  <c r="K1105" i="1"/>
  <c r="M1105" i="1" s="1"/>
  <c r="T1105" i="1"/>
  <c r="K1017" i="1"/>
  <c r="M1017" i="1" s="1"/>
  <c r="T1017" i="1"/>
  <c r="K898" i="1"/>
  <c r="M898" i="1" s="1"/>
  <c r="T898" i="1"/>
  <c r="K808" i="1"/>
  <c r="M808" i="1" s="1"/>
  <c r="T808" i="1"/>
  <c r="K721" i="1"/>
  <c r="M721" i="1" s="1"/>
  <c r="T721" i="1"/>
  <c r="K632" i="1"/>
  <c r="M632" i="1" s="1"/>
  <c r="T632" i="1"/>
  <c r="K553" i="1"/>
  <c r="M553" i="1" s="1"/>
  <c r="T553" i="1"/>
  <c r="K465" i="1"/>
  <c r="M465" i="1" s="1"/>
  <c r="T465" i="1"/>
  <c r="K393" i="1"/>
  <c r="M393" i="1" s="1"/>
  <c r="T393" i="1"/>
  <c r="K313" i="1"/>
  <c r="M313" i="1" s="1"/>
  <c r="T313" i="1"/>
  <c r="K233" i="1"/>
  <c r="M233" i="1" s="1"/>
  <c r="T233" i="1"/>
  <c r="K177" i="1"/>
  <c r="M177" i="1" s="1"/>
  <c r="T177" i="1"/>
  <c r="K89" i="1"/>
  <c r="M89" i="1" s="1"/>
  <c r="T89" i="1"/>
  <c r="K17" i="1"/>
  <c r="M17" i="1" s="1"/>
  <c r="T17" i="1"/>
  <c r="K1029" i="1"/>
  <c r="M1029" i="1" s="1"/>
  <c r="T1029" i="1"/>
  <c r="K853" i="1"/>
  <c r="M853" i="1" s="1"/>
  <c r="T853" i="1"/>
  <c r="K574" i="1"/>
  <c r="M574" i="1" s="1"/>
  <c r="T574" i="1"/>
  <c r="K173" i="1"/>
  <c r="M173" i="1" s="1"/>
  <c r="T173" i="1"/>
  <c r="K5" i="1"/>
  <c r="M5" i="1" s="1"/>
  <c r="T5" i="1"/>
  <c r="K1852" i="1"/>
  <c r="M1852" i="1" s="1"/>
  <c r="T1852" i="1"/>
  <c r="K1635" i="1"/>
  <c r="M1635" i="1" s="1"/>
  <c r="T1635" i="1"/>
  <c r="K1388" i="1"/>
  <c r="M1388" i="1" s="1"/>
  <c r="T1388" i="1"/>
  <c r="K1116" i="1"/>
  <c r="M1116" i="1" s="1"/>
  <c r="T1116" i="1"/>
  <c r="K884" i="1"/>
  <c r="M884" i="1" s="1"/>
  <c r="T884" i="1"/>
  <c r="K676" i="1"/>
  <c r="M676" i="1" s="1"/>
  <c r="T676" i="1"/>
  <c r="K460" i="1"/>
  <c r="M460" i="1" s="1"/>
  <c r="T460" i="1"/>
  <c r="K268" i="1"/>
  <c r="M268" i="1" s="1"/>
  <c r="T268" i="1"/>
  <c r="K11" i="1"/>
  <c r="M11" i="1" s="1"/>
  <c r="T11" i="1"/>
  <c r="K1211" i="1"/>
  <c r="M1211" i="1" s="1"/>
  <c r="T1211" i="1"/>
  <c r="K971" i="1"/>
  <c r="M971" i="1" s="1"/>
  <c r="T971" i="1"/>
  <c r="K730" i="1"/>
  <c r="M730" i="1" s="1"/>
  <c r="T730" i="1"/>
  <c r="K499" i="1"/>
  <c r="M499" i="1" s="1"/>
  <c r="T499" i="1"/>
  <c r="K300" i="1"/>
  <c r="M300" i="1" s="1"/>
  <c r="T300" i="1"/>
  <c r="K35" i="1"/>
  <c r="M35" i="1" s="1"/>
  <c r="T35" i="1"/>
  <c r="K1944" i="1"/>
  <c r="M1944" i="1" s="1"/>
  <c r="T1944" i="1"/>
  <c r="K1864" i="1"/>
  <c r="M1864" i="1" s="1"/>
  <c r="T1864" i="1"/>
  <c r="K1799" i="1"/>
  <c r="M1799" i="1" s="1"/>
  <c r="T1799" i="1"/>
  <c r="K1703" i="1"/>
  <c r="M1703" i="1" s="1"/>
  <c r="T1703" i="1"/>
  <c r="K1609" i="1"/>
  <c r="M1609" i="1" s="1"/>
  <c r="T1609" i="1"/>
  <c r="K1496" i="1"/>
  <c r="M1496" i="1" s="1"/>
  <c r="T1496" i="1"/>
  <c r="K1401" i="1"/>
  <c r="M1401" i="1" s="1"/>
  <c r="T1401" i="1"/>
  <c r="K1320" i="1"/>
  <c r="M1320" i="1" s="1"/>
  <c r="T1320" i="1"/>
  <c r="K1248" i="1"/>
  <c r="M1248" i="1" s="1"/>
  <c r="T1248" i="1"/>
  <c r="K1168" i="1"/>
  <c r="M1168" i="1" s="1"/>
  <c r="T1168" i="1"/>
  <c r="K1072" i="1"/>
  <c r="M1072" i="1" s="1"/>
  <c r="T1072" i="1"/>
  <c r="K999" i="1"/>
  <c r="M999" i="1" s="1"/>
  <c r="T999" i="1"/>
  <c r="K912" i="1"/>
  <c r="M912" i="1" s="1"/>
  <c r="T912" i="1"/>
  <c r="K816" i="1"/>
  <c r="M816" i="1" s="1"/>
  <c r="T816" i="1"/>
  <c r="K736" i="1"/>
  <c r="M736" i="1" s="1"/>
  <c r="T736" i="1"/>
  <c r="K656" i="1"/>
  <c r="M656" i="1" s="1"/>
  <c r="T656" i="1"/>
  <c r="K584" i="1"/>
  <c r="M584" i="1" s="1"/>
  <c r="T584" i="1"/>
  <c r="K441" i="1"/>
  <c r="M441" i="1" s="1"/>
  <c r="T441" i="1"/>
  <c r="K368" i="1"/>
  <c r="M368" i="1" s="1"/>
  <c r="T368" i="1"/>
  <c r="K281" i="1"/>
  <c r="M281" i="1" s="1"/>
  <c r="T281" i="1"/>
  <c r="K208" i="1"/>
  <c r="M208" i="1" s="1"/>
  <c r="T208" i="1"/>
  <c r="K104" i="1"/>
  <c r="M104" i="1" s="1"/>
  <c r="T104" i="1"/>
  <c r="K33" i="1"/>
  <c r="M33" i="1" s="1"/>
  <c r="T33" i="1"/>
  <c r="K1877" i="1"/>
  <c r="M1877" i="1" s="1"/>
  <c r="T1877" i="1"/>
  <c r="K1717" i="1"/>
  <c r="M1717" i="1" s="1"/>
  <c r="T1717" i="1"/>
  <c r="K1565" i="1"/>
  <c r="M1565" i="1" s="1"/>
  <c r="T1565" i="1"/>
  <c r="K1413" i="1"/>
  <c r="M1413" i="1" s="1"/>
  <c r="T1413" i="1"/>
  <c r="K1109" i="1"/>
  <c r="M1109" i="1" s="1"/>
  <c r="T1109" i="1"/>
  <c r="K885" i="1"/>
  <c r="M885" i="1" s="1"/>
  <c r="T885" i="1"/>
  <c r="K565" i="1"/>
  <c r="M565" i="1" s="1"/>
  <c r="T565" i="1"/>
  <c r="K325" i="1"/>
  <c r="M325" i="1" s="1"/>
  <c r="T325" i="1"/>
  <c r="K1836" i="1"/>
  <c r="M1836" i="1" s="1"/>
  <c r="T1836" i="1"/>
  <c r="K1588" i="1"/>
  <c r="M1588" i="1" s="1"/>
  <c r="T1588" i="1"/>
  <c r="K1412" i="1"/>
  <c r="M1412" i="1" s="1"/>
  <c r="T1412" i="1"/>
  <c r="K1172" i="1"/>
  <c r="M1172" i="1" s="1"/>
  <c r="T1172" i="1"/>
  <c r="K836" i="1"/>
  <c r="M836" i="1" s="1"/>
  <c r="T836" i="1"/>
  <c r="K604" i="1"/>
  <c r="M604" i="1" s="1"/>
  <c r="T604" i="1"/>
  <c r="K324" i="1"/>
  <c r="M324" i="1" s="1"/>
  <c r="T324" i="1"/>
  <c r="K52" i="1"/>
  <c r="M52" i="1" s="1"/>
  <c r="T52" i="1"/>
  <c r="K1219" i="1"/>
  <c r="M1219" i="1" s="1"/>
  <c r="T1219" i="1"/>
  <c r="K955" i="1"/>
  <c r="M955" i="1" s="1"/>
  <c r="T955" i="1"/>
  <c r="K739" i="1"/>
  <c r="M739" i="1" s="1"/>
  <c r="T739" i="1"/>
  <c r="K531" i="1"/>
  <c r="M531" i="1" s="1"/>
  <c r="T531" i="1"/>
  <c r="K275" i="1"/>
  <c r="M275" i="1" s="1"/>
  <c r="T275" i="1"/>
  <c r="K91" i="1"/>
  <c r="M91" i="1" s="1"/>
  <c r="T91" i="1"/>
  <c r="K1967" i="1"/>
  <c r="M1967" i="1" s="1"/>
  <c r="T1967" i="1"/>
  <c r="K1895" i="1"/>
  <c r="M1895" i="1" s="1"/>
  <c r="T1895" i="1"/>
  <c r="K1815" i="1"/>
  <c r="M1815" i="1" s="1"/>
  <c r="T1815" i="1"/>
  <c r="K1711" i="1"/>
  <c r="M1711" i="1" s="1"/>
  <c r="T1711" i="1"/>
  <c r="K1640" i="1"/>
  <c r="M1640" i="1" s="1"/>
  <c r="T1640" i="1"/>
  <c r="K1567" i="1"/>
  <c r="M1567" i="1" s="1"/>
  <c r="T1567" i="1"/>
  <c r="K1463" i="1"/>
  <c r="M1463" i="1" s="1"/>
  <c r="T1463" i="1"/>
  <c r="K1392" i="1"/>
  <c r="M1392" i="1" s="1"/>
  <c r="T1392" i="1"/>
  <c r="K1311" i="1"/>
  <c r="M1311" i="1" s="1"/>
  <c r="T1311" i="1"/>
  <c r="K1215" i="1"/>
  <c r="M1215" i="1" s="1"/>
  <c r="T1215" i="1"/>
  <c r="K1111" i="1"/>
  <c r="M1111" i="1" s="1"/>
  <c r="T1111" i="1"/>
  <c r="K1031" i="1"/>
  <c r="M1031" i="1" s="1"/>
  <c r="T1031" i="1"/>
  <c r="K919" i="1"/>
  <c r="M919" i="1" s="1"/>
  <c r="T919" i="1"/>
  <c r="K815" i="1"/>
  <c r="M815" i="1" s="1"/>
  <c r="T815" i="1"/>
  <c r="K719" i="1"/>
  <c r="M719" i="1" s="1"/>
  <c r="T719" i="1"/>
  <c r="K623" i="1"/>
  <c r="M623" i="1" s="1"/>
  <c r="T623" i="1"/>
  <c r="K519" i="1"/>
  <c r="M519" i="1" s="1"/>
  <c r="T519" i="1"/>
  <c r="K439" i="1"/>
  <c r="M439" i="1" s="1"/>
  <c r="T439" i="1"/>
  <c r="K343" i="1"/>
  <c r="M343" i="1" s="1"/>
  <c r="T343" i="1"/>
  <c r="K271" i="1"/>
  <c r="M271" i="1" s="1"/>
  <c r="T271" i="1"/>
  <c r="K206" i="1"/>
  <c r="M206" i="1" s="1"/>
  <c r="T206" i="1"/>
  <c r="K135" i="1"/>
  <c r="M135" i="1" s="1"/>
  <c r="T135" i="1"/>
  <c r="K54" i="1"/>
  <c r="M54" i="1" s="1"/>
  <c r="T54" i="1"/>
  <c r="K910" i="1"/>
  <c r="M910" i="1" s="1"/>
  <c r="T910" i="1"/>
  <c r="K822" i="1"/>
  <c r="M822" i="1" s="1"/>
  <c r="T822" i="1"/>
  <c r="K734" i="1"/>
  <c r="M734" i="1" s="1"/>
  <c r="T734" i="1"/>
  <c r="K638" i="1"/>
  <c r="M638" i="1" s="1"/>
  <c r="T638" i="1"/>
  <c r="K534" i="1"/>
  <c r="M534" i="1" s="1"/>
  <c r="T534" i="1"/>
  <c r="K454" i="1"/>
  <c r="M454" i="1" s="1"/>
  <c r="T454" i="1"/>
  <c r="K358" i="1"/>
  <c r="M358" i="1" s="1"/>
  <c r="T358" i="1"/>
  <c r="K270" i="1"/>
  <c r="M270" i="1" s="1"/>
  <c r="T270" i="1"/>
  <c r="K174" i="1"/>
  <c r="M174" i="1" s="1"/>
  <c r="T174" i="1"/>
  <c r="K94" i="1"/>
  <c r="M94" i="1" s="1"/>
  <c r="T94" i="1"/>
  <c r="K1837" i="1"/>
  <c r="M1837" i="1" s="1"/>
  <c r="T1837" i="1"/>
  <c r="K1725" i="1"/>
  <c r="M1725" i="1" s="1"/>
  <c r="T1725" i="1"/>
  <c r="K1557" i="1"/>
  <c r="M1557" i="1" s="1"/>
  <c r="T1557" i="1"/>
  <c r="K1437" i="1"/>
  <c r="M1437" i="1" s="1"/>
  <c r="T1437" i="1"/>
  <c r="K1301" i="1"/>
  <c r="M1301" i="1" s="1"/>
  <c r="T1301" i="1"/>
  <c r="K1140" i="1"/>
  <c r="M1140" i="1" s="1"/>
  <c r="T1140" i="1"/>
  <c r="K909" i="1"/>
  <c r="M909" i="1" s="1"/>
  <c r="T909" i="1"/>
  <c r="K620" i="1"/>
  <c r="M620" i="1" s="1"/>
  <c r="T620" i="1"/>
  <c r="K437" i="1"/>
  <c r="M437" i="1" s="1"/>
  <c r="T437" i="1"/>
  <c r="K149" i="1"/>
  <c r="M149" i="1" s="1"/>
  <c r="T149" i="1"/>
  <c r="K1940" i="1"/>
  <c r="M1940" i="1" s="1"/>
  <c r="T1940" i="1"/>
  <c r="K1620" i="1"/>
  <c r="M1620" i="1" s="1"/>
  <c r="T1620" i="1"/>
  <c r="K1444" i="1"/>
  <c r="M1444" i="1" s="1"/>
  <c r="T1444" i="1"/>
  <c r="K1228" i="1"/>
  <c r="M1228" i="1" s="1"/>
  <c r="T1228" i="1"/>
  <c r="K901" i="1"/>
  <c r="M901" i="1" s="1"/>
  <c r="T901" i="1"/>
  <c r="K587" i="1"/>
  <c r="M587" i="1" s="1"/>
  <c r="T587" i="1"/>
  <c r="K372" i="1"/>
  <c r="M372" i="1" s="1"/>
  <c r="T372" i="1"/>
  <c r="K84" i="1"/>
  <c r="M84" i="1" s="1"/>
  <c r="T84" i="1"/>
  <c r="K1340" i="1"/>
  <c r="M1340" i="1" s="1"/>
  <c r="T1340" i="1"/>
  <c r="K1075" i="1"/>
  <c r="M1075" i="1" s="1"/>
  <c r="T1075" i="1"/>
  <c r="K843" i="1"/>
  <c r="M843" i="1" s="1"/>
  <c r="T843" i="1"/>
  <c r="K619" i="1"/>
  <c r="M619" i="1" s="1"/>
  <c r="T619" i="1"/>
  <c r="K363" i="1"/>
  <c r="M363" i="1" s="1"/>
  <c r="T363" i="1"/>
  <c r="K131" i="1"/>
  <c r="M131" i="1" s="1"/>
  <c r="T131" i="1"/>
  <c r="K1934" i="1"/>
  <c r="M1934" i="1" s="1"/>
  <c r="T1934" i="1"/>
  <c r="K1854" i="1"/>
  <c r="M1854" i="1" s="1"/>
  <c r="T1854" i="1"/>
  <c r="K1774" i="1"/>
  <c r="M1774" i="1" s="1"/>
  <c r="T1774" i="1"/>
  <c r="K1694" i="1"/>
  <c r="M1694" i="1" s="1"/>
  <c r="T1694" i="1"/>
  <c r="K1614" i="1"/>
  <c r="M1614" i="1" s="1"/>
  <c r="T1614" i="1"/>
  <c r="K1550" i="1"/>
  <c r="M1550" i="1" s="1"/>
  <c r="T1550" i="1"/>
  <c r="K1446" i="1"/>
  <c r="M1446" i="1" s="1"/>
  <c r="T1446" i="1"/>
  <c r="K1366" i="1"/>
  <c r="M1366" i="1" s="1"/>
  <c r="T1366" i="1"/>
  <c r="K1278" i="1"/>
  <c r="M1278" i="1" s="1"/>
  <c r="T1278" i="1"/>
  <c r="K1206" i="1"/>
  <c r="M1206" i="1" s="1"/>
  <c r="T1206" i="1"/>
  <c r="K1134" i="1"/>
  <c r="M1134" i="1" s="1"/>
  <c r="T1134" i="1"/>
  <c r="K1069" i="1"/>
  <c r="M1069" i="1" s="1"/>
  <c r="T1069" i="1"/>
  <c r="K155" i="1"/>
  <c r="M155" i="1" s="1"/>
  <c r="T155" i="1"/>
  <c r="K1768" i="1"/>
  <c r="M1768" i="1" s="1"/>
  <c r="T1768" i="1"/>
  <c r="K1368" i="1"/>
  <c r="M1368" i="1" s="1"/>
  <c r="T1368" i="1"/>
  <c r="K1048" i="1"/>
  <c r="M1048" i="1" s="1"/>
  <c r="T1048" i="1"/>
  <c r="K792" i="1"/>
  <c r="M792" i="1" s="1"/>
  <c r="T792" i="1"/>
  <c r="K336" i="1"/>
  <c r="M336" i="1" s="1"/>
  <c r="T336" i="1"/>
  <c r="K1997" i="1"/>
  <c r="M1997" i="1" s="1"/>
  <c r="T1997" i="1"/>
  <c r="K213" i="1"/>
  <c r="M213" i="1" s="1"/>
  <c r="T213" i="1"/>
  <c r="K195" i="1"/>
  <c r="M195" i="1" s="1"/>
  <c r="T195" i="1"/>
  <c r="K862" i="1"/>
  <c r="M862" i="1" s="1"/>
  <c r="T862" i="1"/>
  <c r="K1233" i="1"/>
  <c r="M1233" i="1" s="1"/>
  <c r="T1233" i="1"/>
  <c r="K1835" i="1"/>
  <c r="M1835" i="1" s="1"/>
  <c r="T1835" i="1"/>
  <c r="K1531" i="1"/>
  <c r="M1531" i="1" s="1"/>
  <c r="T1531" i="1"/>
  <c r="K1050" i="1"/>
  <c r="M1050" i="1" s="1"/>
  <c r="T1050" i="1"/>
  <c r="K354" i="1"/>
  <c r="M354" i="1" s="1"/>
  <c r="T354" i="1"/>
  <c r="K1297" i="1"/>
  <c r="M1297" i="1" s="1"/>
  <c r="T1297" i="1"/>
  <c r="K929" i="1"/>
  <c r="M929" i="1" s="1"/>
  <c r="T929" i="1"/>
  <c r="K673" i="1"/>
  <c r="M673" i="1" s="1"/>
  <c r="T673" i="1"/>
  <c r="K425" i="1"/>
  <c r="M425" i="1" s="1"/>
  <c r="T425" i="1"/>
  <c r="K273" i="1"/>
  <c r="M273" i="1" s="1"/>
  <c r="T273" i="1"/>
  <c r="K1093" i="1"/>
  <c r="M1093" i="1" s="1"/>
  <c r="T1093" i="1"/>
  <c r="K285" i="1"/>
  <c r="M285" i="1" s="1"/>
  <c r="T285" i="1"/>
  <c r="K1508" i="1"/>
  <c r="M1508" i="1" s="1"/>
  <c r="T1508" i="1"/>
  <c r="K572" i="1"/>
  <c r="M572" i="1" s="1"/>
  <c r="T572" i="1"/>
  <c r="K795" i="1"/>
  <c r="M795" i="1" s="1"/>
  <c r="T795" i="1"/>
  <c r="K1639" i="1"/>
  <c r="M1639" i="1" s="1"/>
  <c r="T1639" i="1"/>
  <c r="K1208" i="1"/>
  <c r="M1208" i="1" s="1"/>
  <c r="T1208" i="1"/>
  <c r="K848" i="1"/>
  <c r="M848" i="1" s="1"/>
  <c r="T848" i="1"/>
  <c r="K616" i="1"/>
  <c r="M616" i="1" s="1"/>
  <c r="T616" i="1"/>
  <c r="K320" i="1"/>
  <c r="M320" i="1" s="1"/>
  <c r="T320" i="1"/>
  <c r="K942" i="1"/>
  <c r="M942" i="1" s="1"/>
  <c r="T942" i="1"/>
  <c r="K1469" i="1"/>
  <c r="M1469" i="1" s="1"/>
  <c r="T1469" i="1"/>
  <c r="K677" i="1"/>
  <c r="M677" i="1" s="1"/>
  <c r="T677" i="1"/>
  <c r="K1724" i="1"/>
  <c r="M1724" i="1" s="1"/>
  <c r="T1724" i="1"/>
  <c r="K948" i="1"/>
  <c r="M948" i="1" s="1"/>
  <c r="T948" i="1"/>
  <c r="K1275" i="1"/>
  <c r="M1275" i="1" s="1"/>
  <c r="T1275" i="1"/>
  <c r="K603" i="1"/>
  <c r="M603" i="1" s="1"/>
  <c r="T603" i="1"/>
  <c r="K163" i="1"/>
  <c r="M163" i="1" s="1"/>
  <c r="T163" i="1"/>
  <c r="K1855" i="1"/>
  <c r="M1855" i="1" s="1"/>
  <c r="T1855" i="1"/>
  <c r="K1495" i="1"/>
  <c r="M1495" i="1" s="1"/>
  <c r="T1495" i="1"/>
  <c r="K1055" i="1"/>
  <c r="M1055" i="1" s="1"/>
  <c r="T1055" i="1"/>
  <c r="K663" i="1"/>
  <c r="M663" i="1" s="1"/>
  <c r="T663" i="1"/>
  <c r="K295" i="1"/>
  <c r="M295" i="1" s="1"/>
  <c r="T295" i="1"/>
  <c r="K846" i="1"/>
  <c r="M846" i="1" s="1"/>
  <c r="T846" i="1"/>
  <c r="K478" i="1"/>
  <c r="M478" i="1" s="1"/>
  <c r="T478" i="1"/>
  <c r="K21" i="1"/>
  <c r="M21" i="1" s="1"/>
  <c r="T21" i="1"/>
  <c r="K996" i="1"/>
  <c r="M996" i="1" s="1"/>
  <c r="T996" i="1"/>
  <c r="K212" i="1"/>
  <c r="M212" i="1" s="1"/>
  <c r="T212" i="1"/>
  <c r="K963" i="1"/>
  <c r="M963" i="1" s="1"/>
  <c r="T963" i="1"/>
  <c r="K243" i="1"/>
  <c r="M243" i="1" s="1"/>
  <c r="T243" i="1"/>
  <c r="K1806" i="1"/>
  <c r="M1806" i="1" s="1"/>
  <c r="T1806" i="1"/>
  <c r="K1486" i="1"/>
  <c r="M1486" i="1" s="1"/>
  <c r="T1486" i="1"/>
  <c r="K1166" i="1"/>
  <c r="M1166" i="1" s="1"/>
  <c r="T1166" i="1"/>
  <c r="K1897" i="1"/>
  <c r="M1897" i="1" s="1"/>
  <c r="T1897" i="1"/>
  <c r="K1812" i="1"/>
  <c r="M1812" i="1" s="1"/>
  <c r="T1812" i="1"/>
  <c r="K1499" i="1"/>
  <c r="M1499" i="1" s="1"/>
  <c r="T1499" i="1"/>
  <c r="K1554" i="1"/>
  <c r="M1554" i="1" s="1"/>
  <c r="T1554" i="1"/>
  <c r="K1018" i="1"/>
  <c r="M1018" i="1" s="1"/>
  <c r="T1018" i="1"/>
  <c r="K322" i="1"/>
  <c r="M322" i="1" s="1"/>
  <c r="T322" i="1"/>
  <c r="K1883" i="1"/>
  <c r="M1883" i="1" s="1"/>
  <c r="T1883" i="1"/>
  <c r="K1619" i="1"/>
  <c r="M1619" i="1" s="1"/>
  <c r="T1619" i="1"/>
  <c r="K1411" i="1"/>
  <c r="M1411" i="1" s="1"/>
  <c r="T1411" i="1"/>
  <c r="K1649" i="1"/>
  <c r="M1649" i="1" s="1"/>
  <c r="T1649" i="1"/>
  <c r="K1346" i="1"/>
  <c r="M1346" i="1" s="1"/>
  <c r="T1346" i="1"/>
  <c r="K1122" i="1"/>
  <c r="M1122" i="1" s="1"/>
  <c r="T1122" i="1"/>
  <c r="K1010" i="1"/>
  <c r="M1010" i="1" s="1"/>
  <c r="T1010" i="1"/>
  <c r="K897" i="1"/>
  <c r="M897" i="1" s="1"/>
  <c r="T897" i="1"/>
  <c r="K602" i="1"/>
  <c r="M602" i="1" s="1"/>
  <c r="T602" i="1"/>
  <c r="K403" i="1"/>
  <c r="M403" i="1" s="1"/>
  <c r="T403" i="1"/>
  <c r="K314" i="1"/>
  <c r="M314" i="1" s="1"/>
  <c r="T314" i="1"/>
  <c r="K186" i="1"/>
  <c r="M186" i="1" s="1"/>
  <c r="T186" i="1"/>
  <c r="K58" i="1"/>
  <c r="M58" i="1" s="1"/>
  <c r="T58" i="1"/>
  <c r="K1585" i="1"/>
  <c r="M1585" i="1" s="1"/>
  <c r="T1585" i="1"/>
  <c r="K1465" i="1"/>
  <c r="M1465" i="1" s="1"/>
  <c r="T1465" i="1"/>
  <c r="K1408" i="1"/>
  <c r="M1408" i="1" s="1"/>
  <c r="T1408" i="1"/>
  <c r="K1345" i="1"/>
  <c r="M1345" i="1" s="1"/>
  <c r="T1345" i="1"/>
  <c r="K1257" i="1"/>
  <c r="M1257" i="1" s="1"/>
  <c r="T1257" i="1"/>
  <c r="K1177" i="1"/>
  <c r="M1177" i="1" s="1"/>
  <c r="T1177" i="1"/>
  <c r="K1097" i="1"/>
  <c r="M1097" i="1" s="1"/>
  <c r="T1097" i="1"/>
  <c r="K1001" i="1"/>
  <c r="M1001" i="1" s="1"/>
  <c r="T1001" i="1"/>
  <c r="K881" i="1"/>
  <c r="M881" i="1" s="1"/>
  <c r="T881" i="1"/>
  <c r="K776" i="1"/>
  <c r="M776" i="1" s="1"/>
  <c r="T776" i="1"/>
  <c r="K713" i="1"/>
  <c r="M713" i="1" s="1"/>
  <c r="T713" i="1"/>
  <c r="K624" i="1"/>
  <c r="M624" i="1" s="1"/>
  <c r="T624" i="1"/>
  <c r="K545" i="1"/>
  <c r="M545" i="1" s="1"/>
  <c r="T545" i="1"/>
  <c r="K457" i="1"/>
  <c r="M457" i="1" s="1"/>
  <c r="T457" i="1"/>
  <c r="K369" i="1"/>
  <c r="M369" i="1" s="1"/>
  <c r="T369" i="1"/>
  <c r="K305" i="1"/>
  <c r="M305" i="1" s="1"/>
  <c r="T305" i="1"/>
  <c r="K225" i="1"/>
  <c r="M225" i="1" s="1"/>
  <c r="T225" i="1"/>
  <c r="K169" i="1"/>
  <c r="M169" i="1" s="1"/>
  <c r="T169" i="1"/>
  <c r="K81" i="1"/>
  <c r="M81" i="1" s="1"/>
  <c r="T81" i="1"/>
  <c r="K1462" i="1"/>
  <c r="M1462" i="1" s="1"/>
  <c r="T1462" i="1"/>
  <c r="K1013" i="1"/>
  <c r="M1013" i="1" s="1"/>
  <c r="T1013" i="1"/>
  <c r="K813" i="1"/>
  <c r="M813" i="1" s="1"/>
  <c r="T813" i="1"/>
  <c r="K509" i="1"/>
  <c r="M509" i="1" s="1"/>
  <c r="T509" i="1"/>
  <c r="K157" i="1"/>
  <c r="M157" i="1" s="1"/>
  <c r="T157" i="1"/>
  <c r="K1804" i="1"/>
  <c r="M1804" i="1" s="1"/>
  <c r="T1804" i="1"/>
  <c r="K1628" i="1"/>
  <c r="M1628" i="1" s="1"/>
  <c r="T1628" i="1"/>
  <c r="K1364" i="1"/>
  <c r="M1364" i="1" s="1"/>
  <c r="T1364" i="1"/>
  <c r="K1091" i="1"/>
  <c r="M1091" i="1" s="1"/>
  <c r="T1091" i="1"/>
  <c r="K868" i="1"/>
  <c r="M868" i="1" s="1"/>
  <c r="T868" i="1"/>
  <c r="K652" i="1"/>
  <c r="M652" i="1" s="1"/>
  <c r="T652" i="1"/>
  <c r="K436" i="1"/>
  <c r="M436" i="1" s="1"/>
  <c r="T436" i="1"/>
  <c r="K196" i="1"/>
  <c r="M196" i="1" s="1"/>
  <c r="T196" i="1"/>
  <c r="K1187" i="1"/>
  <c r="M1187" i="1" s="1"/>
  <c r="T1187" i="1"/>
  <c r="K947" i="1"/>
  <c r="M947" i="1" s="1"/>
  <c r="T947" i="1"/>
  <c r="K706" i="1"/>
  <c r="M706" i="1" s="1"/>
  <c r="T706" i="1"/>
  <c r="K452" i="1"/>
  <c r="M452" i="1" s="1"/>
  <c r="T452" i="1"/>
  <c r="K251" i="1"/>
  <c r="M251" i="1" s="1"/>
  <c r="T251" i="1"/>
  <c r="K1936" i="1"/>
  <c r="M1936" i="1" s="1"/>
  <c r="T1936" i="1"/>
  <c r="K1856" i="1"/>
  <c r="M1856" i="1" s="1"/>
  <c r="T1856" i="1"/>
  <c r="K1785" i="1"/>
  <c r="M1785" i="1" s="1"/>
  <c r="T1785" i="1"/>
  <c r="K1696" i="1"/>
  <c r="M1696" i="1" s="1"/>
  <c r="T1696" i="1"/>
  <c r="K1568" i="1"/>
  <c r="M1568" i="1" s="1"/>
  <c r="T1568" i="1"/>
  <c r="K1481" i="1"/>
  <c r="M1481" i="1" s="1"/>
  <c r="T1481" i="1"/>
  <c r="K1391" i="1"/>
  <c r="M1391" i="1" s="1"/>
  <c r="T1391" i="1"/>
  <c r="K1312" i="1"/>
  <c r="M1312" i="1" s="1"/>
  <c r="T1312" i="1"/>
  <c r="K1240" i="1"/>
  <c r="M1240" i="1" s="1"/>
  <c r="T1240" i="1"/>
  <c r="K1144" i="1"/>
  <c r="M1144" i="1" s="1"/>
  <c r="T1144" i="1"/>
  <c r="K1064" i="1"/>
  <c r="M1064" i="1" s="1"/>
  <c r="T1064" i="1"/>
  <c r="K976" i="1"/>
  <c r="M976" i="1" s="1"/>
  <c r="T976" i="1"/>
  <c r="K896" i="1"/>
  <c r="M896" i="1" s="1"/>
  <c r="T896" i="1"/>
  <c r="K809" i="1"/>
  <c r="M809" i="1" s="1"/>
  <c r="T809" i="1"/>
  <c r="K728" i="1"/>
  <c r="M728" i="1" s="1"/>
  <c r="T728" i="1"/>
  <c r="K648" i="1"/>
  <c r="M648" i="1" s="1"/>
  <c r="T648" i="1"/>
  <c r="K568" i="1"/>
  <c r="M568" i="1" s="1"/>
  <c r="T568" i="1"/>
  <c r="K432" i="1"/>
  <c r="M432" i="1" s="1"/>
  <c r="T432" i="1"/>
  <c r="K351" i="1"/>
  <c r="M351" i="1" s="1"/>
  <c r="T351" i="1"/>
  <c r="K272" i="1"/>
  <c r="M272" i="1" s="1"/>
  <c r="T272" i="1"/>
  <c r="K200" i="1"/>
  <c r="M200" i="1" s="1"/>
  <c r="T200" i="1"/>
  <c r="K96" i="1"/>
  <c r="M96" i="1" s="1"/>
  <c r="T96" i="1"/>
  <c r="K16" i="1"/>
  <c r="M16" i="1" s="1"/>
  <c r="T16" i="1"/>
  <c r="K1853" i="1"/>
  <c r="M1853" i="1" s="1"/>
  <c r="T1853" i="1"/>
  <c r="K1701" i="1"/>
  <c r="M1701" i="1" s="1"/>
  <c r="T1701" i="1"/>
  <c r="K1549" i="1"/>
  <c r="M1549" i="1" s="1"/>
  <c r="T1549" i="1"/>
  <c r="K1397" i="1"/>
  <c r="M1397" i="1" s="1"/>
  <c r="T1397" i="1"/>
  <c r="K1085" i="1"/>
  <c r="M1085" i="1" s="1"/>
  <c r="T1085" i="1"/>
  <c r="K861" i="1"/>
  <c r="M861" i="1" s="1"/>
  <c r="T861" i="1"/>
  <c r="K548" i="1"/>
  <c r="M548" i="1" s="1"/>
  <c r="T548" i="1"/>
  <c r="K253" i="1"/>
  <c r="M253" i="1" s="1"/>
  <c r="T253" i="1"/>
  <c r="K1811" i="1"/>
  <c r="M1811" i="1" s="1"/>
  <c r="T1811" i="1"/>
  <c r="K1563" i="1"/>
  <c r="M1563" i="1" s="1"/>
  <c r="T1563" i="1"/>
  <c r="K1371" i="1"/>
  <c r="M1371" i="1" s="1"/>
  <c r="T1371" i="1"/>
  <c r="K1148" i="1"/>
  <c r="M1148" i="1" s="1"/>
  <c r="T1148" i="1"/>
  <c r="K820" i="1"/>
  <c r="M820" i="1" s="1"/>
  <c r="T820" i="1"/>
  <c r="K580" i="1"/>
  <c r="M580" i="1" s="1"/>
  <c r="T580" i="1"/>
  <c r="K299" i="1"/>
  <c r="M299" i="1" s="1"/>
  <c r="T299" i="1"/>
  <c r="K1195" i="1"/>
  <c r="M1195" i="1" s="1"/>
  <c r="T1195" i="1"/>
  <c r="K932" i="1"/>
  <c r="M932" i="1" s="1"/>
  <c r="T932" i="1"/>
  <c r="K715" i="1"/>
  <c r="M715" i="1" s="1"/>
  <c r="T715" i="1"/>
  <c r="K475" i="1"/>
  <c r="M475" i="1" s="1"/>
  <c r="T475" i="1"/>
  <c r="K234" i="1"/>
  <c r="M234" i="1" s="1"/>
  <c r="T234" i="1"/>
  <c r="K67" i="1"/>
  <c r="M67" i="1" s="1"/>
  <c r="T67" i="1"/>
  <c r="K1950" i="1"/>
  <c r="M1950" i="1" s="1"/>
  <c r="T1950" i="1"/>
  <c r="K1887" i="1"/>
  <c r="M1887" i="1" s="1"/>
  <c r="T1887" i="1"/>
  <c r="K1807" i="1"/>
  <c r="M1807" i="1" s="1"/>
  <c r="T1807" i="1"/>
  <c r="K1704" i="1"/>
  <c r="M1704" i="1" s="1"/>
  <c r="T1704" i="1"/>
  <c r="K1630" i="1"/>
  <c r="M1630" i="1" s="1"/>
  <c r="T1630" i="1"/>
  <c r="K1551" i="1"/>
  <c r="M1551" i="1" s="1"/>
  <c r="T1551" i="1"/>
  <c r="K1455" i="1"/>
  <c r="M1455" i="1" s="1"/>
  <c r="T1455" i="1"/>
  <c r="K1382" i="1"/>
  <c r="M1382" i="1" s="1"/>
  <c r="T1382" i="1"/>
  <c r="K1303" i="1"/>
  <c r="M1303" i="1" s="1"/>
  <c r="T1303" i="1"/>
  <c r="K1183" i="1"/>
  <c r="M1183" i="1" s="1"/>
  <c r="T1183" i="1"/>
  <c r="K1102" i="1"/>
  <c r="M1102" i="1" s="1"/>
  <c r="T1102" i="1"/>
  <c r="K1000" i="1"/>
  <c r="M1000" i="1" s="1"/>
  <c r="T1000" i="1"/>
  <c r="K911" i="1"/>
  <c r="M911" i="1" s="1"/>
  <c r="T911" i="1"/>
  <c r="K800" i="1"/>
  <c r="M800" i="1" s="1"/>
  <c r="T800" i="1"/>
  <c r="K710" i="1"/>
  <c r="M710" i="1" s="1"/>
  <c r="T710" i="1"/>
  <c r="K615" i="1"/>
  <c r="M615" i="1" s="1"/>
  <c r="T615" i="1"/>
  <c r="K510" i="1"/>
  <c r="M510" i="1" s="1"/>
  <c r="T510" i="1"/>
  <c r="K423" i="1"/>
  <c r="M423" i="1" s="1"/>
  <c r="T423" i="1"/>
  <c r="K335" i="1"/>
  <c r="M335" i="1" s="1"/>
  <c r="T335" i="1"/>
  <c r="K263" i="1"/>
  <c r="M263" i="1" s="1"/>
  <c r="T263" i="1"/>
  <c r="K199" i="1"/>
  <c r="M199" i="1" s="1"/>
  <c r="T199" i="1"/>
  <c r="K127" i="1"/>
  <c r="M127" i="1" s="1"/>
  <c r="T127" i="1"/>
  <c r="K47" i="1"/>
  <c r="M47" i="1" s="1"/>
  <c r="T47" i="1"/>
  <c r="K894" i="1"/>
  <c r="M894" i="1" s="1"/>
  <c r="T894" i="1"/>
  <c r="K814" i="1"/>
  <c r="M814" i="1" s="1"/>
  <c r="T814" i="1"/>
  <c r="K718" i="1"/>
  <c r="M718" i="1" s="1"/>
  <c r="T718" i="1"/>
  <c r="K630" i="1"/>
  <c r="M630" i="1" s="1"/>
  <c r="T630" i="1"/>
  <c r="K518" i="1"/>
  <c r="M518" i="1" s="1"/>
  <c r="T518" i="1"/>
  <c r="K447" i="1"/>
  <c r="M447" i="1" s="1"/>
  <c r="T447" i="1"/>
  <c r="K350" i="1"/>
  <c r="M350" i="1" s="1"/>
  <c r="T350" i="1"/>
  <c r="K262" i="1"/>
  <c r="M262" i="1" s="1"/>
  <c r="T262" i="1"/>
  <c r="K166" i="1"/>
  <c r="M166" i="1" s="1"/>
  <c r="T166" i="1"/>
  <c r="K78" i="1"/>
  <c r="M78" i="1" s="1"/>
  <c r="T78" i="1"/>
  <c r="K1989" i="1"/>
  <c r="M1989" i="1" s="1"/>
  <c r="T1989" i="1"/>
  <c r="K1821" i="1"/>
  <c r="M1821" i="1" s="1"/>
  <c r="T1821" i="1"/>
  <c r="K1709" i="1"/>
  <c r="M1709" i="1" s="1"/>
  <c r="T1709" i="1"/>
  <c r="K1533" i="1"/>
  <c r="M1533" i="1" s="1"/>
  <c r="T1533" i="1"/>
  <c r="K1421" i="1"/>
  <c r="M1421" i="1" s="1"/>
  <c r="T1421" i="1"/>
  <c r="K1269" i="1"/>
  <c r="M1269" i="1" s="1"/>
  <c r="T1269" i="1"/>
  <c r="K1125" i="1"/>
  <c r="M1125" i="1" s="1"/>
  <c r="T1125" i="1"/>
  <c r="K893" i="1"/>
  <c r="M893" i="1" s="1"/>
  <c r="T893" i="1"/>
  <c r="K597" i="1"/>
  <c r="M597" i="1" s="1"/>
  <c r="T597" i="1"/>
  <c r="K430" i="1"/>
  <c r="M430" i="1" s="1"/>
  <c r="T430" i="1"/>
  <c r="K125" i="1"/>
  <c r="M125" i="1" s="1"/>
  <c r="T125" i="1"/>
  <c r="K1916" i="1"/>
  <c r="M1916" i="1" s="1"/>
  <c r="T1916" i="1"/>
  <c r="K1596" i="1"/>
  <c r="M1596" i="1" s="1"/>
  <c r="T1596" i="1"/>
  <c r="K1419" i="1"/>
  <c r="M1419" i="1" s="1"/>
  <c r="T1419" i="1"/>
  <c r="K1180" i="1"/>
  <c r="M1180" i="1" s="1"/>
  <c r="T1180" i="1"/>
  <c r="K788" i="1"/>
  <c r="M788" i="1" s="1"/>
  <c r="T788" i="1"/>
  <c r="K564" i="1"/>
  <c r="M564" i="1" s="1"/>
  <c r="T564" i="1"/>
  <c r="K356" i="1"/>
  <c r="M356" i="1" s="1"/>
  <c r="T356" i="1"/>
  <c r="K60" i="1"/>
  <c r="M60" i="1" s="1"/>
  <c r="T60" i="1"/>
  <c r="K1291" i="1"/>
  <c r="M1291" i="1" s="1"/>
  <c r="T1291" i="1"/>
  <c r="K1043" i="1"/>
  <c r="M1043" i="1" s="1"/>
  <c r="T1043" i="1"/>
  <c r="K828" i="1"/>
  <c r="M828" i="1" s="1"/>
  <c r="T828" i="1"/>
  <c r="K588" i="1"/>
  <c r="M588" i="1" s="1"/>
  <c r="T588" i="1"/>
  <c r="K330" i="1"/>
  <c r="M330" i="1" s="1"/>
  <c r="T330" i="1"/>
  <c r="K83" i="1"/>
  <c r="M83" i="1" s="1"/>
  <c r="T83" i="1"/>
  <c r="K1999" i="1"/>
  <c r="M1999" i="1" s="1"/>
  <c r="T1999" i="1"/>
  <c r="K1927" i="1"/>
  <c r="M1927" i="1" s="1"/>
  <c r="T1927" i="1"/>
  <c r="K1838" i="1"/>
  <c r="M1838" i="1" s="1"/>
  <c r="T1838" i="1"/>
  <c r="K1766" i="1"/>
  <c r="M1766" i="1" s="1"/>
  <c r="T1766" i="1"/>
  <c r="K1678" i="1"/>
  <c r="M1678" i="1" s="1"/>
  <c r="T1678" i="1"/>
  <c r="K1605" i="1"/>
  <c r="M1605" i="1" s="1"/>
  <c r="T1605" i="1"/>
  <c r="K1534" i="1"/>
  <c r="M1534" i="1" s="1"/>
  <c r="T1534" i="1"/>
  <c r="K1430" i="1"/>
  <c r="M1430" i="1" s="1"/>
  <c r="T1430" i="1"/>
  <c r="K1350" i="1"/>
  <c r="M1350" i="1" s="1"/>
  <c r="T1350" i="1"/>
  <c r="K1270" i="1"/>
  <c r="M1270" i="1" s="1"/>
  <c r="T1270" i="1"/>
  <c r="K1198" i="1"/>
  <c r="M1198" i="1" s="1"/>
  <c r="T1198" i="1"/>
  <c r="K1126" i="1"/>
  <c r="M1126" i="1" s="1"/>
  <c r="T1126" i="1"/>
  <c r="K1062" i="1"/>
  <c r="M1062" i="1" s="1"/>
  <c r="T1062" i="1"/>
  <c r="K1683" i="1"/>
  <c r="M1683" i="1" s="1"/>
  <c r="T1683" i="1"/>
  <c r="K1467" i="1"/>
  <c r="M1467" i="1" s="1"/>
  <c r="T1467" i="1"/>
  <c r="K1634" i="1"/>
  <c r="M1634" i="1" s="1"/>
  <c r="T1634" i="1"/>
  <c r="K1066" i="1"/>
  <c r="M1066" i="1" s="1"/>
  <c r="T1066" i="1"/>
  <c r="K842" i="1"/>
  <c r="M842" i="1" s="1"/>
  <c r="T842" i="1"/>
  <c r="K290" i="1"/>
  <c r="M290" i="1" s="1"/>
  <c r="T290" i="1"/>
  <c r="K1313" i="1"/>
  <c r="M1313" i="1" s="1"/>
  <c r="T1313" i="1"/>
  <c r="K1153" i="1"/>
  <c r="M1153" i="1" s="1"/>
  <c r="T1153" i="1"/>
  <c r="K857" i="1"/>
  <c r="M857" i="1" s="1"/>
  <c r="T857" i="1"/>
  <c r="K1149" i="1"/>
  <c r="M1149" i="1" s="1"/>
  <c r="T1149" i="1"/>
  <c r="K765" i="1"/>
  <c r="M765" i="1" s="1"/>
  <c r="T765" i="1"/>
  <c r="K117" i="1"/>
  <c r="M117" i="1" s="1"/>
  <c r="T117" i="1"/>
  <c r="K1573" i="1"/>
  <c r="M1573" i="1" s="1"/>
  <c r="T1573" i="1"/>
  <c r="K1028" i="1"/>
  <c r="M1028" i="1" s="1"/>
  <c r="T1028" i="1"/>
  <c r="K621" i="1"/>
  <c r="M621" i="1" s="1"/>
  <c r="T621" i="1"/>
  <c r="K1331" i="1"/>
  <c r="M1331" i="1" s="1"/>
  <c r="T1331" i="1"/>
  <c r="K875" i="1"/>
  <c r="M875" i="1" s="1"/>
  <c r="T875" i="1"/>
  <c r="K651" i="1"/>
  <c r="M651" i="1" s="1"/>
  <c r="T651" i="1"/>
  <c r="K1992" i="1"/>
  <c r="M1992" i="1" s="1"/>
  <c r="T1992" i="1"/>
  <c r="K1840" i="1"/>
  <c r="M1840" i="1" s="1"/>
  <c r="T1840" i="1"/>
  <c r="K1656" i="1"/>
  <c r="M1656" i="1" s="1"/>
  <c r="T1656" i="1"/>
  <c r="K1448" i="1"/>
  <c r="M1448" i="1" s="1"/>
  <c r="T1448" i="1"/>
  <c r="K1296" i="1"/>
  <c r="M1296" i="1" s="1"/>
  <c r="T1296" i="1"/>
  <c r="K1224" i="1"/>
  <c r="M1224" i="1" s="1"/>
  <c r="T1224" i="1"/>
  <c r="K960" i="1"/>
  <c r="M960" i="1" s="1"/>
  <c r="T960" i="1"/>
  <c r="K704" i="1"/>
  <c r="M704" i="1" s="1"/>
  <c r="T704" i="1"/>
  <c r="K529" i="1"/>
  <c r="M529" i="1" s="1"/>
  <c r="T529" i="1"/>
  <c r="K256" i="1"/>
  <c r="M256" i="1" s="1"/>
  <c r="T256" i="1"/>
  <c r="K80" i="1"/>
  <c r="M80" i="1" s="1"/>
  <c r="T80" i="1"/>
  <c r="K1829" i="1"/>
  <c r="M1829" i="1" s="1"/>
  <c r="T1829" i="1"/>
  <c r="K1277" i="1"/>
  <c r="M1277" i="1" s="1"/>
  <c r="T1277" i="1"/>
  <c r="K797" i="1"/>
  <c r="M797" i="1" s="1"/>
  <c r="T797" i="1"/>
  <c r="K1524" i="1"/>
  <c r="M1524" i="1" s="1"/>
  <c r="T1524" i="1"/>
  <c r="K780" i="1"/>
  <c r="M780" i="1" s="1"/>
  <c r="T780" i="1"/>
  <c r="K188" i="1"/>
  <c r="M188" i="1" s="1"/>
  <c r="T188" i="1"/>
  <c r="K1123" i="1"/>
  <c r="M1123" i="1" s="1"/>
  <c r="T1123" i="1"/>
  <c r="K643" i="1"/>
  <c r="M643" i="1" s="1"/>
  <c r="T643" i="1"/>
  <c r="K1783" i="1"/>
  <c r="M1783" i="1" s="1"/>
  <c r="T1783" i="1"/>
  <c r="K1615" i="1"/>
  <c r="M1615" i="1" s="1"/>
  <c r="T1615" i="1"/>
  <c r="K1358" i="1"/>
  <c r="M1358" i="1" s="1"/>
  <c r="T1358" i="1"/>
  <c r="K1167" i="1"/>
  <c r="M1167" i="1" s="1"/>
  <c r="T1167" i="1"/>
  <c r="K983" i="1"/>
  <c r="M983" i="1" s="1"/>
  <c r="T983" i="1"/>
  <c r="K679" i="1"/>
  <c r="M679" i="1" s="1"/>
  <c r="T679" i="1"/>
  <c r="K487" i="1"/>
  <c r="M487" i="1" s="1"/>
  <c r="T487" i="1"/>
  <c r="K247" i="1"/>
  <c r="M247" i="1" s="1"/>
  <c r="T247" i="1"/>
  <c r="K31" i="1"/>
  <c r="M31" i="1" s="1"/>
  <c r="T31" i="1"/>
  <c r="K613" i="1"/>
  <c r="M613" i="1" s="1"/>
  <c r="T613" i="1"/>
  <c r="K326" i="1"/>
  <c r="M326" i="1" s="1"/>
  <c r="T326" i="1"/>
  <c r="K134" i="1"/>
  <c r="M134" i="1" s="1"/>
  <c r="T134" i="1"/>
  <c r="K1966" i="1"/>
  <c r="M1966" i="1" s="1"/>
  <c r="T1966" i="1"/>
  <c r="K1646" i="1"/>
  <c r="M1646" i="1" s="1"/>
  <c r="T1646" i="1"/>
  <c r="K1077" i="1"/>
  <c r="M1077" i="1" s="1"/>
  <c r="T1077" i="1"/>
  <c r="K1556" i="1"/>
  <c r="M1556" i="1" s="1"/>
  <c r="T1556" i="1"/>
  <c r="K1100" i="1"/>
  <c r="M1100" i="1" s="1"/>
  <c r="T1100" i="1"/>
  <c r="K244" i="1"/>
  <c r="M244" i="1" s="1"/>
  <c r="T244" i="1"/>
  <c r="K1003" i="1"/>
  <c r="M1003" i="1" s="1"/>
  <c r="T1003" i="1"/>
  <c r="K291" i="1"/>
  <c r="M291" i="1" s="1"/>
  <c r="T291" i="1"/>
  <c r="K1902" i="1"/>
  <c r="M1902" i="1" s="1"/>
  <c r="T1902" i="1"/>
  <c r="K1654" i="1"/>
  <c r="M1654" i="1" s="1"/>
  <c r="T1654" i="1"/>
  <c r="K1414" i="1"/>
  <c r="M1414" i="1" s="1"/>
  <c r="T1414" i="1"/>
  <c r="K1182" i="1"/>
  <c r="M1182" i="1" s="1"/>
  <c r="T1182" i="1"/>
  <c r="K1046" i="1"/>
  <c r="M1046" i="1" s="1"/>
  <c r="T1046" i="1"/>
  <c r="K1843" i="1"/>
  <c r="M1843" i="1" s="1"/>
  <c r="T1843" i="1"/>
  <c r="K1547" i="1"/>
  <c r="M1547" i="1" s="1"/>
  <c r="T1547" i="1"/>
  <c r="K1057" i="1"/>
  <c r="M1057" i="1" s="1"/>
  <c r="T1057" i="1"/>
  <c r="K562" i="1"/>
  <c r="M562" i="1" s="1"/>
  <c r="T562" i="1"/>
  <c r="K1305" i="1"/>
  <c r="M1305" i="1" s="1"/>
  <c r="T1305" i="1"/>
  <c r="K961" i="1"/>
  <c r="M961" i="1" s="1"/>
  <c r="T961" i="1"/>
  <c r="K849" i="1"/>
  <c r="M849" i="1" s="1"/>
  <c r="T849" i="1"/>
  <c r="K601" i="1"/>
  <c r="M601" i="1" s="1"/>
  <c r="T601" i="1"/>
  <c r="K505" i="1"/>
  <c r="M505" i="1" s="1"/>
  <c r="T505" i="1"/>
  <c r="K345" i="1"/>
  <c r="M345" i="1" s="1"/>
  <c r="T345" i="1"/>
  <c r="K129" i="1"/>
  <c r="M129" i="1" s="1"/>
  <c r="T129" i="1"/>
  <c r="K949" i="1"/>
  <c r="M949" i="1" s="1"/>
  <c r="T949" i="1"/>
  <c r="K309" i="1"/>
  <c r="M309" i="1" s="1"/>
  <c r="T309" i="1"/>
  <c r="K93" i="1"/>
  <c r="M93" i="1" s="1"/>
  <c r="T93" i="1"/>
  <c r="K1236" i="1"/>
  <c r="M1236" i="1" s="1"/>
  <c r="T1236" i="1"/>
  <c r="K772" i="1"/>
  <c r="M772" i="1" s="1"/>
  <c r="T772" i="1"/>
  <c r="K1307" i="1"/>
  <c r="M1307" i="1" s="1"/>
  <c r="T1307" i="1"/>
  <c r="K818" i="1"/>
  <c r="M818" i="1" s="1"/>
  <c r="T818" i="1"/>
  <c r="K1832" i="1"/>
  <c r="M1832" i="1" s="1"/>
  <c r="T1832" i="1"/>
  <c r="K1648" i="1"/>
  <c r="M1648" i="1" s="1"/>
  <c r="T1648" i="1"/>
  <c r="K1288" i="1"/>
  <c r="M1288" i="1" s="1"/>
  <c r="T1288" i="1"/>
  <c r="K1104" i="1"/>
  <c r="M1104" i="1" s="1"/>
  <c r="T1104" i="1"/>
  <c r="K951" i="1"/>
  <c r="M951" i="1" s="1"/>
  <c r="T951" i="1"/>
  <c r="K625" i="1"/>
  <c r="M625" i="1" s="1"/>
  <c r="T625" i="1"/>
  <c r="K400" i="1"/>
  <c r="M400" i="1" s="1"/>
  <c r="T400" i="1"/>
  <c r="K72" i="1"/>
  <c r="M72" i="1" s="1"/>
  <c r="T72" i="1"/>
  <c r="K1973" i="1"/>
  <c r="M1973" i="1" s="1"/>
  <c r="T1973" i="1"/>
  <c r="K1229" i="1"/>
  <c r="M1229" i="1" s="1"/>
  <c r="T1229" i="1"/>
  <c r="K758" i="1"/>
  <c r="M758" i="1" s="1"/>
  <c r="T758" i="1"/>
  <c r="K1988" i="1"/>
  <c r="M1988" i="1" s="1"/>
  <c r="T1988" i="1"/>
  <c r="K1308" i="1"/>
  <c r="M1308" i="1" s="1"/>
  <c r="T1308" i="1"/>
  <c r="K444" i="1"/>
  <c r="M444" i="1" s="1"/>
  <c r="T444" i="1"/>
  <c r="K627" i="1"/>
  <c r="M627" i="1" s="1"/>
  <c r="T627" i="1"/>
  <c r="K1759" i="1"/>
  <c r="M1759" i="1" s="1"/>
  <c r="T1759" i="1"/>
  <c r="K1503" i="1"/>
  <c r="M1503" i="1" s="1"/>
  <c r="T1503" i="1"/>
  <c r="K1263" i="1"/>
  <c r="M1263" i="1" s="1"/>
  <c r="T1263" i="1"/>
  <c r="K959" i="1"/>
  <c r="M959" i="1" s="1"/>
  <c r="T959" i="1"/>
  <c r="K672" i="1"/>
  <c r="M672" i="1" s="1"/>
  <c r="T672" i="1"/>
  <c r="K383" i="1"/>
  <c r="M383" i="1" s="1"/>
  <c r="T383" i="1"/>
  <c r="K167" i="1"/>
  <c r="M167" i="1" s="1"/>
  <c r="T167" i="1"/>
  <c r="K790" i="1"/>
  <c r="M790" i="1" s="1"/>
  <c r="T790" i="1"/>
  <c r="K486" i="1"/>
  <c r="M486" i="1" s="1"/>
  <c r="T486" i="1"/>
  <c r="K238" i="1"/>
  <c r="M238" i="1" s="1"/>
  <c r="T238" i="1"/>
  <c r="K1501" i="1"/>
  <c r="M1501" i="1" s="1"/>
  <c r="T1501" i="1"/>
  <c r="K1238" i="1"/>
  <c r="M1238" i="1" s="1"/>
  <c r="T1238" i="1"/>
  <c r="K1356" i="1"/>
  <c r="M1356" i="1" s="1"/>
  <c r="T1356" i="1"/>
  <c r="K492" i="1"/>
  <c r="M492" i="1" s="1"/>
  <c r="T492" i="1"/>
  <c r="K1203" i="1"/>
  <c r="M1203" i="1" s="1"/>
  <c r="T1203" i="1"/>
  <c r="K459" i="1"/>
  <c r="M459" i="1" s="1"/>
  <c r="T459" i="1"/>
  <c r="K3" i="1"/>
  <c r="T3" i="1"/>
  <c r="K1814" i="1"/>
  <c r="M1814" i="1" s="1"/>
  <c r="T1814" i="1"/>
  <c r="K1398" i="1"/>
  <c r="M1398" i="1" s="1"/>
  <c r="T1398" i="1"/>
  <c r="K1931" i="1"/>
  <c r="M1931" i="1" s="1"/>
  <c r="T1931" i="1"/>
  <c r="K1442" i="1"/>
  <c r="M1442" i="1" s="1"/>
  <c r="T1442" i="1"/>
  <c r="K690" i="1"/>
  <c r="M690" i="1" s="1"/>
  <c r="T690" i="1"/>
  <c r="K1137" i="1"/>
  <c r="M1137" i="1" s="1"/>
  <c r="T1137" i="1"/>
  <c r="K585" i="1"/>
  <c r="M585" i="1" s="1"/>
  <c r="T585" i="1"/>
  <c r="K113" i="1"/>
  <c r="M113" i="1" s="1"/>
  <c r="T113" i="1"/>
  <c r="K661" i="1"/>
  <c r="M661" i="1" s="1"/>
  <c r="T661" i="1"/>
  <c r="K1708" i="1"/>
  <c r="M1708" i="1" s="1"/>
  <c r="T1708" i="1"/>
  <c r="K740" i="1"/>
  <c r="M740" i="1" s="1"/>
  <c r="T740" i="1"/>
  <c r="K1283" i="1"/>
  <c r="M1283" i="1" s="1"/>
  <c r="T1283" i="1"/>
  <c r="K99" i="1"/>
  <c r="M99" i="1" s="1"/>
  <c r="T99" i="1"/>
  <c r="K1825" i="1"/>
  <c r="M1825" i="1" s="1"/>
  <c r="T1825" i="1"/>
  <c r="K1352" i="1"/>
  <c r="M1352" i="1" s="1"/>
  <c r="T1352" i="1"/>
  <c r="K936" i="1"/>
  <c r="M936" i="1" s="1"/>
  <c r="T936" i="1"/>
  <c r="K472" i="1"/>
  <c r="M472" i="1" s="1"/>
  <c r="T472" i="1"/>
  <c r="K151" i="1"/>
  <c r="M151" i="1" s="1"/>
  <c r="T151" i="1"/>
  <c r="K1637" i="1"/>
  <c r="M1637" i="1" s="1"/>
  <c r="T1637" i="1"/>
  <c r="K445" i="1"/>
  <c r="M445" i="1" s="1"/>
  <c r="T445" i="1"/>
  <c r="K1268" i="1"/>
  <c r="M1268" i="1" s="1"/>
  <c r="T1268" i="1"/>
  <c r="K140" i="1"/>
  <c r="M140" i="1" s="1"/>
  <c r="T140" i="1"/>
  <c r="K371" i="1"/>
  <c r="M371" i="1" s="1"/>
  <c r="T371" i="1"/>
  <c r="K1743" i="1"/>
  <c r="M1743" i="1" s="1"/>
  <c r="T1743" i="1"/>
  <c r="K1247" i="1"/>
  <c r="M1247" i="1" s="1"/>
  <c r="T1247" i="1"/>
  <c r="K847" i="1"/>
  <c r="M847" i="1" s="1"/>
  <c r="T847" i="1"/>
  <c r="K375" i="1"/>
  <c r="M375" i="1" s="1"/>
  <c r="T375" i="1"/>
  <c r="K87" i="1"/>
  <c r="M87" i="1" s="1"/>
  <c r="T87" i="1"/>
  <c r="K573" i="1"/>
  <c r="M573" i="1" s="1"/>
  <c r="T573" i="1"/>
  <c r="K1621" i="1"/>
  <c r="M1621" i="1" s="1"/>
  <c r="T1621" i="1"/>
  <c r="K725" i="1"/>
  <c r="M725" i="1" s="1"/>
  <c r="T725" i="1"/>
  <c r="K1764" i="1"/>
  <c r="M1764" i="1" s="1"/>
  <c r="T1764" i="1"/>
  <c r="K1726" i="1"/>
  <c r="M1726" i="1" s="1"/>
  <c r="T1726" i="1"/>
  <c r="K1390" i="1"/>
  <c r="M1390" i="1" s="1"/>
  <c r="T1390" i="1"/>
  <c r="K1030" i="1"/>
  <c r="M1030" i="1" s="1"/>
  <c r="T1030" i="1"/>
  <c r="K1899" i="1"/>
  <c r="M1899" i="1" s="1"/>
  <c r="T1899" i="1"/>
  <c r="K1627" i="1"/>
  <c r="M1627" i="1" s="1"/>
  <c r="T1627" i="1"/>
  <c r="K1770" i="1"/>
  <c r="M1770" i="1" s="1"/>
  <c r="T1770" i="1"/>
  <c r="K1378" i="1"/>
  <c r="M1378" i="1" s="1"/>
  <c r="T1378" i="1"/>
  <c r="K202" i="1"/>
  <c r="M202" i="1" s="1"/>
  <c r="T202" i="1"/>
  <c r="K1851" i="1"/>
  <c r="M1851" i="1" s="1"/>
  <c r="T1851" i="1"/>
  <c r="K1880" i="1"/>
  <c r="M1880" i="1" s="1"/>
  <c r="T1880" i="1"/>
  <c r="K1698" i="1"/>
  <c r="M1698" i="1" s="1"/>
  <c r="T1698" i="1"/>
  <c r="K1979" i="1"/>
  <c r="M1979" i="1" s="1"/>
  <c r="T1979" i="1"/>
  <c r="K1795" i="1"/>
  <c r="M1795" i="1" s="1"/>
  <c r="T1795" i="1"/>
  <c r="K1699" i="1"/>
  <c r="M1699" i="1" s="1"/>
  <c r="T1699" i="1"/>
  <c r="K1491" i="1"/>
  <c r="M1491" i="1" s="1"/>
  <c r="T1491" i="1"/>
  <c r="K1754" i="1"/>
  <c r="M1754" i="1" s="1"/>
  <c r="T1754" i="1"/>
  <c r="K1530" i="1"/>
  <c r="M1530" i="1" s="1"/>
  <c r="T1530" i="1"/>
  <c r="K747" i="1"/>
  <c r="M747" i="1" s="1"/>
  <c r="T747" i="1"/>
  <c r="K1849" i="1"/>
  <c r="M1849" i="1" s="1"/>
  <c r="T1849" i="1"/>
  <c r="K1665" i="1"/>
  <c r="M1665" i="1" s="1"/>
  <c r="T1665" i="1"/>
  <c r="K1971" i="1"/>
  <c r="M1971" i="1" s="1"/>
  <c r="T1971" i="1"/>
  <c r="K1874" i="1"/>
  <c r="M1874" i="1" s="1"/>
  <c r="T1874" i="1"/>
  <c r="K1779" i="1"/>
  <c r="M1779" i="1" s="1"/>
  <c r="T1779" i="1"/>
  <c r="K1691" i="1"/>
  <c r="M1691" i="1" s="1"/>
  <c r="T1691" i="1"/>
  <c r="K1603" i="1"/>
  <c r="M1603" i="1" s="1"/>
  <c r="T1603" i="1"/>
  <c r="K1475" i="1"/>
  <c r="M1475" i="1" s="1"/>
  <c r="T1475" i="1"/>
  <c r="K1403" i="1"/>
  <c r="M1403" i="1" s="1"/>
  <c r="T1403" i="1"/>
  <c r="K1746" i="1"/>
  <c r="M1746" i="1" s="1"/>
  <c r="T1746" i="1"/>
  <c r="K1642" i="1"/>
  <c r="M1642" i="1" s="1"/>
  <c r="T1642" i="1"/>
  <c r="K1522" i="1"/>
  <c r="M1522" i="1" s="1"/>
  <c r="T1522" i="1"/>
  <c r="K1338" i="1"/>
  <c r="M1338" i="1" s="1"/>
  <c r="T1338" i="1"/>
  <c r="K1106" i="1"/>
  <c r="M1106" i="1" s="1"/>
  <c r="T1106" i="1"/>
  <c r="K1002" i="1"/>
  <c r="M1002" i="1" s="1"/>
  <c r="T1002" i="1"/>
  <c r="K890" i="1"/>
  <c r="M890" i="1" s="1"/>
  <c r="T890" i="1"/>
  <c r="K738" i="1"/>
  <c r="M738" i="1" s="1"/>
  <c r="T738" i="1"/>
  <c r="K586" i="1"/>
  <c r="M586" i="1" s="1"/>
  <c r="T586" i="1"/>
  <c r="K394" i="1"/>
  <c r="M394" i="1" s="1"/>
  <c r="T394" i="1"/>
  <c r="K298" i="1"/>
  <c r="M298" i="1" s="1"/>
  <c r="T298" i="1"/>
  <c r="K170" i="1"/>
  <c r="M170" i="1" s="1"/>
  <c r="T170" i="1"/>
  <c r="K26" i="1"/>
  <c r="M26" i="1" s="1"/>
  <c r="T26" i="1"/>
  <c r="K1577" i="1"/>
  <c r="M1577" i="1" s="1"/>
  <c r="T1577" i="1"/>
  <c r="K1457" i="1"/>
  <c r="M1457" i="1" s="1"/>
  <c r="T1457" i="1"/>
  <c r="K1400" i="1"/>
  <c r="M1400" i="1" s="1"/>
  <c r="T1400" i="1"/>
  <c r="K1329" i="1"/>
  <c r="M1329" i="1" s="1"/>
  <c r="T1329" i="1"/>
  <c r="K1249" i="1"/>
  <c r="M1249" i="1" s="1"/>
  <c r="T1249" i="1"/>
  <c r="K1169" i="1"/>
  <c r="M1169" i="1" s="1"/>
  <c r="T1169" i="1"/>
  <c r="K1088" i="1"/>
  <c r="M1088" i="1" s="1"/>
  <c r="T1088" i="1"/>
  <c r="K985" i="1"/>
  <c r="M985" i="1" s="1"/>
  <c r="T985" i="1"/>
  <c r="K873" i="1"/>
  <c r="M873" i="1" s="1"/>
  <c r="T873" i="1"/>
  <c r="K768" i="1"/>
  <c r="M768" i="1" s="1"/>
  <c r="T768" i="1"/>
  <c r="K697" i="1"/>
  <c r="M697" i="1" s="1"/>
  <c r="T697" i="1"/>
  <c r="K617" i="1"/>
  <c r="M617" i="1" s="1"/>
  <c r="T617" i="1"/>
  <c r="K537" i="1"/>
  <c r="M537" i="1" s="1"/>
  <c r="T537" i="1"/>
  <c r="K449" i="1"/>
  <c r="M449" i="1" s="1"/>
  <c r="T449" i="1"/>
  <c r="K361" i="1"/>
  <c r="M361" i="1" s="1"/>
  <c r="T361" i="1"/>
  <c r="K297" i="1"/>
  <c r="M297" i="1" s="1"/>
  <c r="T297" i="1"/>
  <c r="K217" i="1"/>
  <c r="M217" i="1" s="1"/>
  <c r="T217" i="1"/>
  <c r="K145" i="1"/>
  <c r="M145" i="1" s="1"/>
  <c r="T145" i="1"/>
  <c r="K73" i="1"/>
  <c r="M73" i="1" s="1"/>
  <c r="T73" i="1"/>
  <c r="K1197" i="1"/>
  <c r="M1197" i="1" s="1"/>
  <c r="T1197" i="1"/>
  <c r="K989" i="1"/>
  <c r="M989" i="1" s="1"/>
  <c r="T989" i="1"/>
  <c r="K789" i="1"/>
  <c r="M789" i="1" s="1"/>
  <c r="T789" i="1"/>
  <c r="K381" i="1"/>
  <c r="M381" i="1" s="1"/>
  <c r="T381" i="1"/>
  <c r="K133" i="1"/>
  <c r="M133" i="1" s="1"/>
  <c r="T133" i="1"/>
  <c r="K1780" i="1"/>
  <c r="M1780" i="1" s="1"/>
  <c r="T1780" i="1"/>
  <c r="K1604" i="1"/>
  <c r="M1604" i="1" s="1"/>
  <c r="T1604" i="1"/>
  <c r="K1332" i="1"/>
  <c r="M1332" i="1" s="1"/>
  <c r="T1332" i="1"/>
  <c r="K1044" i="1"/>
  <c r="M1044" i="1" s="1"/>
  <c r="T1044" i="1"/>
  <c r="K812" i="1"/>
  <c r="M812" i="1" s="1"/>
  <c r="T812" i="1"/>
  <c r="K636" i="1"/>
  <c r="M636" i="1" s="1"/>
  <c r="T636" i="1"/>
  <c r="K412" i="1"/>
  <c r="M412" i="1" s="1"/>
  <c r="T412" i="1"/>
  <c r="K165" i="1"/>
  <c r="M165" i="1" s="1"/>
  <c r="T165" i="1"/>
  <c r="K1363" i="1"/>
  <c r="M1363" i="1" s="1"/>
  <c r="T1363" i="1"/>
  <c r="K1163" i="1"/>
  <c r="M1163" i="1" s="1"/>
  <c r="T1163" i="1"/>
  <c r="K915" i="1"/>
  <c r="M915" i="1" s="1"/>
  <c r="T915" i="1"/>
  <c r="K683" i="1"/>
  <c r="M683" i="1" s="1"/>
  <c r="T683" i="1"/>
  <c r="K427" i="1"/>
  <c r="M427" i="1" s="1"/>
  <c r="T427" i="1"/>
  <c r="K227" i="1"/>
  <c r="M227" i="1" s="1"/>
  <c r="T227" i="1"/>
  <c r="K2000" i="1"/>
  <c r="M2000" i="1" s="1"/>
  <c r="T2000" i="1"/>
  <c r="K1928" i="1"/>
  <c r="M1928" i="1" s="1"/>
  <c r="T1928" i="1"/>
  <c r="K1847" i="1"/>
  <c r="M1847" i="1" s="1"/>
  <c r="T1847" i="1"/>
  <c r="K1776" i="1"/>
  <c r="M1776" i="1" s="1"/>
  <c r="T1776" i="1"/>
  <c r="K1672" i="1"/>
  <c r="M1672" i="1" s="1"/>
  <c r="T1672" i="1"/>
  <c r="K1552" i="1"/>
  <c r="M1552" i="1" s="1"/>
  <c r="T1552" i="1"/>
  <c r="K1456" i="1"/>
  <c r="M1456" i="1" s="1"/>
  <c r="T1456" i="1"/>
  <c r="K1376" i="1"/>
  <c r="M1376" i="1" s="1"/>
  <c r="T1376" i="1"/>
  <c r="K1304" i="1"/>
  <c r="M1304" i="1" s="1"/>
  <c r="T1304" i="1"/>
  <c r="K1232" i="1"/>
  <c r="M1232" i="1" s="1"/>
  <c r="T1232" i="1"/>
  <c r="K1136" i="1"/>
  <c r="M1136" i="1" s="1"/>
  <c r="T1136" i="1"/>
  <c r="K1056" i="1"/>
  <c r="M1056" i="1" s="1"/>
  <c r="T1056" i="1"/>
  <c r="K968" i="1"/>
  <c r="M968" i="1" s="1"/>
  <c r="T968" i="1"/>
  <c r="K880" i="1"/>
  <c r="M880" i="1" s="1"/>
  <c r="T880" i="1"/>
  <c r="K799" i="1"/>
  <c r="M799" i="1" s="1"/>
  <c r="T799" i="1"/>
  <c r="K712" i="1"/>
  <c r="M712" i="1" s="1"/>
  <c r="T712" i="1"/>
  <c r="K640" i="1"/>
  <c r="M640" i="1" s="1"/>
  <c r="T640" i="1"/>
  <c r="K544" i="1"/>
  <c r="M544" i="1" s="1"/>
  <c r="T544" i="1"/>
  <c r="K416" i="1"/>
  <c r="M416" i="1" s="1"/>
  <c r="T416" i="1"/>
  <c r="K344" i="1"/>
  <c r="M344" i="1" s="1"/>
  <c r="T344" i="1"/>
  <c r="K264" i="1"/>
  <c r="M264" i="1" s="1"/>
  <c r="T264" i="1"/>
  <c r="K192" i="1"/>
  <c r="M192" i="1" s="1"/>
  <c r="T192" i="1"/>
  <c r="K88" i="1"/>
  <c r="M88" i="1" s="1"/>
  <c r="T88" i="1"/>
  <c r="K990" i="1"/>
  <c r="M990" i="1" s="1"/>
  <c r="T990" i="1"/>
  <c r="K1845" i="1"/>
  <c r="M1845" i="1" s="1"/>
  <c r="T1845" i="1"/>
  <c r="K1693" i="1"/>
  <c r="M1693" i="1" s="1"/>
  <c r="T1693" i="1"/>
  <c r="K1541" i="1"/>
  <c r="M1541" i="1" s="1"/>
  <c r="T1541" i="1"/>
  <c r="K1285" i="1"/>
  <c r="M1285" i="1" s="1"/>
  <c r="T1285" i="1"/>
  <c r="K1061" i="1"/>
  <c r="M1061" i="1" s="1"/>
  <c r="T1061" i="1"/>
  <c r="K845" i="1"/>
  <c r="M845" i="1" s="1"/>
  <c r="T845" i="1"/>
  <c r="K525" i="1"/>
  <c r="M525" i="1" s="1"/>
  <c r="T525" i="1"/>
  <c r="K229" i="1"/>
  <c r="M229" i="1" s="1"/>
  <c r="T229" i="1"/>
  <c r="K1796" i="1"/>
  <c r="M1796" i="1" s="1"/>
  <c r="T1796" i="1"/>
  <c r="K1540" i="1"/>
  <c r="M1540" i="1" s="1"/>
  <c r="T1540" i="1"/>
  <c r="K1339" i="1"/>
  <c r="M1339" i="1" s="1"/>
  <c r="T1339" i="1"/>
  <c r="K1076" i="1"/>
  <c r="M1076" i="1" s="1"/>
  <c r="T1076" i="1"/>
  <c r="K804" i="1"/>
  <c r="M804" i="1" s="1"/>
  <c r="T804" i="1"/>
  <c r="K549" i="1"/>
  <c r="M549" i="1" s="1"/>
  <c r="T549" i="1"/>
  <c r="K219" i="1"/>
  <c r="M219" i="1" s="1"/>
  <c r="T219" i="1"/>
  <c r="K1347" i="1"/>
  <c r="M1347" i="1" s="1"/>
  <c r="T1347" i="1"/>
  <c r="K1179" i="1"/>
  <c r="M1179" i="1" s="1"/>
  <c r="T1179" i="1"/>
  <c r="K908" i="1"/>
  <c r="M908" i="1" s="1"/>
  <c r="T908" i="1"/>
  <c r="K691" i="1"/>
  <c r="M691" i="1" s="1"/>
  <c r="T691" i="1"/>
  <c r="K443" i="1"/>
  <c r="M443" i="1" s="1"/>
  <c r="T443" i="1"/>
  <c r="K220" i="1"/>
  <c r="M220" i="1" s="1"/>
  <c r="T220" i="1"/>
  <c r="K43" i="1"/>
  <c r="M43" i="1" s="1"/>
  <c r="T43" i="1"/>
  <c r="K1943" i="1"/>
  <c r="M1943" i="1" s="1"/>
  <c r="T1943" i="1"/>
  <c r="K1879" i="1"/>
  <c r="M1879" i="1" s="1"/>
  <c r="T1879" i="1"/>
  <c r="K1800" i="1"/>
  <c r="M1800" i="1" s="1"/>
  <c r="T1800" i="1"/>
  <c r="K1695" i="1"/>
  <c r="M1695" i="1" s="1"/>
  <c r="T1695" i="1"/>
  <c r="K1623" i="1"/>
  <c r="M1623" i="1" s="1"/>
  <c r="T1623" i="1"/>
  <c r="K1528" i="1"/>
  <c r="M1528" i="1" s="1"/>
  <c r="T1528" i="1"/>
  <c r="K1439" i="1"/>
  <c r="M1439" i="1" s="1"/>
  <c r="T1439" i="1"/>
  <c r="K1375" i="1"/>
  <c r="M1375" i="1" s="1"/>
  <c r="T1375" i="1"/>
  <c r="K1287" i="1"/>
  <c r="M1287" i="1" s="1"/>
  <c r="T1287" i="1"/>
  <c r="K1176" i="1"/>
  <c r="M1176" i="1" s="1"/>
  <c r="T1176" i="1"/>
  <c r="K1095" i="1"/>
  <c r="M1095" i="1" s="1"/>
  <c r="T1095" i="1"/>
  <c r="K991" i="1"/>
  <c r="M991" i="1" s="1"/>
  <c r="T991" i="1"/>
  <c r="K903" i="1"/>
  <c r="M903" i="1" s="1"/>
  <c r="T903" i="1"/>
  <c r="K775" i="1"/>
  <c r="M775" i="1" s="1"/>
  <c r="T775" i="1"/>
  <c r="K703" i="1"/>
  <c r="M703" i="1" s="1"/>
  <c r="T703" i="1"/>
  <c r="K606" i="1"/>
  <c r="M606" i="1" s="1"/>
  <c r="T606" i="1"/>
  <c r="K495" i="1"/>
  <c r="M495" i="1" s="1"/>
  <c r="T495" i="1"/>
  <c r="K415" i="1"/>
  <c r="M415" i="1" s="1"/>
  <c r="T415" i="1"/>
  <c r="K328" i="1"/>
  <c r="M328" i="1" s="1"/>
  <c r="T328" i="1"/>
  <c r="K255" i="1"/>
  <c r="M255" i="1" s="1"/>
  <c r="T255" i="1"/>
  <c r="K183" i="1"/>
  <c r="M183" i="1" s="1"/>
  <c r="T183" i="1"/>
  <c r="K120" i="1"/>
  <c r="M120" i="1" s="1"/>
  <c r="T120" i="1"/>
  <c r="K39" i="1"/>
  <c r="M39" i="1" s="1"/>
  <c r="T39" i="1"/>
  <c r="K886" i="1"/>
  <c r="M886" i="1" s="1"/>
  <c r="T886" i="1"/>
  <c r="K805" i="1"/>
  <c r="M805" i="1" s="1"/>
  <c r="T805" i="1"/>
  <c r="K711" i="1"/>
  <c r="M711" i="1" s="1"/>
  <c r="T711" i="1"/>
  <c r="K622" i="1"/>
  <c r="M622" i="1" s="1"/>
  <c r="T622" i="1"/>
  <c r="K511" i="1"/>
  <c r="M511" i="1" s="1"/>
  <c r="T511" i="1"/>
  <c r="K429" i="1"/>
  <c r="M429" i="1" s="1"/>
  <c r="T429" i="1"/>
  <c r="K341" i="1"/>
  <c r="M341" i="1" s="1"/>
  <c r="T341" i="1"/>
  <c r="K254" i="1"/>
  <c r="M254" i="1" s="1"/>
  <c r="T254" i="1"/>
  <c r="K142" i="1"/>
  <c r="M142" i="1" s="1"/>
  <c r="T142" i="1"/>
  <c r="K46" i="1"/>
  <c r="M46" i="1" s="1"/>
  <c r="T46" i="1"/>
  <c r="K1981" i="1"/>
  <c r="M1981" i="1" s="1"/>
  <c r="T1981" i="1"/>
  <c r="K1805" i="1"/>
  <c r="M1805" i="1" s="1"/>
  <c r="T1805" i="1"/>
  <c r="K1669" i="1"/>
  <c r="M1669" i="1" s="1"/>
  <c r="T1669" i="1"/>
  <c r="K1525" i="1"/>
  <c r="M1525" i="1" s="1"/>
  <c r="T1525" i="1"/>
  <c r="K1405" i="1"/>
  <c r="M1405" i="1" s="1"/>
  <c r="T1405" i="1"/>
  <c r="K1253" i="1"/>
  <c r="M1253" i="1" s="1"/>
  <c r="T1253" i="1"/>
  <c r="K1101" i="1"/>
  <c r="M1101" i="1" s="1"/>
  <c r="T1101" i="1"/>
  <c r="K829" i="1"/>
  <c r="M829" i="1" s="1"/>
  <c r="T829" i="1"/>
  <c r="K557" i="1"/>
  <c r="M557" i="1" s="1"/>
  <c r="T557" i="1"/>
  <c r="K405" i="1"/>
  <c r="M405" i="1" s="1"/>
  <c r="T405" i="1"/>
  <c r="K101" i="1"/>
  <c r="M101" i="1" s="1"/>
  <c r="T101" i="1"/>
  <c r="K1892" i="1"/>
  <c r="M1892" i="1" s="1"/>
  <c r="T1892" i="1"/>
  <c r="K1580" i="1"/>
  <c r="M1580" i="1" s="1"/>
  <c r="T1580" i="1"/>
  <c r="K1396" i="1"/>
  <c r="M1396" i="1" s="1"/>
  <c r="T1396" i="1"/>
  <c r="K1124" i="1"/>
  <c r="M1124" i="1" s="1"/>
  <c r="T1124" i="1"/>
  <c r="K756" i="1"/>
  <c r="M756" i="1" s="1"/>
  <c r="T756" i="1"/>
  <c r="K532" i="1"/>
  <c r="M532" i="1" s="1"/>
  <c r="T532" i="1"/>
  <c r="K308" i="1"/>
  <c r="M308" i="1" s="1"/>
  <c r="T308" i="1"/>
  <c r="K44" i="1"/>
  <c r="M44" i="1" s="1"/>
  <c r="T44" i="1"/>
  <c r="K1266" i="1"/>
  <c r="M1266" i="1" s="1"/>
  <c r="T1266" i="1"/>
  <c r="K1011" i="1"/>
  <c r="M1011" i="1" s="1"/>
  <c r="T1011" i="1"/>
  <c r="K779" i="1"/>
  <c r="M779" i="1" s="1"/>
  <c r="T779" i="1"/>
  <c r="K490" i="1"/>
  <c r="M490" i="1" s="1"/>
  <c r="T490" i="1"/>
  <c r="K315" i="1"/>
  <c r="M315" i="1" s="1"/>
  <c r="T315" i="1"/>
  <c r="K59" i="1"/>
  <c r="M59" i="1" s="1"/>
  <c r="T59" i="1"/>
  <c r="K1990" i="1"/>
  <c r="M1990" i="1" s="1"/>
  <c r="T1990" i="1"/>
  <c r="K1910" i="1"/>
  <c r="M1910" i="1" s="1"/>
  <c r="T1910" i="1"/>
  <c r="K1830" i="1"/>
  <c r="M1830" i="1" s="1"/>
  <c r="T1830" i="1"/>
  <c r="K1758" i="1"/>
  <c r="M1758" i="1" s="1"/>
  <c r="T1758" i="1"/>
  <c r="K1662" i="1"/>
  <c r="M1662" i="1" s="1"/>
  <c r="T1662" i="1"/>
  <c r="K1598" i="1"/>
  <c r="M1598" i="1" s="1"/>
  <c r="T1598" i="1"/>
  <c r="K1518" i="1"/>
  <c r="M1518" i="1" s="1"/>
  <c r="T1518" i="1"/>
  <c r="K1422" i="1"/>
  <c r="M1422" i="1" s="1"/>
  <c r="T1422" i="1"/>
  <c r="K1334" i="1"/>
  <c r="M1334" i="1" s="1"/>
  <c r="T1334" i="1"/>
  <c r="K1254" i="1"/>
  <c r="M1254" i="1" s="1"/>
  <c r="T1254" i="1"/>
  <c r="K1190" i="1"/>
  <c r="M1190" i="1" s="1"/>
  <c r="T1190" i="1"/>
  <c r="K1118" i="1"/>
  <c r="M1118" i="1" s="1"/>
  <c r="T1118" i="1"/>
  <c r="K1054" i="1"/>
  <c r="M1054" i="1" s="1"/>
  <c r="T1054" i="1"/>
  <c r="M3" i="1" l="1"/>
  <c r="X13" i="1"/>
  <c r="V8" i="1"/>
  <c r="V6" i="1"/>
  <c r="V3" i="1"/>
</calcChain>
</file>

<file path=xl/sharedStrings.xml><?xml version="1.0" encoding="utf-8"?>
<sst xmlns="http://schemas.openxmlformats.org/spreadsheetml/2006/main" count="17929" uniqueCount="2412">
  <si>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</si>
  <si>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</si>
  <si>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</si>
  <si>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</si>
  <si>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</si>
  <si>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</si>
  <si>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</si>
  <si>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</si>
  <si>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</si>
  <si>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</si>
  <si>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</si>
  <si>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</si>
  <si>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</si>
  <si>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</si>
  <si>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</si>
  <si>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</si>
  <si>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</si>
  <si>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</si>
  <si>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</si>
  <si>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</si>
  <si>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</si>
  <si>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</si>
  <si>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</si>
  <si>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</si>
  <si>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</si>
  <si>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</si>
  <si>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</si>
  <si>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</si>
  <si>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</si>
  <si>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</si>
  <si>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</si>
  <si>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</si>
  <si>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</si>
  <si>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</si>
  <si>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</si>
  <si>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</si>
  <si>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</si>
  <si>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</si>
  <si>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</si>
  <si>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</si>
  <si>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</si>
  <si>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</si>
  <si>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</si>
  <si>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</si>
  <si>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</si>
  <si>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</si>
  <si>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</si>
  <si>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</si>
  <si>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</si>
  <si>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</si>
  <si>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</si>
  <si>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</si>
  <si>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</si>
  <si>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</si>
  <si>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</si>
  <si>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</si>
  <si>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</si>
  <si>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</si>
  <si>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</si>
  <si>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</si>
  <si>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</si>
  <si>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</si>
  <si>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</si>
  <si>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</si>
  <si>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</si>
  <si>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</si>
  <si>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</si>
  <si>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</si>
  <si>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</si>
  <si>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</si>
  <si>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</si>
  <si>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</si>
  <si>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</si>
  <si>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</si>
  <si>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</si>
  <si>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</si>
  <si>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</si>
  <si>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</si>
  <si>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</si>
  <si>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</si>
  <si>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</si>
  <si>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</si>
  <si>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</si>
  <si>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</si>
  <si>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</si>
  <si>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</si>
  <si>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</si>
  <si>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</si>
  <si>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</si>
  <si>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</si>
  <si>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</si>
  <si>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</si>
  <si>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</si>
  <si>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</si>
  <si>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</si>
  <si>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</si>
  <si>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</si>
  <si>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</si>
  <si>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</si>
  <si>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</si>
  <si>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</si>
  <si>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</si>
  <si>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</si>
  <si>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</si>
  <si>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</si>
  <si>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</si>
  <si>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</si>
  <si>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</si>
  <si>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</si>
  <si>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</si>
  <si>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</si>
  <si>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</si>
  <si>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</si>
  <si>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</si>
  <si>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</si>
  <si>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</si>
  <si>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</si>
  <si>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</si>
  <si>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</si>
  <si>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</si>
  <si>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</si>
  <si>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</si>
  <si>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</si>
  <si>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</si>
  <si>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</si>
  <si>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</si>
  <si>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</si>
  <si>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</si>
  <si>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</si>
  <si>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</si>
  <si>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</si>
  <si>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</si>
  <si>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</si>
  <si>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</si>
  <si>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</si>
  <si>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</si>
  <si>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</si>
  <si>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</si>
  <si>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</si>
  <si>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</si>
  <si>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</si>
  <si>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</si>
  <si>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</si>
  <si>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</si>
  <si>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</si>
  <si>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</si>
  <si>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</si>
  <si>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</si>
  <si>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</si>
  <si>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</si>
  <si>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</si>
  <si>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</si>
  <si>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</si>
  <si>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</si>
  <si>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</si>
  <si>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</si>
  <si>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</si>
  <si>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</si>
  <si>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</si>
  <si>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</si>
  <si>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</si>
  <si>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</si>
  <si>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</si>
  <si>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</si>
  <si>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</si>
  <si>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</si>
  <si>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</si>
  <si>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</si>
  <si>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</si>
  <si>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</si>
  <si>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</si>
  <si>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</si>
  <si>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</si>
  <si>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</si>
  <si>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</si>
  <si>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</si>
  <si>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</si>
  <si>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</si>
  <si>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</si>
  <si>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</si>
  <si>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</si>
  <si>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</si>
  <si>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</si>
  <si>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</si>
  <si>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</si>
  <si>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</si>
  <si>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</si>
  <si>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</si>
  <si>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</si>
  <si>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</si>
  <si>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</si>
  <si>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</si>
  <si>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</si>
  <si>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</si>
  <si>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</si>
  <si>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</si>
  <si>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</si>
  <si>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</si>
  <si>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</si>
  <si>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</si>
  <si>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</si>
  <si>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</si>
  <si>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</si>
  <si>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</si>
  <si>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</si>
  <si>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</si>
  <si>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</si>
  <si>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</si>
  <si>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</si>
  <si>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</si>
  <si>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</si>
  <si>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</si>
  <si>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</si>
  <si>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</si>
  <si>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</si>
  <si>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</si>
  <si>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</si>
  <si>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</si>
  <si>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</si>
  <si>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</si>
  <si>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</si>
  <si>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</si>
  <si>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</si>
  <si>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</si>
  <si>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</si>
  <si>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</si>
  <si>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</si>
  <si>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</si>
  <si>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</si>
  <si>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</si>
  <si>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</si>
  <si>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</si>
  <si>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</si>
  <si>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</si>
  <si>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</si>
  <si>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</si>
  <si>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</si>
  <si>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</si>
  <si>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</si>
  <si>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</si>
  <si>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</si>
  <si>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</si>
  <si>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</si>
  <si>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</si>
  <si>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</si>
  <si>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</si>
  <si>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</si>
  <si>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</si>
  <si>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</si>
  <si>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</si>
  <si>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</si>
  <si>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</si>
  <si>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</si>
  <si>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</si>
  <si>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</si>
  <si>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</si>
  <si>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</si>
  <si>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</si>
  <si>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</si>
  <si>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</si>
  <si>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</si>
  <si>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</si>
  <si>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</si>
  <si>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</si>
  <si>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</si>
  <si>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</si>
  <si>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</si>
  <si>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</si>
  <si>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</si>
  <si>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</si>
  <si>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</si>
  <si>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</si>
  <si>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</si>
  <si>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</si>
  <si>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</si>
  <si>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</si>
  <si>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</si>
  <si>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</si>
  <si>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</si>
  <si>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</si>
  <si>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</si>
  <si>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</si>
  <si>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</si>
  <si>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</si>
  <si>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</si>
  <si>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</si>
  <si>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</si>
  <si>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</si>
  <si>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</si>
  <si>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</si>
  <si>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</si>
  <si>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</si>
  <si>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</si>
  <si>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</si>
  <si>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</si>
  <si>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</si>
  <si>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</si>
  <si>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</si>
  <si>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</si>
  <si>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</si>
  <si>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</si>
  <si>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</si>
  <si>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</si>
  <si>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</si>
  <si>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</si>
  <si>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</si>
  <si>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</si>
  <si>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</si>
  <si>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</si>
  <si>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</si>
  <si>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</si>
  <si>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</si>
  <si>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</si>
  <si>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</si>
  <si>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</si>
  <si>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</si>
  <si>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</si>
  <si>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</si>
  <si>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</si>
  <si>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</si>
  <si>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</si>
  <si>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</si>
  <si>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</si>
  <si>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</si>
  <si>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</si>
  <si>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</si>
  <si>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</si>
  <si>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</si>
  <si>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</si>
  <si>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</si>
  <si>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</si>
  <si>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</si>
  <si>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</si>
  <si>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</si>
  <si>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</si>
  <si>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</si>
  <si>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</si>
  <si>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</si>
  <si>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</si>
  <si>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</si>
  <si>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</si>
  <si>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</si>
  <si>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</si>
  <si>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</si>
  <si>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</si>
  <si>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</si>
  <si>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</si>
  <si>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</si>
  <si>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</si>
  <si>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</si>
  <si>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</si>
  <si>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</si>
  <si>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</si>
  <si>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</si>
  <si>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</si>
  <si>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</si>
  <si>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</si>
  <si>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</si>
  <si>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</si>
  <si>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</si>
  <si>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</si>
  <si>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</si>
  <si>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</si>
  <si>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</si>
  <si>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</si>
  <si>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</si>
  <si>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</si>
  <si>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</si>
  <si>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</si>
  <si>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</si>
  <si>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</si>
  <si>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</si>
  <si>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</si>
  <si>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</si>
  <si>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</si>
  <si>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</si>
  <si>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</si>
  <si>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</si>
  <si>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</si>
  <si>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</si>
  <si>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</si>
  <si>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</si>
  <si>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</si>
  <si>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</si>
  <si>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</si>
  <si>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</si>
  <si>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</si>
  <si>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</si>
  <si>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</si>
  <si>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</si>
  <si>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</si>
  <si>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</si>
  <si>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</si>
  <si>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</si>
  <si>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</si>
  <si>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</si>
  <si>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</si>
  <si>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</si>
  <si>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</si>
  <si>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</si>
  <si>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</si>
  <si>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</si>
  <si>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</si>
  <si>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</si>
  <si>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</si>
  <si>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</si>
  <si>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</si>
  <si>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</si>
  <si>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</si>
  <si>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</si>
  <si>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</si>
  <si>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</si>
  <si>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</si>
  <si>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</si>
  <si>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</si>
  <si>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</si>
  <si>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</si>
  <si>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</si>
  <si>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</si>
  <si>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</si>
  <si>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</si>
  <si>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</si>
  <si>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</si>
  <si>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</si>
  <si>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</si>
  <si>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</si>
  <si>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</si>
  <si>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</si>
  <si>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</si>
  <si>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</si>
  <si>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</si>
  <si>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</si>
  <si>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</si>
  <si>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</si>
  <si>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</si>
  <si>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</si>
  <si>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</si>
  <si>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</si>
  <si>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</si>
  <si>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</si>
  <si>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</si>
  <si>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</si>
  <si>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</si>
  <si>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</si>
  <si>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</si>
  <si>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</si>
  <si>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</si>
  <si>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</si>
  <si>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</si>
  <si>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</si>
  <si>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</si>
  <si>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</si>
  <si>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</si>
  <si>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</si>
  <si>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</si>
  <si>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</si>
  <si>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</si>
  <si>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</si>
  <si>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</si>
  <si>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</si>
  <si>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</si>
  <si>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</si>
  <si>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</si>
  <si>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</si>
  <si>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</si>
  <si>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</si>
  <si>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</si>
  <si>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</si>
  <si>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</si>
  <si>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</si>
  <si>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</si>
  <si>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</si>
  <si>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</si>
  <si>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</si>
  <si>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</si>
  <si>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</si>
  <si>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</si>
  <si>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</si>
  <si>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</si>
  <si>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</si>
  <si>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</si>
  <si>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</si>
  <si>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</si>
  <si>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</si>
  <si>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</si>
  <si>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</si>
  <si>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</si>
  <si>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</si>
  <si>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</si>
  <si>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</si>
  <si>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</si>
  <si>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</si>
  <si>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</si>
  <si>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</si>
  <si>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</si>
  <si>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</si>
  <si>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</si>
  <si>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</si>
  <si>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</si>
  <si>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</si>
  <si>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</si>
  <si>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</si>
  <si>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</si>
  <si>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</si>
  <si>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</si>
  <si>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</si>
  <si>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</si>
  <si>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</si>
  <si>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</si>
  <si>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</si>
  <si>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</si>
  <si>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</si>
  <si>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</si>
  <si>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</si>
  <si>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</si>
  <si>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</si>
  <si>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</si>
  <si>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</si>
  <si>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</si>
  <si>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</si>
  <si>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</si>
  <si>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</si>
  <si>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</si>
  <si>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</si>
  <si>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</si>
  <si>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</si>
  <si>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</si>
  <si>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</si>
  <si>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</si>
  <si>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</si>
  <si>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</si>
  <si>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</si>
  <si>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</si>
  <si>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</si>
  <si>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</si>
  <si>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</si>
  <si>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</si>
  <si>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</si>
  <si>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</si>
  <si>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</si>
  <si>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</si>
  <si>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</si>
  <si>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</si>
  <si>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</si>
  <si>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</si>
  <si>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</si>
  <si>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</si>
  <si>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</si>
  <si>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</si>
  <si>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</si>
  <si>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</si>
  <si>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</si>
  <si>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</si>
  <si>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</si>
  <si>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</si>
  <si>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</si>
  <si>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</si>
  <si>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</si>
  <si>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</si>
  <si>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</si>
  <si>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</si>
  <si>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</si>
  <si>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</si>
  <si>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</si>
  <si>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</si>
  <si>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</si>
  <si>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</si>
  <si>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</si>
  <si>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</si>
  <si>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</si>
  <si>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</si>
  <si>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</si>
  <si>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</si>
  <si>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</si>
  <si>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</si>
  <si>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</si>
  <si>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</si>
  <si>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</si>
  <si>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</si>
  <si>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</si>
  <si>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</si>
  <si>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</si>
  <si>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</si>
  <si>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</si>
  <si>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</si>
  <si>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</si>
  <si>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</si>
  <si>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</si>
  <si>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</si>
  <si>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</si>
  <si>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</si>
  <si>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</si>
  <si>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</si>
  <si>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</si>
  <si>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</si>
  <si>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</si>
  <si>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</si>
  <si>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</si>
  <si>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</si>
  <si>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</si>
  <si>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</si>
  <si>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</si>
  <si>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</si>
  <si>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</si>
  <si>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</si>
  <si>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</si>
  <si>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</si>
  <si>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</si>
  <si>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</si>
  <si>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</si>
  <si>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</si>
  <si>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</si>
  <si>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</si>
  <si>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</si>
  <si>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</si>
  <si>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</si>
  <si>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</si>
  <si>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</si>
  <si>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</si>
  <si>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</si>
  <si>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</si>
  <si>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</si>
  <si>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</si>
  <si>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</si>
  <si>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</si>
  <si>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</si>
  <si>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</si>
  <si>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</si>
  <si>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</si>
  <si>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</si>
  <si>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</si>
  <si>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</si>
  <si>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</si>
  <si>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</si>
  <si>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</si>
  <si>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</si>
  <si>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</si>
  <si>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</si>
  <si>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</si>
  <si>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</si>
  <si>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</si>
  <si>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</si>
  <si>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</si>
  <si>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</si>
  <si>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</si>
  <si>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</si>
  <si>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</si>
  <si>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</si>
  <si>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</si>
  <si>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</si>
  <si>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</si>
  <si>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</si>
  <si>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</si>
  <si>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</si>
  <si>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</si>
  <si>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</si>
  <si>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</si>
  <si>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</si>
  <si>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</si>
  <si>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</si>
  <si>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</si>
  <si>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</si>
  <si>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</si>
  <si>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</si>
  <si>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</si>
  <si>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</si>
  <si>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</si>
  <si>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</si>
  <si>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</si>
  <si>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</si>
  <si>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</si>
  <si>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</si>
  <si>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</si>
  <si>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</si>
  <si>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</si>
  <si>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</si>
  <si>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</si>
  <si>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</si>
  <si>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</si>
  <si>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</si>
  <si>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</si>
  <si>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</si>
  <si>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</si>
  <si>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</si>
  <si>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</si>
  <si>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</si>
  <si>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</si>
  <si>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</si>
  <si>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</si>
  <si>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</si>
  <si>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</si>
  <si>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</si>
  <si>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</si>
  <si>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</si>
  <si>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</si>
  <si>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</si>
  <si>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</si>
  <si>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</si>
  <si>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</si>
  <si>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</si>
  <si>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</si>
  <si>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</si>
  <si>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</si>
  <si>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</si>
  <si>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</si>
  <si>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</si>
  <si>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</si>
  <si>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</si>
  <si>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</si>
  <si>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</si>
  <si>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</si>
  <si>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</si>
  <si>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</si>
  <si>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</si>
  <si>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</si>
  <si>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</si>
  <si>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</si>
  <si>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</si>
  <si>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</si>
  <si>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</si>
  <si>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</si>
  <si>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</si>
  <si>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</si>
  <si>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</si>
  <si>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</si>
  <si>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</si>
  <si>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</si>
  <si>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</si>
  <si>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</si>
  <si>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</si>
  <si>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</si>
  <si>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</si>
  <si>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</si>
  <si>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</si>
  <si>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</si>
  <si>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</si>
  <si>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</si>
  <si>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</si>
  <si>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</si>
  <si>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</si>
  <si>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</si>
  <si>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</si>
  <si>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</si>
  <si>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</si>
  <si>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</si>
  <si>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</si>
  <si>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</si>
  <si>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</si>
  <si>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</si>
  <si>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</si>
  <si>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</si>
  <si>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</si>
  <si>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</si>
  <si>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</si>
  <si>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</si>
  <si>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</si>
  <si>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</si>
  <si>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</si>
  <si>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</si>
  <si>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</si>
  <si>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</si>
  <si>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</si>
  <si>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</si>
  <si>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</si>
  <si>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</si>
  <si>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</si>
  <si>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</si>
  <si>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</si>
  <si>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</si>
  <si>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</si>
  <si>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</si>
  <si>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</si>
  <si>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</si>
  <si>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</si>
  <si>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</si>
  <si>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</si>
  <si>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</si>
  <si>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</si>
  <si>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</si>
  <si>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</si>
  <si>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</si>
  <si>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</si>
  <si>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</si>
  <si>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</si>
  <si>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</si>
  <si>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</si>
  <si>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</si>
  <si>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</si>
  <si>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</si>
  <si>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</si>
  <si>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</si>
  <si>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</si>
  <si>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</si>
  <si>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</si>
  <si>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</si>
  <si>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</si>
  <si>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</si>
  <si>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</si>
  <si>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</si>
  <si>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</si>
  <si>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</si>
  <si>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</si>
  <si>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</si>
  <si>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</si>
  <si>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</si>
  <si>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</si>
  <si>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</si>
  <si>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</si>
  <si>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</si>
  <si>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</si>
  <si>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</si>
  <si>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</si>
  <si>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</si>
  <si>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</si>
  <si>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</si>
  <si>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</si>
  <si>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</si>
  <si>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</si>
  <si>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</si>
  <si>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</si>
  <si>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</si>
  <si>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</si>
  <si>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</si>
  <si>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</si>
  <si>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</si>
  <si>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</si>
  <si>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</si>
  <si>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</si>
  <si>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</si>
  <si>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</si>
  <si>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</si>
  <si>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</si>
  <si>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</si>
  <si>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</si>
  <si>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</si>
  <si>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</si>
  <si>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</si>
  <si>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</si>
  <si>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</si>
  <si>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</si>
  <si>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</si>
  <si>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</si>
  <si>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</si>
  <si>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</si>
  <si>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</si>
  <si>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</si>
  <si>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</si>
  <si>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</si>
  <si>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</si>
  <si>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</si>
  <si>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</si>
  <si>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</si>
  <si>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</si>
  <si>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</si>
  <si>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</si>
  <si>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</si>
  <si>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</si>
  <si>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</si>
  <si>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</si>
  <si>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</si>
  <si>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</si>
  <si>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</si>
  <si>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</si>
  <si>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</si>
  <si>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</si>
  <si>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</si>
  <si>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</si>
  <si>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</si>
  <si>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</si>
  <si>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</si>
  <si>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</si>
  <si>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</si>
  <si>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</si>
  <si>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</si>
  <si>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</si>
  <si>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</si>
  <si>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</si>
  <si>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</si>
  <si>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</si>
  <si>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</si>
  <si>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</si>
  <si>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</si>
  <si>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</si>
  <si>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</si>
  <si>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</si>
  <si>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</si>
  <si>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</si>
  <si>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</si>
  <si>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</si>
  <si>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</si>
  <si>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</si>
  <si>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</si>
  <si>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</si>
  <si>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</si>
  <si>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</si>
  <si>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</si>
  <si>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</si>
  <si>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</si>
  <si>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</si>
  <si>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</si>
  <si>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</si>
  <si>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</si>
  <si>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</si>
  <si>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</si>
  <si>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</si>
  <si>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</si>
  <si>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</si>
  <si>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</si>
  <si>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</si>
  <si>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</si>
  <si>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</si>
  <si>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</si>
  <si>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</si>
  <si>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</si>
  <si>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</si>
  <si>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</si>
  <si>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</si>
  <si>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</si>
  <si>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</si>
  <si>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</si>
  <si>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</si>
  <si>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</si>
  <si>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</si>
  <si>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</si>
  <si>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</si>
  <si>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</si>
  <si>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</si>
  <si>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</si>
  <si>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</si>
  <si>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</si>
  <si>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</si>
  <si>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</si>
  <si>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</si>
  <si>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</si>
  <si>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</si>
  <si>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</si>
  <si>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</si>
  <si>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</si>
  <si>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</si>
  <si>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</si>
  <si>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</si>
  <si>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</si>
  <si>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</si>
  <si>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</si>
  <si>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</si>
  <si>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</si>
  <si>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</si>
  <si>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</si>
  <si>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</si>
  <si>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</si>
  <si>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</si>
  <si>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</si>
  <si>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</si>
  <si>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</si>
  <si>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</si>
  <si>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</si>
  <si>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</si>
  <si>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</si>
  <si>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</si>
  <si>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</si>
  <si>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</si>
  <si>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</si>
  <si>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</si>
  <si>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</si>
  <si>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</si>
  <si>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</si>
  <si>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</si>
  <si>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</si>
  <si>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</si>
  <si>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</si>
  <si>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</si>
  <si>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</si>
  <si>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</si>
  <si>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</si>
  <si>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</si>
  <si>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</si>
  <si>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</si>
  <si>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</si>
  <si>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</si>
  <si>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</si>
  <si>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</si>
  <si>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</si>
  <si>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</si>
  <si>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</si>
  <si>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</si>
  <si>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</si>
  <si>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</si>
  <si>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</si>
  <si>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</si>
  <si>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</si>
  <si>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</si>
  <si>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</si>
  <si>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</si>
  <si>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</si>
  <si>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</si>
  <si>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</si>
  <si>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</si>
  <si>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</si>
  <si>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</si>
  <si>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</si>
  <si>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</si>
  <si>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</si>
  <si>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</si>
  <si>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</si>
  <si>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</si>
  <si>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</si>
  <si>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</si>
  <si>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</si>
  <si>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</si>
  <si>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</si>
  <si>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</si>
  <si>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</si>
  <si>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</si>
  <si>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</si>
  <si>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</si>
  <si>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</si>
  <si>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</si>
  <si>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</si>
  <si>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</si>
  <si>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</si>
  <si>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</si>
  <si>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</si>
  <si>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</si>
  <si>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</si>
  <si>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</si>
  <si>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</si>
  <si>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</si>
  <si>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</si>
  <si>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</si>
  <si>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</si>
  <si>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</si>
  <si>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</si>
  <si>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</si>
  <si>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</si>
  <si>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</si>
  <si>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</si>
  <si>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</si>
  <si>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</si>
  <si>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</si>
  <si>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</si>
  <si>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</si>
  <si>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</si>
  <si>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</si>
  <si>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</si>
  <si>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</si>
  <si>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</si>
  <si>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</si>
  <si>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</si>
  <si>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</si>
  <si>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</si>
  <si>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</si>
  <si>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</si>
  <si>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</si>
  <si>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</si>
  <si>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</si>
  <si>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</si>
  <si>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</si>
  <si>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</si>
  <si>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</si>
  <si>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</si>
  <si>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</si>
  <si>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</si>
  <si>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</si>
  <si>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</si>
  <si>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</si>
  <si>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</si>
  <si>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</si>
  <si>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</si>
  <si>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</si>
  <si>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</si>
  <si>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</si>
  <si>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</si>
  <si>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</si>
  <si>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</si>
  <si>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</si>
  <si>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</si>
  <si>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</si>
  <si>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</si>
  <si>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</si>
  <si>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</si>
  <si>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</si>
  <si>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</si>
  <si>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</si>
  <si>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</si>
  <si>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</si>
  <si>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</si>
  <si>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</si>
  <si>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</si>
  <si>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</si>
  <si>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</si>
  <si>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</si>
  <si>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</si>
  <si>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</si>
  <si>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</si>
  <si>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</si>
  <si>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</si>
  <si>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</si>
  <si>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</si>
  <si>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</si>
  <si>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</si>
  <si>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</si>
  <si>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</si>
  <si>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</si>
  <si>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</si>
  <si>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</si>
  <si>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</si>
  <si>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</si>
  <si>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</si>
  <si>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</si>
  <si>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</si>
  <si>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</si>
  <si>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</si>
  <si>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</si>
  <si>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</si>
  <si>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</si>
  <si>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</si>
  <si>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</si>
  <si>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</si>
  <si>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</si>
  <si>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</si>
  <si>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</si>
  <si>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</si>
  <si>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</si>
  <si>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</si>
  <si>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</si>
  <si>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</si>
  <si>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</si>
  <si>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</si>
  <si>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</si>
  <si>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</si>
  <si>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</si>
  <si>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</si>
  <si>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</si>
  <si>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</si>
  <si>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</si>
  <si>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</si>
  <si>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</si>
  <si>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</si>
  <si>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</si>
  <si>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</si>
  <si>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</si>
  <si>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</si>
  <si>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</si>
  <si>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</si>
  <si>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</si>
  <si>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</si>
  <si>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</si>
  <si>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</si>
  <si>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</si>
  <si>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</si>
  <si>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</si>
  <si>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</si>
  <si>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</si>
  <si>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</si>
  <si>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</si>
  <si>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</si>
  <si>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</si>
  <si>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</si>
  <si>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</si>
  <si>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</si>
  <si>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</si>
  <si>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</si>
  <si>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</si>
  <si>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</si>
  <si>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</si>
  <si>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</si>
  <si>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</si>
  <si>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</si>
  <si>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</si>
  <si>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</si>
  <si>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</si>
  <si>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</si>
  <si>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</si>
  <si>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</si>
  <si>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</si>
  <si>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</si>
  <si>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</si>
  <si>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</si>
  <si>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</si>
  <si>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</si>
  <si>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</si>
  <si>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</si>
  <si>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</si>
  <si>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</si>
  <si>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</si>
  <si>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</si>
  <si>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</si>
  <si>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</si>
  <si>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</si>
  <si>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</si>
  <si>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</si>
  <si>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</si>
  <si>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</si>
  <si>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</si>
  <si>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</si>
  <si>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</si>
  <si>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</si>
  <si>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</si>
  <si>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</si>
  <si>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</si>
  <si>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</si>
  <si>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</si>
  <si>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</si>
  <si>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</si>
  <si>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</si>
  <si>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</si>
  <si>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</si>
  <si>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</si>
  <si>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</si>
  <si>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</si>
  <si>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</si>
  <si>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</si>
  <si>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</si>
  <si>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</si>
  <si>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</si>
  <si>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</si>
  <si>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</si>
  <si>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</si>
  <si>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</si>
  <si>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</si>
  <si>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</si>
  <si>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</si>
  <si>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</si>
  <si>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</si>
  <si>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</si>
  <si>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</si>
  <si>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</si>
  <si>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</si>
  <si>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</si>
  <si>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</si>
  <si>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</si>
  <si>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</si>
  <si>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</si>
  <si>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</si>
  <si>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</si>
  <si>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</si>
  <si>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</si>
  <si>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</si>
  <si>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</si>
  <si>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</si>
  <si>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</si>
  <si>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</si>
  <si>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</si>
  <si>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</si>
  <si>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</si>
  <si>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</si>
  <si>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</si>
  <si>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</si>
  <si>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</si>
  <si>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</si>
  <si>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</si>
  <si>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</si>
  <si>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</si>
  <si>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</si>
  <si>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</si>
  <si>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</si>
  <si>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</si>
  <si>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</si>
  <si>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</si>
  <si>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</si>
  <si>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</si>
  <si>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</si>
  <si>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</si>
  <si>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</si>
  <si>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</si>
  <si>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</si>
  <si>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</si>
  <si>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</si>
  <si>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</si>
  <si>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</si>
  <si>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</si>
  <si>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</si>
  <si>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</si>
  <si>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</si>
  <si>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</si>
  <si>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</si>
  <si>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</si>
  <si>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</si>
  <si>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</si>
  <si>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</si>
  <si>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</si>
  <si>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</si>
  <si>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</si>
  <si>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</si>
  <si>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</si>
  <si>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</si>
  <si>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</si>
  <si>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</si>
  <si>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</si>
  <si>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</si>
  <si>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</si>
  <si>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</si>
  <si>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</si>
  <si>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</si>
  <si>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</si>
  <si>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</si>
  <si>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</si>
  <si>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</si>
  <si>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</si>
  <si>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</si>
  <si>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</si>
  <si>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</si>
  <si>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</si>
  <si>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</si>
  <si>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</si>
  <si>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</si>
  <si>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</si>
  <si>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</si>
  <si>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</si>
  <si>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</si>
  <si>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</si>
  <si>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</si>
  <si>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</si>
  <si>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</si>
  <si>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</si>
  <si>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</si>
  <si>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</si>
  <si>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</si>
  <si>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</si>
  <si>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</si>
  <si>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</si>
  <si>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</si>
  <si>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</si>
  <si>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</si>
  <si>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</si>
  <si>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</si>
  <si>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</si>
  <si>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</si>
  <si>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</si>
  <si>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</si>
  <si>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</si>
  <si>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</si>
  <si>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</si>
  <si>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</si>
  <si>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</si>
  <si>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</si>
  <si>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</si>
  <si>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</si>
  <si>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</si>
  <si>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</si>
  <si>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</si>
  <si>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</si>
  <si>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</si>
  <si>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</si>
  <si>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</si>
  <si>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</si>
  <si>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</si>
  <si>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</si>
  <si>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</si>
  <si>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</si>
  <si>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</si>
  <si>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</si>
  <si>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</si>
  <si>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</si>
  <si>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</si>
  <si>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</si>
  <si>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</si>
  <si>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</si>
  <si>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</si>
  <si>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</si>
  <si>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</si>
  <si>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</si>
  <si>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</si>
  <si>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</si>
  <si>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</si>
  <si>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</si>
  <si>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</si>
  <si>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</si>
  <si>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</si>
  <si>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</si>
  <si>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</si>
  <si>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</si>
  <si>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</si>
  <si>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</si>
  <si>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</si>
  <si>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</si>
  <si>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</si>
  <si>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</si>
  <si>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</si>
  <si>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</si>
  <si>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</si>
  <si>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</si>
  <si>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</si>
  <si>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</si>
  <si>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</si>
  <si>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</si>
  <si>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</si>
  <si>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</si>
  <si>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</si>
  <si>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</si>
  <si>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</si>
  <si>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</si>
  <si>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</si>
  <si>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</si>
  <si>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</si>
  <si>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</si>
  <si>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</si>
  <si>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</si>
  <si>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</si>
  <si>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</si>
  <si>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</si>
  <si>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</si>
  <si>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</si>
  <si>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</si>
  <si>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</si>
  <si>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</si>
  <si>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</si>
  <si>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</si>
  <si>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</si>
  <si>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</si>
  <si>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</si>
  <si>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</si>
  <si>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</si>
  <si>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</si>
  <si>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</si>
  <si>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</si>
  <si>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</si>
  <si>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</si>
  <si>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</si>
  <si>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</si>
  <si>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</si>
  <si>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</si>
  <si>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</si>
  <si>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</si>
  <si>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</si>
  <si>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</si>
  <si>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</si>
  <si>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</si>
  <si>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</si>
  <si>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</si>
  <si>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</si>
  <si>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</si>
  <si>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</si>
  <si>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</si>
  <si>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</si>
  <si>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</si>
  <si>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</si>
  <si>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</si>
  <si>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</si>
  <si>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</si>
  <si>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</si>
  <si>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</si>
  <si>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</si>
  <si>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</si>
  <si>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</si>
  <si>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</si>
  <si>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</si>
  <si>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</si>
  <si>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</si>
  <si>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</si>
  <si>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</si>
  <si>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</si>
  <si>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</si>
  <si>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</si>
  <si>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</si>
  <si>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</si>
  <si>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</si>
  <si>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</si>
  <si>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</si>
  <si>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</si>
  <si>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</si>
  <si>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</si>
  <si>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</si>
  <si>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</si>
  <si>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</si>
  <si>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</si>
  <si>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</si>
  <si>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</si>
  <si>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</si>
  <si>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</si>
  <si>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</si>
  <si>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</si>
  <si>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</si>
  <si>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</si>
  <si>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</si>
  <si>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</si>
  <si>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</si>
  <si>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</si>
  <si>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</si>
  <si>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</si>
  <si>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</si>
  <si>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</si>
  <si>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</si>
  <si>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</si>
  <si>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</si>
  <si>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</si>
  <si>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</si>
  <si>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</si>
  <si>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</si>
  <si>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</si>
  <si>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</si>
  <si>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</si>
  <si>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</si>
  <si>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</si>
  <si>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</si>
  <si>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</si>
  <si>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</si>
  <si>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</si>
  <si>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</si>
  <si>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</si>
  <si>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</si>
  <si>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</si>
  <si>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</si>
  <si>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</si>
  <si>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</si>
  <si>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</si>
  <si>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</si>
  <si>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</si>
  <si>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</si>
  <si>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</si>
  <si>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</si>
  <si>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</si>
  <si>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</si>
  <si>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</si>
  <si>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</si>
  <si>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</si>
  <si>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</si>
  <si>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</si>
  <si>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</si>
  <si>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</si>
  <si>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</si>
  <si>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</si>
  <si>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</si>
  <si>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</si>
  <si>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</si>
  <si>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</si>
  <si>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</si>
  <si>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</si>
  <si>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</si>
  <si>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</si>
  <si>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</si>
  <si>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</si>
  <si>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</si>
  <si>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</si>
  <si>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</si>
  <si>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</si>
  <si>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</si>
  <si>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</si>
  <si>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</si>
  <si>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</si>
  <si>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</si>
  <si>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</si>
  <si>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</si>
  <si>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</si>
  <si>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</si>
  <si>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</si>
  <si>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</si>
  <si>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</si>
  <si>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</si>
  <si>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</si>
  <si>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</si>
  <si>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</si>
  <si>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</si>
  <si>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</si>
  <si>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</si>
  <si>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</si>
  <si>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</si>
  <si>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</si>
  <si>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</si>
  <si>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</si>
  <si>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</si>
  <si>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</si>
  <si>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</si>
  <si>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</si>
  <si>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</si>
  <si>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</si>
  <si>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</si>
  <si>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</si>
  <si>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</si>
  <si>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</si>
  <si>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</si>
  <si>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</si>
  <si>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</si>
  <si>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</si>
  <si>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</si>
  <si>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</si>
  <si>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</si>
  <si>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</si>
  <si>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</si>
  <si>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</si>
  <si>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</si>
  <si>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</si>
  <si>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</si>
  <si>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</si>
  <si>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</si>
  <si>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</si>
  <si>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</si>
  <si>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</si>
  <si>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</si>
  <si>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</si>
  <si>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</si>
  <si>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</si>
  <si>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</si>
  <si>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</si>
  <si>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</si>
  <si>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</si>
  <si>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</si>
  <si>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</si>
  <si>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</si>
  <si>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</si>
  <si>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</si>
  <si>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</si>
  <si>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</si>
  <si>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</si>
  <si>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</si>
  <si>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</si>
  <si>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</si>
  <si>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</si>
  <si>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</si>
  <si>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</si>
  <si>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</si>
  <si>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</si>
  <si>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</si>
  <si>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</si>
  <si>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</si>
  <si>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</si>
  <si>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</si>
  <si>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</si>
  <si>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</si>
  <si>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</si>
  <si>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</si>
  <si>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</si>
  <si>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</si>
  <si>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</si>
  <si>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</si>
  <si>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</si>
  <si>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</si>
  <si>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</si>
  <si>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</si>
  <si>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</si>
  <si>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</si>
  <si>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</si>
  <si>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</si>
  <si>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</si>
  <si>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</si>
  <si>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</si>
  <si>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</si>
  <si>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</si>
  <si>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</si>
  <si>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</si>
  <si>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</si>
  <si>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</si>
  <si>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</si>
  <si>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</si>
  <si>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</si>
  <si>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</si>
  <si>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</si>
  <si>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</si>
  <si>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</si>
  <si>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</si>
  <si>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</si>
  <si>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</si>
  <si>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</si>
  <si>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</si>
  <si>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</si>
  <si>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</si>
  <si>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</si>
  <si>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</si>
  <si>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</si>
  <si>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</si>
  <si>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</si>
  <si>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</si>
  <si>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</si>
  <si>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</si>
  <si>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</si>
  <si>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</si>
  <si>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</si>
  <si>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</si>
  <si>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</si>
  <si>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</si>
  <si>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</si>
  <si>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</si>
  <si>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</si>
  <si>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</si>
  <si>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</si>
  <si>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</si>
  <si>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</si>
  <si>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</si>
  <si>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</si>
  <si>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</si>
  <si>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</si>
  <si>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</si>
  <si>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</si>
  <si>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</si>
  <si>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</si>
  <si>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</si>
  <si>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</si>
  <si>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</si>
  <si>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</si>
  <si>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</si>
  <si>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</si>
  <si>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</si>
  <si>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</si>
  <si>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</si>
  <si>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</si>
  <si>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</si>
  <si>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</si>
  <si>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</si>
  <si>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</si>
  <si>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</si>
  <si>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</si>
  <si>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</si>
  <si>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</si>
  <si>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</si>
  <si>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</si>
  <si>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</si>
  <si>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</si>
  <si>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</si>
  <si>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</si>
  <si>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</si>
  <si>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</si>
  <si>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</si>
  <si>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</si>
  <si>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</si>
  <si>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</si>
  <si>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</si>
  <si>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</si>
  <si>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</si>
  <si>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</si>
  <si>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</si>
  <si>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</si>
  <si>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</si>
  <si>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</si>
  <si>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</si>
  <si>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</si>
  <si>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</si>
  <si>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</si>
  <si>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</si>
  <si>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</si>
  <si>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</si>
  <si>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</si>
  <si>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</si>
  <si>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</si>
  <si>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</si>
  <si>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</si>
  <si>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</si>
  <si>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</si>
  <si>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</si>
  <si>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</si>
  <si>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</si>
  <si>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</si>
  <si>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</si>
  <si>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</si>
  <si>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</si>
  <si>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</si>
  <si>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</si>
  <si>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</si>
  <si>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</si>
  <si>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</si>
  <si>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</si>
  <si>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</si>
  <si>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</si>
  <si>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</si>
  <si>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</si>
  <si>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</si>
  <si>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</si>
  <si>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</si>
  <si>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</si>
  <si>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</si>
  <si>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</si>
  <si>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</si>
  <si>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</si>
  <si>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</si>
  <si>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</si>
  <si>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</si>
  <si>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</si>
  <si>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</si>
  <si>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</si>
  <si>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</si>
  <si>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</si>
  <si>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</si>
  <si>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</si>
  <si>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</si>
  <si>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</si>
  <si>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</si>
  <si>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</si>
  <si>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</si>
  <si>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</si>
  <si>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</si>
  <si>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</si>
  <si>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</si>
  <si>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</si>
  <si>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</si>
  <si>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</si>
  <si>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</si>
  <si>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</si>
  <si>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</si>
  <si>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</si>
  <si>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</si>
  <si>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</si>
  <si>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</si>
  <si>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</si>
  <si>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</si>
  <si>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</si>
  <si>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</si>
  <si>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</si>
  <si>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</si>
  <si>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</si>
  <si>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</si>
  <si>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</si>
  <si>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</si>
  <si>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</si>
  <si>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</si>
  <si>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</si>
  <si>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</si>
  <si>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</si>
  <si>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</si>
  <si>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</si>
  <si>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</si>
  <si>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</si>
  <si>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</si>
  <si>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</si>
  <si>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</si>
  <si>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</si>
  <si>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</si>
  <si>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</si>
  <si>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</si>
  <si>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</si>
  <si>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</si>
  <si>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</si>
  <si>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</si>
  <si>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</si>
  <si>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</si>
  <si>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</si>
  <si>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</si>
  <si>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</si>
  <si>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</si>
  <si>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</si>
  <si>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</si>
  <si>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</si>
  <si>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</si>
  <si>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</si>
  <si>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</si>
  <si>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</si>
  <si>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</si>
  <si>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</si>
  <si>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</si>
  <si>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</si>
  <si>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</si>
  <si>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</si>
  <si>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</si>
  <si>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</si>
  <si>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</si>
  <si>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</si>
  <si>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</si>
  <si>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</si>
  <si>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</si>
  <si>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</si>
  <si>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</si>
  <si>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</si>
  <si>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</si>
  <si>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</si>
  <si>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</si>
  <si>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</si>
  <si>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</si>
  <si>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</si>
  <si>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</si>
  <si>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</si>
  <si>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</si>
  <si>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</si>
  <si>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</si>
  <si>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</si>
  <si>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</si>
  <si>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</si>
  <si>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</si>
  <si>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</si>
  <si>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</si>
  <si>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</si>
  <si>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</si>
  <si>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</si>
  <si>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</si>
  <si>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</si>
  <si>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</si>
  <si>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</si>
  <si>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</si>
  <si>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</si>
  <si>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</si>
  <si>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</si>
  <si>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</si>
  <si>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</si>
  <si>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</si>
  <si>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</si>
  <si>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</si>
  <si>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</si>
  <si>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</si>
  <si>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</si>
  <si>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</si>
  <si>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</si>
  <si>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</si>
  <si>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</si>
  <si>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</si>
  <si>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</si>
  <si>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</si>
  <si>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</si>
  <si>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</si>
  <si>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</si>
  <si>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</si>
  <si>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</si>
  <si>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</si>
  <si>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</si>
  <si>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</si>
  <si>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</si>
  <si>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</si>
  <si>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</si>
  <si>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</si>
  <si>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</si>
  <si>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</si>
  <si>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</si>
  <si>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</si>
  <si>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</si>
  <si>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</si>
  <si>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</si>
  <si>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</si>
  <si>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</si>
  <si>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</si>
  <si>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</si>
  <si>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</si>
  <si>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</si>
  <si>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</si>
  <si>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</si>
  <si>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</si>
  <si>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</si>
  <si>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</si>
  <si>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</si>
  <si>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</si>
  <si>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</si>
  <si>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</si>
  <si>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</si>
  <si>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</si>
  <si>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</si>
  <si>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</si>
  <si>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</si>
  <si>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</si>
  <si>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</si>
  <si>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</si>
  <si>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</si>
  <si>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</si>
  <si>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</si>
  <si>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</si>
  <si>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</si>
  <si>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</si>
  <si>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</si>
  <si>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</si>
  <si>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</si>
  <si>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</si>
  <si>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</si>
  <si>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</si>
  <si>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</si>
  <si>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</si>
  <si>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</si>
  <si>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</si>
  <si>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</si>
  <si>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</si>
  <si>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</si>
  <si>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</si>
  <si>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</si>
  <si>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</si>
  <si>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</si>
  <si>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</si>
  <si>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</si>
  <si>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</si>
  <si>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</si>
  <si>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</si>
  <si>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</si>
  <si>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</si>
  <si>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</si>
  <si>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</si>
  <si>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</si>
  <si>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</si>
  <si>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</si>
  <si>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</si>
  <si>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</si>
  <si>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</si>
  <si>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</si>
  <si>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</si>
  <si>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</si>
  <si>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</si>
  <si>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</si>
  <si>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</si>
  <si>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</si>
  <si>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</si>
  <si>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</si>
  <si>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</si>
  <si>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</si>
  <si>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</si>
  <si>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</si>
  <si>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</si>
  <si>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</si>
  <si>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</si>
  <si>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</si>
  <si>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</si>
  <si>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</si>
  <si>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</si>
  <si>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</si>
  <si>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</si>
  <si>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</si>
  <si>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</si>
  <si>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</si>
  <si>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</si>
  <si>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</si>
  <si>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</si>
  <si>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</si>
  <si>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</si>
  <si>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</si>
  <si>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</si>
  <si>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</si>
  <si>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</si>
  <si>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</si>
  <si>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</si>
  <si>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</si>
  <si>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</si>
  <si>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</si>
  <si>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</si>
  <si>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</si>
  <si>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</si>
  <si>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</si>
  <si>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</si>
  <si>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</si>
  <si>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</si>
  <si>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</si>
  <si>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</si>
  <si>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</si>
  <si>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</si>
  <si>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</si>
  <si>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</si>
  <si>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</si>
  <si>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</si>
  <si>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</si>
  <si>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</si>
  <si>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</si>
  <si>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</si>
  <si>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</si>
  <si>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</si>
  <si>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</si>
  <si>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</si>
  <si>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</si>
  <si>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</si>
  <si>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</si>
  <si>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</si>
  <si>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</si>
  <si>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</si>
  <si>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</si>
  <si>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</si>
  <si>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</si>
  <si>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</si>
  <si>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</si>
  <si>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</si>
  <si>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</si>
  <si>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</si>
  <si>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</si>
  <si>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</si>
  <si>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</si>
  <si>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</si>
  <si>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</si>
  <si>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</si>
  <si>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</si>
  <si>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</si>
  <si>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</si>
  <si>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</si>
  <si>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</si>
  <si>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</si>
  <si>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</si>
  <si>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</si>
  <si>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</si>
  <si>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</si>
  <si>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</si>
  <si>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</si>
  <si>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</si>
  <si>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</si>
  <si>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</si>
  <si>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</si>
  <si>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</si>
  <si>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</si>
  <si>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</si>
  <si>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</si>
  <si>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</si>
  <si>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</si>
  <si>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</si>
  <si>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</si>
  <si>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</si>
  <si>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</si>
  <si>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</si>
  <si>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</si>
  <si>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</si>
  <si>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</si>
  <si>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</si>
  <si>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</si>
  <si>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</si>
  <si>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</si>
  <si>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</si>
  <si>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</si>
  <si>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</si>
  <si>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</si>
  <si>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</si>
  <si>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</si>
  <si>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</si>
  <si>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</si>
  <si>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</si>
  <si>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</si>
  <si>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</si>
  <si>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</si>
  <si>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</si>
  <si>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</si>
  <si>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</si>
  <si>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</si>
  <si>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</si>
  <si>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</si>
  <si>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</si>
  <si>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</si>
  <si>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</si>
  <si>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</si>
  <si>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</si>
  <si>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</si>
  <si>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</si>
  <si>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</si>
  <si>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</si>
  <si>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</si>
  <si>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</si>
  <si>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</si>
  <si>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</si>
  <si>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</si>
  <si>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</si>
  <si>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</si>
  <si>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</si>
  <si>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</si>
  <si>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</si>
  <si>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</si>
  <si>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</si>
  <si>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</si>
  <si>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</si>
  <si>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</si>
  <si>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</si>
  <si>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</si>
  <si>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</si>
  <si>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</si>
  <si>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</si>
  <si>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</si>
  <si>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</si>
  <si>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</si>
  <si>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</si>
  <si>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</si>
  <si>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</si>
  <si>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</si>
  <si>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</si>
  <si>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</si>
  <si>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</si>
  <si>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</si>
  <si>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</si>
  <si>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</si>
  <si>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</si>
  <si>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</si>
  <si>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</si>
  <si>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</si>
  <si>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</si>
  <si>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</si>
  <si>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</si>
  <si>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</si>
  <si>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</si>
  <si>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</si>
  <si>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</si>
  <si>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</si>
  <si>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</si>
  <si>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</si>
  <si>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</si>
  <si>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</si>
  <si>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</si>
  <si>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</si>
  <si>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</si>
  <si>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</si>
  <si>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</si>
  <si>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</si>
  <si>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</si>
  <si>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</si>
  <si>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</si>
  <si>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</si>
  <si>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</si>
  <si>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</si>
  <si>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</si>
  <si>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</si>
  <si>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</si>
  <si>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</si>
  <si>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</si>
  <si>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</si>
  <si>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</si>
  <si>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</si>
  <si>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</si>
  <si>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</si>
  <si>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</si>
  <si>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</si>
  <si>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</si>
  <si>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</si>
  <si>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</si>
  <si>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</si>
  <si>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</si>
  <si>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</si>
  <si>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</si>
  <si>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</si>
  <si>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</si>
  <si>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</si>
  <si>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</si>
  <si>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</si>
  <si>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</si>
  <si>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</si>
  <si>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</si>
  <si>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</si>
  <si>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</si>
  <si>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</si>
  <si>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</si>
  <si>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</si>
  <si>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</si>
  <si>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</si>
  <si>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</si>
  <si>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</si>
  <si>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</si>
  <si>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</si>
  <si>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</si>
  <si>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</si>
  <si>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</si>
  <si>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</si>
  <si>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</si>
  <si>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</si>
  <si>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</si>
  <si>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</si>
  <si>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</si>
  <si>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</si>
  <si>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</si>
  <si>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</si>
  <si>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</si>
  <si>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</si>
  <si>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</si>
  <si>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</si>
  <si>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</si>
  <si>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</si>
  <si>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</si>
  <si>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</si>
  <si>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</si>
  <si>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</si>
  <si>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</si>
  <si>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</si>
  <si>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</si>
  <si>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</si>
  <si>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</si>
  <si>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</si>
  <si>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</si>
  <si>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</si>
  <si>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</si>
  <si>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</si>
  <si>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</si>
  <si>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</si>
  <si>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</si>
  <si>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</si>
  <si>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</si>
  <si>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</si>
  <si>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</si>
  <si>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</si>
  <si>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</si>
  <si>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</si>
  <si>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</si>
  <si>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</si>
  <si>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</si>
  <si>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</si>
  <si>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</si>
  <si>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</si>
  <si>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</si>
  <si>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</si>
  <si>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</si>
  <si>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</si>
  <si>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</si>
  <si>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</si>
  <si>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</si>
  <si>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</si>
  <si>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</si>
  <si>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</si>
  <si>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</si>
  <si>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</si>
  <si>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</si>
  <si>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</si>
  <si>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</si>
  <si>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</si>
  <si>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</si>
  <si>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</si>
  <si>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</si>
  <si>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</si>
  <si>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</si>
  <si>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</si>
  <si>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</si>
  <si>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</si>
  <si>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</si>
  <si>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</si>
  <si>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</si>
  <si>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</si>
  <si>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</si>
  <si>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</si>
  <si>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</si>
  <si>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</si>
  <si>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</si>
  <si>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</si>
  <si>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</si>
  <si>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</si>
  <si>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</si>
  <si>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</si>
  <si>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</si>
  <si>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</si>
  <si>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</si>
  <si>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</si>
  <si>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</si>
  <si>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</si>
  <si>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</si>
  <si>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</si>
  <si>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</si>
  <si>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</si>
  <si>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</si>
  <si>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</si>
  <si>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</si>
  <si>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</si>
  <si>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</si>
  <si>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</si>
  <si>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</si>
  <si>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</si>
  <si>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</si>
  <si>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</si>
  <si>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</si>
  <si>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</si>
  <si>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</si>
  <si>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</si>
  <si>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</si>
  <si>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</si>
  <si>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</si>
  <si>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</si>
  <si>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</si>
  <si>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</si>
  <si>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</si>
  <si>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</si>
  <si>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</si>
  <si>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</si>
  <si>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</si>
  <si>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</si>
  <si>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</si>
  <si>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</si>
  <si>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</si>
  <si>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</si>
  <si>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</si>
  <si>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</si>
  <si>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</si>
  <si>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</si>
  <si>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</si>
  <si>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</si>
  <si>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</si>
  <si>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</si>
  <si>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</si>
  <si>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</si>
  <si>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</si>
  <si>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</si>
  <si>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</si>
  <si>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</si>
  <si>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</si>
  <si>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</si>
  <si>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</si>
  <si>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</si>
  <si>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</si>
  <si>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</si>
  <si>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 xml:space="preserve">  IF(</t>
  </si>
  <si>
    <t xml:space="preserve">    (P:P="Toko Biru")*</t>
  </si>
  <si>
    <t xml:space="preserve">    (E:E="Telur Ayam"),</t>
  </si>
  <si>
    <t xml:space="preserve">    G:G</t>
  </si>
  <si>
    <t xml:space="preserve">  )</t>
  </si>
  <si>
    <t>)</t>
  </si>
  <si>
    <t>Category Rating</t>
  </si>
  <si>
    <t>Disc Category</t>
  </si>
  <si>
    <t>Row Labels</t>
  </si>
  <si>
    <t>Sum of Quantity</t>
  </si>
  <si>
    <t>Tinggi</t>
  </si>
  <si>
    <t>Clearance</t>
  </si>
  <si>
    <t>Normal</t>
  </si>
  <si>
    <t>Rendah</t>
  </si>
  <si>
    <t>Sangat Rendah</t>
  </si>
  <si>
    <t>Sangat Tinggi</t>
  </si>
  <si>
    <t>Sum of Grand Total</t>
  </si>
  <si>
    <t>Diskon</t>
  </si>
  <si>
    <t>kategori</t>
  </si>
  <si>
    <t>sangat rendah</t>
  </si>
  <si>
    <t>rendah</t>
  </si>
  <si>
    <t>normal</t>
  </si>
  <si>
    <t>tinggi</t>
  </si>
  <si>
    <t>sangat tinggi</t>
  </si>
  <si>
    <t>mbuh</t>
  </si>
  <si>
    <t>Sum of Discount Amount</t>
  </si>
  <si>
    <t>Average of Shipping Fee</t>
  </si>
  <si>
    <t>Column Labels</t>
  </si>
  <si>
    <t>Average of Customer Rating</t>
  </si>
  <si>
    <t>Count of Order ID</t>
  </si>
  <si>
    <t>2024</t>
  </si>
  <si>
    <t>Sep</t>
  </si>
  <si>
    <t>Oct</t>
  </si>
  <si>
    <t>Nov</t>
  </si>
  <si>
    <t>Dec</t>
  </si>
  <si>
    <t>2025</t>
  </si>
  <si>
    <t>Jan</t>
  </si>
  <si>
    <t>Feb</t>
  </si>
  <si>
    <t>Mar</t>
  </si>
  <si>
    <t>Apr</t>
  </si>
  <si>
    <t>May</t>
  </si>
  <si>
    <t>Jun</t>
  </si>
  <si>
    <t>Jul</t>
  </si>
  <si>
    <t>Aug</t>
  </si>
  <si>
    <t>Rata-rata quantity untuk kota Bandung :</t>
  </si>
  <si>
    <t>Jumlah total sales untuk pembayaran COD</t>
  </si>
  <si>
    <t>Jenis platform yang tersedia</t>
  </si>
  <si>
    <t>Jumlah quantity yang termasuk kategoti clearance</t>
  </si>
  <si>
    <t>Jumlah grand total untuk kategori rendah</t>
  </si>
  <si>
    <t>Rata-rata customer rating perempuan kategori sangat tinggi</t>
  </si>
  <si>
    <t>&lt;- Rata-rata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</si>
</sst>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hh:mm:ss"/>
    <numFmt numFmtId="165" formatCode="_-[$Rp-3809]* #,##0.00_-;\-[$Rp-3809]* #,##0.00_-;_-[$Rp-3809]* &quot;-&quot;??_-;_-@_-"/>
  </numFmts>
  <fonts count="9"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font>
    <font>
      <b/>
      <sz val="11"/>
      <color theme="1"/>
      <name val="Calibri"/>
      <family val="2"/>
    </font>
    <font>
      <sz val="11"/>
      <color theme="1"/>
      <name val="Calibri"/>
      <family val="2"/>
    </font>
    <font>
      <sz val="11"/>
      <color theme="1"/>
      <name val="Calibri"/>
      <scheme val="minor"/>
    </font>
    <font>
      <sz val="12"/>
      <color theme="1"/>
      <name val="Times New Roman"/>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44" fontId="7" fillId="0" borderId="0" applyFont="0" applyFill="0" applyBorder="0" applyAlignment="0" applyProtection="0"/>
  </cellStyleXfs>
  <cellXfs count="22">
    <xf numFmtId="0" fontId="0" fillId="0" borderId="0" xfId="0"/>
    <xf numFmtId="0" fontId="2" fillId="0" borderId="1" xfId="0" applyFont="1" applyBorder="1" applyAlignment="1">
      <alignment horizontal="center" vertical="top"/>
    </xf>
    <xf numFmtId="0" fontId="3" fillId="0" borderId="0" xfId="0" applyFont="1"/>
    <xf numFmtId="164" fontId="4" fillId="0" borderId="0" xfId="0" applyNumberFormat="1" applyFont="1"/>
    <xf numFmtId="2" fontId="3" fillId="0" borderId="0" xfId="0" applyNumberFormat="1" applyFont="1"/>
    <xf numFmtId="2" fontId="0" fillId="0" borderId="0" xfId="0" applyNumberFormat="1"/>
    <xf numFmtId="165" fontId="0" fillId="0" borderId="0" xfId="0" applyNumberFormat="1"/>
    <xf numFmtId="2" fontId="2" fillId="0" borderId="2" xfId="0" applyNumberFormat="1" applyFont="1" applyBorder="1" applyAlignment="1">
      <alignment horizontal="center" vertical="top"/>
    </xf>
    <xf numFmtId="0" fontId="5" fillId="0" borderId="2" xfId="0" applyFont="1" applyBorder="1" applyAlignment="1">
      <alignment horizontal="center" vertical="top"/>
    </xf>
    <xf numFmtId="0" fontId="2" fillId="0" borderId="2" xfId="0" applyFont="1" applyBorder="1" applyAlignment="1">
      <alignment horizontal="center" vertical="top"/>
    </xf>
    <xf numFmtId="165" fontId="2" fillId="0" borderId="2" xfId="0" applyNumberFormat="1" applyFont="1" applyBorder="1" applyAlignment="1">
      <alignment horizontal="center" vertical="top"/>
    </xf>
    <xf numFmtId="0" fontId="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1" applyNumberFormat="1" applyFont="1"/>
    <xf numFmtId="1" fontId="0" fillId="0" borderId="0" xfId="0" applyNumberFormat="1"/>
    <xf numFmtId="0" fontId="0" fillId="0" borderId="0" xfId="0" applyAlignment="1">
      <alignment horizontal="center" vertical="center"/>
    </xf>
    <xf numFmtId="0" fontId="0" fillId="0" borderId="0" xfId="0" applyAlignment="1">
      <alignment horizontal="center"/>
    </xf>
    <xf numFmtId="165" fontId="8" fillId="0" borderId="0" xfId="0" applyNumberFormat="1" applyFont="1" applyAlignment="1">
      <alignment horizontal="center" vertical="center"/>
    </xf>
    <xf numFmtId="0" fontId="1" fillId="0" borderId="0" xfId="0" applyFont="1" applyAlignment="1">
      <alignment horizontal="center"/>
    </xf>
    <xf numFmtId="0" fontId="0" fillId="0" borderId="0" xfId="0" applyNumberFormat="1"/>
  </cellXfs>
  <cellStyles count="2">
    <cellStyle name="Currency" xfId="1" builtinId="4"/>
    <cellStyle name="Normal" xfId="0" builtinId="0"/>
  </cellStyles>
  <dxfs count="24">
    <dxf>
      <numFmt numFmtId="165" formatCode="_-[$Rp-3809]* #,##0.00_-;\-[$Rp-3809]* #,##0.00_-;_-[$Rp-3809]* &quot;-&quot;??_-;_-@_-"/>
    </dxf>
    <dxf>
      <numFmt numFmtId="165" formatCode="_-[$Rp-3809]* #,##0.00_-;\-[$Rp-3809]* #,##0.00_-;_-[$Rp-3809]* &quot;-&quot;??_-;_-@_-"/>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numFmt numFmtId="0" formatCode="General"/>
    </dxf>
    <dxf>
      <font>
        <b val="0"/>
        <i val="0"/>
        <strike val="0"/>
        <condense val="0"/>
        <extend val="0"/>
        <outline val="0"/>
        <shadow val="0"/>
        <u val="none"/>
        <vertAlign val="baseline"/>
        <sz val="11"/>
        <color theme="1"/>
        <name val="Calibri"/>
        <scheme val="none"/>
      </font>
    </dxf>
    <dxf>
      <numFmt numFmtId="165" formatCode="_-[$Rp-3809]* #,##0.00_-;\-[$Rp-3809]* #,##0.00_-;_-[$Rp-3809]* &quot;-&quot;??_-;_-@_-"/>
    </dxf>
    <dxf>
      <font>
        <b val="0"/>
        <i val="0"/>
        <strike val="0"/>
        <condense val="0"/>
        <extend val="0"/>
        <outline val="0"/>
        <shadow val="0"/>
        <u val="none"/>
        <vertAlign val="baseline"/>
        <sz val="11"/>
        <color theme="1"/>
        <name val="Calibri"/>
        <scheme val="none"/>
      </font>
    </dxf>
    <dxf>
      <numFmt numFmtId="165" formatCode="_-[$Rp-3809]* #,##0.00_-;\-[$Rp-3809]* #,##0.00_-;_-[$Rp-3809]* &quot;-&quot;??_-;_-@_-"/>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4" formatCode="yyyy\-mm\-dd\ hh:mm:ss"/>
    </dxf>
    <dxf>
      <font>
        <b val="0"/>
        <i val="0"/>
        <strike val="0"/>
        <condense val="0"/>
        <extend val="0"/>
        <outline val="0"/>
        <shadow val="0"/>
        <u val="none"/>
        <vertAlign val="baseline"/>
        <sz val="11"/>
        <color theme="1"/>
        <name val="Calibri"/>
        <scheme val="none"/>
      </font>
      <numFmt numFmtId="2" formatCode="0.00"/>
    </dxf>
    <dxf>
      <border outline="0">
        <top style="thin">
          <color rgb="FF000000"/>
        </top>
      </border>
    </dxf>
    <dxf>
      <font>
        <b val="0"/>
        <i val="0"/>
        <strike val="0"/>
        <condense val="0"/>
        <extend val="0"/>
        <outline val="0"/>
        <shadow val="0"/>
        <u val="none"/>
        <vertAlign val="baseline"/>
        <sz val="11"/>
        <color theme="1"/>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[DataExcel_Sembako_Nicholas Elvis.xlsx]dash!PivotTable2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dash!$E$3</c:f>
              <c:strCache>
                <c:ptCount val="1"/>
                <c:pt idx="0">
                  <c:v>Total</c:v>
                </c:pt>
              </c:strCache>
            </c:strRef>
          </c:tx>
          <c:spPr>
            <a:solidFill>
              <a:schemeClr val="accent1"/>
            </a:solidFill>
            <a:ln>
              <a:noFill/>
            </a:ln>
            <a:effectLst/>
          </c:spPr>
          <c:invertIfNegative val="0"/>
          <c:cat>
            <c:strRef>
              <c:f>dash!$D$4:$D$31</c:f>
              <c:strCache>
                <c:ptCount val="27"/>
                <c:pt idx="0">
                  <c:v>Garam - Brand C</c:v>
                </c:pt>
                <c:pt idx="1">
                  <c:v>Daging Ayam - Brand B</c:v>
                </c:pt>
                <c:pt idx="2">
                  <c:v>Tepung Terigu - Brand C</c:v>
                </c:pt>
                <c:pt idx="3">
                  <c:v>Daging Ayam - Brand C</c:v>
                </c:pt>
                <c:pt idx="4">
                  <c:v>Minyak Goreng - Brand A</c:v>
                </c:pt>
                <c:pt idx="5">
                  <c:v>Telur Ayam - Brand B</c:v>
                </c:pt>
                <c:pt idx="6">
                  <c:v>Gula Pasir - Brand C</c:v>
                </c:pt>
                <c:pt idx="7">
                  <c:v>Telur Ayam - Brand A</c:v>
                </c:pt>
                <c:pt idx="8">
                  <c:v>Susu Bubuk - Brand B</c:v>
                </c:pt>
                <c:pt idx="9">
                  <c:v>Telur Ayam - Brand C</c:v>
                </c:pt>
                <c:pt idx="10">
                  <c:v>Susu Bubuk - Brand C</c:v>
                </c:pt>
                <c:pt idx="11">
                  <c:v>Gula Pasir - Brand A</c:v>
                </c:pt>
                <c:pt idx="12">
                  <c:v>Garam - Brand A</c:v>
                </c:pt>
                <c:pt idx="13">
                  <c:v>Beras - Brand A</c:v>
                </c:pt>
                <c:pt idx="14">
                  <c:v>Susu Bubuk - Brand A</c:v>
                </c:pt>
                <c:pt idx="15">
                  <c:v>Minyak Goreng - Brand B</c:v>
                </c:pt>
                <c:pt idx="16">
                  <c:v>Bawang Merah - Brand B</c:v>
                </c:pt>
                <c:pt idx="17">
                  <c:v>Beras - Brand B</c:v>
                </c:pt>
                <c:pt idx="18">
                  <c:v>Daging Ayam - Brand A</c:v>
                </c:pt>
                <c:pt idx="19">
                  <c:v>Tepung Terigu - Brand B</c:v>
                </c:pt>
                <c:pt idx="20">
                  <c:v>Tepung Terigu - Brand A</c:v>
                </c:pt>
                <c:pt idx="21">
                  <c:v>Gula Pasir - Brand B</c:v>
                </c:pt>
                <c:pt idx="22">
                  <c:v>Garam - Brand B</c:v>
                </c:pt>
                <c:pt idx="23">
                  <c:v>Bawang Merah - Brand A</c:v>
                </c:pt>
                <c:pt idx="24">
                  <c:v>Beras - Brand C</c:v>
                </c:pt>
                <c:pt idx="25">
                  <c:v>Minyak Goreng - Brand C</c:v>
                </c:pt>
                <c:pt idx="26">
                  <c:v>Bawang Merah - Brand C</c:v>
                </c:pt>
              </c:strCache>
            </c:strRef>
          </c:cat>
          <c:val>
            <c:numRef>
              <c:f>dash!$E$4:$E$31</c:f>
              <c:numCache>
                <c:formatCode>General</c:formatCode>
                <c:ptCount val="27"/>
                <c:pt idx="0">
                  <c:v>267</c:v>
                </c:pt>
                <c:pt idx="1">
                  <c:v>259</c:v>
                </c:pt>
                <c:pt idx="2">
                  <c:v>254</c:v>
                </c:pt>
                <c:pt idx="3">
                  <c:v>250</c:v>
                </c:pt>
                <c:pt idx="4">
                  <c:v>247</c:v>
                </c:pt>
                <c:pt idx="5">
                  <c:v>247</c:v>
                </c:pt>
                <c:pt idx="6">
                  <c:v>238</c:v>
                </c:pt>
                <c:pt idx="7">
                  <c:v>235</c:v>
                </c:pt>
                <c:pt idx="8">
                  <c:v>229</c:v>
                </c:pt>
                <c:pt idx="9">
                  <c:v>224</c:v>
                </c:pt>
                <c:pt idx="10">
                  <c:v>224</c:v>
                </c:pt>
                <c:pt idx="11">
                  <c:v>221</c:v>
                </c:pt>
                <c:pt idx="12">
                  <c:v>220</c:v>
                </c:pt>
                <c:pt idx="13">
                  <c:v>219</c:v>
                </c:pt>
                <c:pt idx="14">
                  <c:v>219</c:v>
                </c:pt>
                <c:pt idx="15">
                  <c:v>216</c:v>
                </c:pt>
                <c:pt idx="16">
                  <c:v>215</c:v>
                </c:pt>
                <c:pt idx="17">
                  <c:v>212</c:v>
                </c:pt>
                <c:pt idx="18">
                  <c:v>210</c:v>
                </c:pt>
                <c:pt idx="19">
                  <c:v>208</c:v>
                </c:pt>
                <c:pt idx="20">
                  <c:v>205</c:v>
                </c:pt>
                <c:pt idx="21">
                  <c:v>205</c:v>
                </c:pt>
                <c:pt idx="22">
                  <c:v>203</c:v>
                </c:pt>
                <c:pt idx="23">
                  <c:v>194</c:v>
                </c:pt>
                <c:pt idx="24">
                  <c:v>193</c:v>
                </c:pt>
                <c:pt idx="25">
                  <c:v>171</c:v>
                </c:pt>
                <c:pt idx="26">
                  <c:v>146</c:v>
                </c:pt>
              </c:numCache>
            </c:numRef>
          </c:val>
          <c:extLst>
            <c:ext xmlns:c16="http://schemas.microsoft.com/office/drawing/2014/chart" uri="{C3380CC4-5D6E-409C-BE32-E72D297353CC}">
              <c16:uniqueId val="{00000000-CEDA-470C-9926-F94F349B04CE}"/>
            </c:ext>
          </c:extLst>
        </c:ser>
        <c:dLbls>
          <c:showLegendKey val="0"/>
          <c:showVal val="0"/>
          <c:showCatName val="0"/>
          <c:showSerName val="0"/>
          <c:showPercent val="0"/>
          <c:showBubbleSize val="0"/>
        </c:dLbls>
        <c:gapWidth val="219"/>
        <c:overlap val="-27"/>
        <c:axId val="1779722784"/>
        <c:axId val="1779716064"/>
      </c:barChart>
      <c:catAx>
        <c:axId val="17797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16064"/>
        <c:crosses val="autoZero"/>
        <c:auto val="1"/>
        <c:lblAlgn val="ctr"/>
        <c:lblOffset val="100"/>
        <c:noMultiLvlLbl val="0"/>
      </c:catAx>
      <c:valAx>
        <c:axId val="177971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2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[DataExcel_Sembako_Nicholas Elvis.xlsx]dash!PivotTable3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dash!$G$4:$G$19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2024</c:v>
                  </c:pt>
                  <c:pt idx="4">
                    <c:v>2025</c:v>
                  </c:pt>
                </c:lvl>
              </c:multiLvlStrCache>
            </c:multiLvlStrRef>
          </c:cat>
          <c:val>
            <c:numRef>
              <c:f>dash!$H$4:$H$19</c:f>
              <c:numCache>
                <c:formatCode>General</c:formatCode>
                <c:ptCount val="13"/>
                <c:pt idx="0">
                  <c:v>97</c:v>
                </c:pt>
                <c:pt idx="1">
                  <c:v>159</c:v>
                </c:pt>
                <c:pt idx="2">
                  <c:v>156</c:v>
                </c:pt>
                <c:pt idx="3">
                  <c:v>158</c:v>
                </c:pt>
                <c:pt idx="4">
                  <c:v>172</c:v>
                </c:pt>
                <c:pt idx="5">
                  <c:v>138</c:v>
                </c:pt>
                <c:pt idx="6">
                  <c:v>155</c:v>
                </c:pt>
                <c:pt idx="7">
                  <c:v>156</c:v>
                </c:pt>
                <c:pt idx="8">
                  <c:v>181</c:v>
                </c:pt>
                <c:pt idx="9">
                  <c:v>185</c:v>
                </c:pt>
                <c:pt idx="10">
                  <c:v>189</c:v>
                </c:pt>
                <c:pt idx="11">
                  <c:v>165</c:v>
                </c:pt>
                <c:pt idx="12">
                  <c:v>89</c:v>
                </c:pt>
              </c:numCache>
            </c:numRef>
          </c:val>
          <c:smooth val="0"/>
          <c:extLst>
            <c:ext xmlns:c16="http://schemas.microsoft.com/office/drawing/2014/chart" uri="{C3380CC4-5D6E-409C-BE32-E72D297353CC}">
              <c16:uniqueId val="{00000000-94BE-4D9F-85C0-E8D520604E28}"/>
            </c:ext>
          </c:extLst>
        </c:ser>
        <c:dLbls>
          <c:showLegendKey val="0"/>
          <c:showVal val="0"/>
          <c:showCatName val="0"/>
          <c:showSerName val="0"/>
          <c:showPercent val="0"/>
          <c:showBubbleSize val="0"/>
        </c:dLbls>
        <c:marker val="1"/>
        <c:smooth val="0"/>
        <c:axId val="1779745344"/>
        <c:axId val="1779753024"/>
      </c:lineChart>
      <c:catAx>
        <c:axId val="177974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53024"/>
        <c:crosses val="autoZero"/>
        <c:auto val="1"/>
        <c:lblAlgn val="ctr"/>
        <c:lblOffset val="100"/>
        <c:noMultiLvlLbl val="0"/>
      </c:catAx>
      <c:valAx>
        <c:axId val="177975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4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[DataExcel_Sembako_Nicholas Elvis.xlsx]dash!PivotTable2</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reflection blurRad="6350" stA="53000" endA="300" endPos="35500" dir="5400000" sy="-90000" algn="bl" rotWithShape="0"/>
                </a:effectLst>
                <a:latin typeface="+mn-lt"/>
                <a:ea typeface="+mn-ea"/>
                <a:cs typeface="+mn-cs"/>
              </a:defRPr>
            </a:pPr>
            <a:r>
              <a:rPr lang="en-ID"/>
              <a:t>Produk</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reflection blurRad="6350" stA="53000" endA="300" endPos="35500" dir="5400000" sy="-9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reflection blurRad="6350" stA="53000" endA="300" endPos="35500" dir="5400000" sy="-9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reflection blurRad="6350" stA="53000" endA="300" endPos="35500" dir="5400000" sy="-90000" algn="bl" rotWithShape="0"/>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dash!$E$3</c:f>
              <c:strCache>
                <c:ptCount val="1"/>
                <c:pt idx="0">
                  <c:v>Total</c:v>
                </c:pt>
              </c:strCache>
            </c:strRef>
          </c:tx>
          <c:spPr>
            <a:solidFill>
              <a:schemeClr val="accent1"/>
            </a:solidFill>
            <a:ln>
              <a:noFill/>
            </a:ln>
            <a:effectLst/>
          </c:spPr>
          <c:invertIfNegative val="0"/>
          <c:cat>
            <c:strRef>
              <c:f>dash!$D$4:$D$31</c:f>
              <c:strCache>
                <c:ptCount val="27"/>
                <c:pt idx="0">
                  <c:v>Garam - Brand C</c:v>
                </c:pt>
                <c:pt idx="1">
                  <c:v>Daging Ayam - Brand B</c:v>
                </c:pt>
                <c:pt idx="2">
                  <c:v>Tepung Terigu - Brand C</c:v>
                </c:pt>
                <c:pt idx="3">
                  <c:v>Daging Ayam - Brand C</c:v>
                </c:pt>
                <c:pt idx="4">
                  <c:v>Minyak Goreng - Brand A</c:v>
                </c:pt>
                <c:pt idx="5">
                  <c:v>Telur Ayam - Brand B</c:v>
                </c:pt>
                <c:pt idx="6">
                  <c:v>Gula Pasir - Brand C</c:v>
                </c:pt>
                <c:pt idx="7">
                  <c:v>Telur Ayam - Brand A</c:v>
                </c:pt>
                <c:pt idx="8">
                  <c:v>Susu Bubuk - Brand B</c:v>
                </c:pt>
                <c:pt idx="9">
                  <c:v>Telur Ayam - Brand C</c:v>
                </c:pt>
                <c:pt idx="10">
                  <c:v>Susu Bubuk - Brand C</c:v>
                </c:pt>
                <c:pt idx="11">
                  <c:v>Gula Pasir - Brand A</c:v>
                </c:pt>
                <c:pt idx="12">
                  <c:v>Garam - Brand A</c:v>
                </c:pt>
                <c:pt idx="13">
                  <c:v>Beras - Brand A</c:v>
                </c:pt>
                <c:pt idx="14">
                  <c:v>Susu Bubuk - Brand A</c:v>
                </c:pt>
                <c:pt idx="15">
                  <c:v>Minyak Goreng - Brand B</c:v>
                </c:pt>
                <c:pt idx="16">
                  <c:v>Bawang Merah - Brand B</c:v>
                </c:pt>
                <c:pt idx="17">
                  <c:v>Beras - Brand B</c:v>
                </c:pt>
                <c:pt idx="18">
                  <c:v>Daging Ayam - Brand A</c:v>
                </c:pt>
                <c:pt idx="19">
                  <c:v>Tepung Terigu - Brand B</c:v>
                </c:pt>
                <c:pt idx="20">
                  <c:v>Tepung Terigu - Brand A</c:v>
                </c:pt>
                <c:pt idx="21">
                  <c:v>Gula Pasir - Brand B</c:v>
                </c:pt>
                <c:pt idx="22">
                  <c:v>Garam - Brand B</c:v>
                </c:pt>
                <c:pt idx="23">
                  <c:v>Bawang Merah - Brand A</c:v>
                </c:pt>
                <c:pt idx="24">
                  <c:v>Beras - Brand C</c:v>
                </c:pt>
                <c:pt idx="25">
                  <c:v>Minyak Goreng - Brand C</c:v>
                </c:pt>
                <c:pt idx="26">
                  <c:v>Bawang Merah - Brand C</c:v>
                </c:pt>
              </c:strCache>
            </c:strRef>
          </c:cat>
          <c:val>
            <c:numRef>
              <c:f>dash!$E$4:$E$31</c:f>
              <c:numCache>
                <c:formatCode>General</c:formatCode>
                <c:ptCount val="27"/>
                <c:pt idx="0">
                  <c:v>267</c:v>
                </c:pt>
                <c:pt idx="1">
                  <c:v>259</c:v>
                </c:pt>
                <c:pt idx="2">
                  <c:v>254</c:v>
                </c:pt>
                <c:pt idx="3">
                  <c:v>250</c:v>
                </c:pt>
                <c:pt idx="4">
                  <c:v>247</c:v>
                </c:pt>
                <c:pt idx="5">
                  <c:v>247</c:v>
                </c:pt>
                <c:pt idx="6">
                  <c:v>238</c:v>
                </c:pt>
                <c:pt idx="7">
                  <c:v>235</c:v>
                </c:pt>
                <c:pt idx="8">
                  <c:v>229</c:v>
                </c:pt>
                <c:pt idx="9">
                  <c:v>224</c:v>
                </c:pt>
                <c:pt idx="10">
                  <c:v>224</c:v>
                </c:pt>
                <c:pt idx="11">
                  <c:v>221</c:v>
                </c:pt>
                <c:pt idx="12">
                  <c:v>220</c:v>
                </c:pt>
                <c:pt idx="13">
                  <c:v>219</c:v>
                </c:pt>
                <c:pt idx="14">
                  <c:v>219</c:v>
                </c:pt>
                <c:pt idx="15">
                  <c:v>216</c:v>
                </c:pt>
                <c:pt idx="16">
                  <c:v>215</c:v>
                </c:pt>
                <c:pt idx="17">
                  <c:v>212</c:v>
                </c:pt>
                <c:pt idx="18">
                  <c:v>210</c:v>
                </c:pt>
                <c:pt idx="19">
                  <c:v>208</c:v>
                </c:pt>
                <c:pt idx="20">
                  <c:v>205</c:v>
                </c:pt>
                <c:pt idx="21">
                  <c:v>205</c:v>
                </c:pt>
                <c:pt idx="22">
                  <c:v>203</c:v>
                </c:pt>
                <c:pt idx="23">
                  <c:v>194</c:v>
                </c:pt>
                <c:pt idx="24">
                  <c:v>193</c:v>
                </c:pt>
                <c:pt idx="25">
                  <c:v>171</c:v>
                </c:pt>
                <c:pt idx="26">
                  <c:v>146</c:v>
                </c:pt>
              </c:numCache>
            </c:numRef>
          </c:val>
          <c:extLst>
            <c:ext xmlns:c16="http://schemas.microsoft.com/office/drawing/2014/chart" uri="{C3380CC4-5D6E-409C-BE32-E72D297353CC}">
              <c16:uniqueId val="{00000000-B0B2-45F1-851D-9A95D8B4A708}"/>
            </c:ext>
          </c:extLst>
        </c:ser>
        <c:dLbls>
          <c:showLegendKey val="0"/>
          <c:showVal val="0"/>
          <c:showCatName val="0"/>
          <c:showSerName val="0"/>
          <c:showPercent val="0"/>
          <c:showBubbleSize val="0"/>
        </c:dLbls>
        <c:gapWidth val="219"/>
        <c:overlap val="-27"/>
        <c:axId val="1779722784"/>
        <c:axId val="1779716064"/>
      </c:barChart>
      <c:catAx>
        <c:axId val="177972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reflection blurRad="6350" stA="53000" endA="300" endPos="35500" dir="5400000" sy="-90000" algn="bl" rotWithShape="0"/>
                </a:effectLst>
                <a:latin typeface="+mn-lt"/>
                <a:ea typeface="+mn-ea"/>
                <a:cs typeface="+mn-cs"/>
              </a:defRPr>
            </a:pPr>
            <a:endParaRPr lang="en-US"/>
          </a:p>
        </c:txPr>
        <c:crossAx val="1779716064"/>
        <c:crosses val="autoZero"/>
        <c:auto val="1"/>
        <c:lblAlgn val="ctr"/>
        <c:lblOffset val="100"/>
        <c:noMultiLvlLbl val="0"/>
      </c:catAx>
      <c:valAx>
        <c:axId val="177971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reflection blurRad="6350" stA="53000" endA="300" endPos="35500" dir="5400000" sy="-90000" algn="bl" rotWithShape="0"/>
                </a:effectLst>
                <a:latin typeface="+mn-lt"/>
                <a:ea typeface="+mn-ea"/>
                <a:cs typeface="+mn-cs"/>
              </a:defRPr>
            </a:pPr>
            <a:endParaRPr lang="en-US"/>
          </a:p>
        </c:txPr>
        <c:crossAx val="177972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reflection blurRad="6350" stA="53000" endA="300" endPos="35500" dir="5400000" sy="-90000" algn="bl" rotWithShape="0"/>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2700" cap="flat" cmpd="sng" algn="ctr">
      <a:solidFill>
        <a:schemeClr val="accent6"/>
      </a:solidFill>
      <a:prstDash val="solid"/>
      <a:miter lim="800000"/>
    </a:ln>
    <a:effectLst/>
    <a:scene3d>
      <a:camera prst="orthographicFront"/>
      <a:lightRig rig="threePt" dir="t"/>
    </a:scene3d>
    <a:sp3d prstMaterial="metal">
      <a:bevelT w="88900" h="88900"/>
    </a:sp3d>
  </c:spPr>
  <c:txPr>
    <a:bodyPr/>
    <a:lstStyle/>
    <a:p>
      <a:pPr>
        <a:defRPr b="0" cap="none" spc="0">
          <a:ln w="0"/>
          <a:solidFill>
            <a:schemeClr val="tx1"/>
          </a:solidFill>
          <a:effectLst>
            <a:reflection blurRad="6350" stA="53000" endA="300" endPos="35500" dir="5400000" sy="-90000" algn="bl" rotWithShape="0"/>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[DataExcel_Sembako_Nicholas Elvis.xlsx]dash!PivotTable3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dash!$G$4:$G$19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2024</c:v>
                  </c:pt>
                  <c:pt idx="4">
                    <c:v>2025</c:v>
                  </c:pt>
                </c:lvl>
              </c:multiLvlStrCache>
            </c:multiLvlStrRef>
          </c:cat>
          <c:val>
            <c:numRef>
              <c:f>dash!$H$4:$H$19</c:f>
              <c:numCache>
                <c:formatCode>General</c:formatCode>
                <c:ptCount val="13"/>
                <c:pt idx="0">
                  <c:v>97</c:v>
                </c:pt>
                <c:pt idx="1">
                  <c:v>159</c:v>
                </c:pt>
                <c:pt idx="2">
                  <c:v>156</c:v>
                </c:pt>
                <c:pt idx="3">
                  <c:v>158</c:v>
                </c:pt>
                <c:pt idx="4">
                  <c:v>172</c:v>
                </c:pt>
                <c:pt idx="5">
                  <c:v>138</c:v>
                </c:pt>
                <c:pt idx="6">
                  <c:v>155</c:v>
                </c:pt>
                <c:pt idx="7">
                  <c:v>156</c:v>
                </c:pt>
                <c:pt idx="8">
                  <c:v>181</c:v>
                </c:pt>
                <c:pt idx="9">
                  <c:v>185</c:v>
                </c:pt>
                <c:pt idx="10">
                  <c:v>189</c:v>
                </c:pt>
                <c:pt idx="11">
                  <c:v>165</c:v>
                </c:pt>
                <c:pt idx="12">
                  <c:v>89</c:v>
                </c:pt>
              </c:numCache>
            </c:numRef>
          </c:val>
          <c:smooth val="0"/>
          <c:extLst>
            <c:ext xmlns:c16="http://schemas.microsoft.com/office/drawing/2014/chart" uri="{C3380CC4-5D6E-409C-BE32-E72D297353CC}">
              <c16:uniqueId val="{00000000-34C3-4790-AFFA-3D4D1DFD8523}"/>
            </c:ext>
          </c:extLst>
        </c:ser>
        <c:dLbls>
          <c:showLegendKey val="0"/>
          <c:showVal val="0"/>
          <c:showCatName val="0"/>
          <c:showSerName val="0"/>
          <c:showPercent val="0"/>
          <c:showBubbleSize val="0"/>
        </c:dLbls>
        <c:marker val="1"/>
        <c:smooth val="0"/>
        <c:axId val="1779745344"/>
        <c:axId val="1779753024"/>
      </c:lineChart>
      <c:catAx>
        <c:axId val="177974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53024"/>
        <c:crosses val="autoZero"/>
        <c:auto val="1"/>
        <c:lblAlgn val="ctr"/>
        <c:lblOffset val="100"/>
        <c:noMultiLvlLbl val="0"/>
      </c:catAx>
      <c:valAx>
        <c:axId val="1779753024"/>
        <c:scaling>
          <c:orientation val="minMax"/>
        </c:scaling>
        <c:delete val="0"/>
        <c:axPos val="l"/>
        <c:majorGridlines>
          <c:spPr>
            <a:ln w="19050" cap="flat" cmpd="sng" algn="ctr">
              <a:solidFill>
                <a:schemeClr val="bg1">
                  <a:lumMod val="85000"/>
                </a:schemeClr>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74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594360</xdr:colOff>
      <xdr:row>20</xdr:row>
      <xdr:rowOff>15240</xdr:rowOff>
    </xdr:from>
    <xdr:to>
      <xdr:col>12</xdr:col>
      <xdr:colOff>167640</xdr:colOff>
      <xdr:row>35</xdr:row>
      <xdr:rowOff>15240</xdr:rowOff>
    </xdr:to>
    <xdr:graphicFrame macro="">
      <xdr:nvGraphicFramePr>
        <xdr:cNvPr id="2" name="Chart 1">
          <a:extLst>
            <a:ext uri="{FF2B5EF4-FFF2-40B4-BE49-F238E27FC236}">
              <a16:creationId xmlns:a16="http://schemas.microsoft.com/office/drawing/2014/main" id="{E4203954-F1F7-2A48-0352-792F9A3C4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243840</xdr:colOff>
      <xdr:row>2</xdr:row>
      <xdr:rowOff>15240</xdr:rowOff>
    </xdr:from>
    <xdr:to>
      <xdr:col>15</xdr:col>
      <xdr:colOff>548640</xdr:colOff>
      <xdr:row>17</xdr:row>
      <xdr:rowOff>15240</xdr:rowOff>
    </xdr:to>
    <xdr:graphicFrame macro="">
      <xdr:nvGraphicFramePr>
        <xdr:cNvPr id="4" name="Chart 3">
          <a:extLst>
            <a:ext uri="{FF2B5EF4-FFF2-40B4-BE49-F238E27FC236}">
              <a16:creationId xmlns:a16="http://schemas.microsoft.com/office/drawing/2014/main" id="{F9B544EF-1BDD-6243-33E5-2A316BE63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419100</xdr:colOff>
      <xdr:row>20</xdr:row>
      <xdr:rowOff>15240</xdr:rowOff>
    </xdr:from>
    <xdr:to>
      <xdr:col>15</xdr:col>
      <xdr:colOff>419100</xdr:colOff>
      <xdr:row>33</xdr:row>
      <xdr:rowOff>104775</xdr:rowOff>
    </xdr:to>
    <mc:AlternateContent xmlns:mc="http://schemas.openxmlformats.org/markup-compatibility/2006" xmlns:a14="http://schemas.microsoft.com/office/drawing/2010/main">
      <mc:Choice Requires="a14">
        <xdr:graphicFrame macro="">
          <xdr:nvGraphicFramePr>
            <xdr:cNvPr id="5" name="Product Name">
              <a:extLst>
                <a:ext uri="{FF2B5EF4-FFF2-40B4-BE49-F238E27FC236}">
                  <a16:creationId xmlns:a16="http://schemas.microsoft.com/office/drawing/2014/main" id="{365D426A-9E82-E60C-1149-D9FC0E48444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576560" y="3672840"/>
              <a:ext cx="1828800" cy="24669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20876</xdr:colOff>
      <xdr:row>1</xdr:row>
      <xdr:rowOff>20877</xdr:rowOff>
    </xdr:from>
    <xdr:to>
      <xdr:col>18</xdr:col>
      <xdr:colOff>31315</xdr:colOff>
      <xdr:row>41</xdr:row>
      <xdr:rowOff>146137</xdr:rowOff>
    </xdr:to>
    <xdr:sp macro="" textlink="">
      <xdr:nvSpPr>
        <xdr:cNvPr id="8" name="Rectangle: Rounded Corners 7">
          <a:extLst>
            <a:ext uri="{FF2B5EF4-FFF2-40B4-BE49-F238E27FC236}">
              <a16:creationId xmlns:a16="http://schemas.microsoft.com/office/drawing/2014/main" id="{2CFF8CC3-8A8D-D7FB-0410-8584846C7B7F}"/>
            </a:ext>
          </a:extLst>
        </xdr:cNvPr>
        <xdr:cNvSpPr/>
      </xdr:nvSpPr>
      <xdr:spPr>
        <a:xfrm>
          <a:off x="626301" y="208767"/>
          <a:ext cx="10302658" cy="7640877"/>
        </a:xfrm>
        <a:prstGeom prst="roundRect">
          <a:avLst/>
        </a:prstGeom>
        <a:solidFill>
          <a:schemeClr val="bg1"/>
        </a:solidFill>
        <a:ln>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2</xdr:col>
      <xdr:colOff>325419</xdr:colOff>
      <xdr:row>14</xdr:row>
      <xdr:rowOff>8964</xdr:rowOff>
    </xdr:from>
    <xdr:to>
      <xdr:col>10</xdr:col>
      <xdr:colOff>20619</xdr:colOff>
      <xdr:row>29</xdr:row>
      <xdr:rowOff>8965</xdr:rowOff>
    </xdr:to>
    <xdr:graphicFrame macro="">
      <xdr:nvGraphicFramePr>
        <xdr:cNvPr id="2" name="Chart 1">
          <a:extLst>
            <a:ext uri="{FF2B5EF4-FFF2-40B4-BE49-F238E27FC236}">
              <a16:creationId xmlns:a16="http://schemas.microsoft.com/office/drawing/2014/main" id="{681AC093-B932-40FF-9407-3C3C26783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170329</xdr:colOff>
      <xdr:row>9</xdr:row>
      <xdr:rowOff>161364</xdr:rowOff>
    </xdr:from>
    <xdr:to>
      <xdr:col>16</xdr:col>
      <xdr:colOff>291801</xdr:colOff>
      <xdr:row>24</xdr:row>
      <xdr:rowOff>161364</xdr:rowOff>
    </xdr:to>
    <xdr:graphicFrame macro="">
      <xdr:nvGraphicFramePr>
        <xdr:cNvPr id="3" name="Chart 2">
          <a:extLst>
            <a:ext uri="{FF2B5EF4-FFF2-40B4-BE49-F238E27FC236}">
              <a16:creationId xmlns:a16="http://schemas.microsoft.com/office/drawing/2014/main" id="{6472648E-FEC9-43EE-83B2-4344DF890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182141</xdr:colOff>
      <xdr:row>26</xdr:row>
      <xdr:rowOff>10805</xdr:rowOff>
    </xdr:from>
    <xdr:to>
      <xdr:col>13</xdr:col>
      <xdr:colOff>182141</xdr:colOff>
      <xdr:row>39</xdr:row>
      <xdr:rowOff>101520</xdr:rowOff>
    </xdr:to>
    <mc:AlternateContent xmlns:mc="http://schemas.openxmlformats.org/markup-compatibility/2006">
      <mc:Choice xmlns:a14="http://schemas.microsoft.com/office/drawing/2010/main" Requires="a14">
        <xdr:graphicFrame macro="">
          <xdr:nvGraphicFramePr>
            <xdr:cNvPr id="4" name="Product Name 1">
              <a:extLst>
                <a:ext uri="{FF2B5EF4-FFF2-40B4-BE49-F238E27FC236}">
                  <a16:creationId xmlns:a16="http://schemas.microsoft.com/office/drawing/2014/main" id="{203B6AEE-B378-4DC8-BBAD-FBDD73FC6C50}"/>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6236388" y="4895956"/>
              <a:ext cx="1816274" cy="25332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3</xdr:row>
      <xdr:rowOff>91440</xdr:rowOff>
    </xdr:from>
    <xdr:to>
      <xdr:col>13</xdr:col>
      <xdr:colOff>304800</xdr:colOff>
      <xdr:row>8</xdr:row>
      <xdr:rowOff>129540</xdr:rowOff>
    </xdr:to>
    <xdr:sp macro="" textlink="">
      <xdr:nvSpPr>
        <xdr:cNvPr id="5" name="Rectangle: Rounded Corners 4">
          <a:extLst>
            <a:ext uri="{FF2B5EF4-FFF2-40B4-BE49-F238E27FC236}">
              <a16:creationId xmlns:a16="http://schemas.microsoft.com/office/drawing/2014/main" id="{7E9CB4E9-D741-DA36-4D62-CBCFF2463918}"/>
            </a:ext>
          </a:extLst>
        </xdr:cNvPr>
        <xdr:cNvSpPr/>
      </xdr:nvSpPr>
      <xdr:spPr>
        <a:xfrm>
          <a:off x="2514600" y="640080"/>
          <a:ext cx="5715000" cy="952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D" sz="2800"/>
            <a:t>DASHBOARD PENJUALAN</a:t>
          </a:r>
        </a:p>
      </xdr:txBody>
    </xdr:sp>
    <xdr:clientData/>
  </xdr:twoCellAnchor>
  <xdr:twoCellAnchor>
    <xdr:from>
      <xdr:col>3</xdr:col>
      <xdr:colOff>342900</xdr:colOff>
      <xdr:row>9</xdr:row>
      <xdr:rowOff>104384</xdr:rowOff>
    </xdr:from>
    <xdr:to>
      <xdr:col>6</xdr:col>
      <xdr:colOff>601980</xdr:colOff>
      <xdr:row>13</xdr:row>
      <xdr:rowOff>30481</xdr:rowOff>
    </xdr:to>
    <xdr:sp macro="" textlink="dash!B4">
      <xdr:nvSpPr>
        <xdr:cNvPr id="6" name="TextBox 5">
          <a:extLst>
            <a:ext uri="{FF2B5EF4-FFF2-40B4-BE49-F238E27FC236}">
              <a16:creationId xmlns:a16="http://schemas.microsoft.com/office/drawing/2014/main" id="{0E02BB3A-BE1E-210D-3017-FF84C974A230}"/>
            </a:ext>
          </a:extLst>
        </xdr:cNvPr>
        <xdr:cNvSpPr txBox="1"/>
      </xdr:nvSpPr>
      <xdr:spPr>
        <a:xfrm>
          <a:off x="2159174" y="1795398"/>
          <a:ext cx="2075354" cy="677658"/>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r>
            <a:rPr lang="en-US" sz="1100" b="0" i="0" u="none" strike="noStrike">
              <a:solidFill>
                <a:srgbClr val="000000"/>
              </a:solidFill>
              <a:latin typeface="Calibri"/>
              <a:ea typeface="Calibri"/>
              <a:cs typeface="Calibri"/>
            </a:rPr>
            <a:t>Grand total dengan transfer</a:t>
          </a:r>
          <a:r>
            <a:rPr lang="en-US" sz="1100" b="0" i="0" u="none" strike="noStrike" baseline="0">
              <a:solidFill>
                <a:srgbClr val="000000"/>
              </a:solidFill>
              <a:latin typeface="Calibri"/>
              <a:ea typeface="Calibri"/>
              <a:cs typeface="Calibri"/>
            </a:rPr>
            <a:t> bank</a:t>
          </a:r>
        </a:p>
        <a:p>
          <a:pPr algn="ctr"/>
          <a:fld id="{33E57879-EAB6-47F1-9065-6822A89D02C6}" type="TxLink">
            <a:rPr lang="en-US" sz="1100" b="0" i="0" u="none" strike="noStrike">
              <a:solidFill>
                <a:srgbClr val="000000"/>
              </a:solidFill>
              <a:latin typeface="Calibri"/>
              <a:ea typeface="Calibri"/>
              <a:cs typeface="Calibri"/>
            </a:rPr>
            <a:pPr algn="ctr"/>
            <a:t> Rp59,977,300.00 </a:t>
          </a:fld>
          <a:endParaRPr lang="en-ID"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67.64512789352" createdVersion="8" refreshedVersion="8" minRefreshableVersion="3" recordCount="2000" xr:uid="{620EB611-A2B1-4BC6-B6C8-8608DD903413}">
  <cacheSource type="worksheet">
    <worksheetSource name="Table1"/>
  </cacheSource>
  <cacheFields count="24">
    <cacheField name="Order ID" numFmtId="2">
      <sharedItems/>
    </cacheField>
    <cacheField name="Order Date" numFmtId="164">
      <sharedItems containsSemiMixedTypes="0" containsNonDate="0" containsDate="1" containsString="0" minDate="2024-09-16T00:22:49" maxDate="2025-09-16T17:20:52" count="1866">
        <d v="2025-09-16T17:20:52"/>
        <d v="2025-09-16T11:01:34"/>
        <d v="2025-09-16T03:17:20"/>
        <d v="2025-09-16T01:01:56"/>
        <d v="2025-09-15T19:36:30"/>
        <d v="2025-09-15T13:30:56"/>
        <d v="2025-09-15T06:56:26"/>
        <d v="2025-09-15T06:17:03"/>
        <d v="2025-09-15T05:39:22"/>
        <d v="2025-09-15T05:21:15"/>
        <d v="2025-09-14T08:51:45"/>
        <d v="2025-09-13T22:26:20"/>
        <d v="2025-09-13T16:06:46"/>
        <d v="2025-09-13T07:39:19"/>
        <d v="2025-09-13T07:08:16"/>
        <d v="2025-09-13T06:41:10"/>
        <d v="2025-09-13T00:20:27"/>
        <d v="2025-09-13T00:08:21"/>
        <d v="2025-09-12T14:50:06"/>
        <d v="2025-09-12T12:01:29"/>
        <d v="2025-09-12T10:48:00"/>
        <d v="2025-09-12T08:27:46"/>
        <d v="2025-09-12T03:29:53"/>
        <d v="2025-09-11T07:27:07"/>
        <d v="2025-09-10T11:41:10"/>
        <d v="2025-09-10T07:47:01"/>
        <d v="2025-09-10T00:03:02"/>
        <d v="2025-09-09T21:34:11"/>
        <d v="2025-09-09T15:00:38"/>
        <d v="2025-09-09T11:19:17"/>
        <d v="2025-09-09T11:09:59"/>
        <d v="2025-09-09T02:59:41"/>
        <d v="2025-09-08T23:49:22"/>
        <d v="2025-09-08T06:11:25"/>
        <d v="2025-09-08T04:10:39"/>
        <d v="2025-09-08T03:17:48"/>
        <d v="2025-09-07T23:27:18"/>
        <d v="2025-09-07T09:57:49"/>
        <d v="2025-09-07T09:45:40"/>
        <d v="2025-09-07T07:10:58"/>
        <d v="2025-09-07T03:55:00"/>
        <d v="2025-09-07T00:36:34"/>
        <d v="2025-09-06T10:30:04"/>
        <d v="2025-09-06T05:00:32"/>
        <d v="2025-09-05T21:50:06"/>
        <d v="2025-09-05T18:56:15"/>
        <d v="2025-09-05T14:24:31"/>
        <d v="2025-09-05T11:57:34"/>
        <d v="2025-09-05T10:01:15"/>
        <d v="2025-09-05T06:09:38"/>
        <d v="2025-09-05T05:07:45"/>
        <d v="2025-09-05T03:15:03"/>
        <d v="2025-09-05T01:48:57"/>
        <d v="2025-09-05T01:30:26"/>
        <d v="2025-09-05T01:12:22"/>
        <d v="2025-09-04T15:11:18"/>
        <d v="2025-09-04T08:37:59"/>
        <d v="2025-09-04T02:33:29"/>
        <d v="2025-09-04T02:00:51"/>
        <d v="2025-09-03T22:44:00"/>
        <d v="2025-09-03T19:57:42"/>
        <d v="2025-09-03T16:38:00"/>
        <d v="2025-09-03T11:25:01"/>
        <d v="2025-09-03T01:17:09"/>
        <d v="2025-09-03T01:09:28"/>
        <d v="2025-09-02T23:25:33"/>
        <d v="2025-09-02T23:10:34"/>
        <d v="2025-09-02T21:54:58"/>
        <d v="2025-09-02T20:28:16"/>
        <d v="2025-09-02T19:09:40"/>
        <d v="2025-09-02T14:47:40"/>
        <d v="2025-09-02T13:06:45"/>
        <d v="2025-09-02T10:45:46"/>
        <d v="2025-09-02T01:23:00"/>
        <d v="2025-09-01T23:06:01"/>
        <d v="2025-09-01T21:20:42"/>
        <d v="2025-09-01T09:04:29"/>
        <d v="2025-09-01T05:08:17"/>
        <d v="2025-09-01T05:02:39"/>
        <d v="2025-09-01T04:50:58"/>
        <d v="2025-09-01T04:45:44"/>
        <d v="2025-09-01T04:23:45"/>
        <d v="2025-09-01T01:58:33"/>
        <d v="2025-08-31T10:00:39"/>
        <d v="2025-08-31T07:19:04"/>
        <d v="2025-08-30T10:28:56"/>
        <d v="2025-08-30T06:45:44"/>
        <d v="2025-08-30T05:00:50"/>
        <d v="2025-08-30T00:34:55"/>
        <d v="2025-08-29T23:19:00"/>
        <d v="2025-08-29T16:56:11"/>
        <d v="2025-08-29T14:01:18"/>
        <d v="2025-08-29T08:29:21"/>
        <d v="2025-08-29T08:28:54"/>
        <d v="2025-08-29T08:18:16"/>
        <d v="2025-08-29T06:48:28"/>
        <d v="2025-08-29T06:01:21"/>
        <d v="2025-08-29T05:18:57"/>
        <d v="2025-08-29T02:20:29"/>
        <d v="2025-08-29T02:01:18"/>
        <d v="2025-08-28T17:36:09"/>
        <d v="2025-08-28T12:54:32"/>
        <d v="2025-08-28T04:28:48"/>
        <d v="2025-08-28T02:08:47"/>
        <d v="2025-08-27T16:11:33"/>
        <d v="2025-08-27T13:15:43"/>
        <d v="2025-08-26T12:15:41"/>
        <d v="2025-08-26T10:47:37"/>
        <d v="2025-08-26T09:13:28"/>
        <d v="2025-08-26T05:51:35"/>
        <d v="2025-08-25T21:05:10"/>
        <d v="2025-08-25T09:36:04"/>
        <d v="2025-08-25T08:31:14"/>
        <d v="2025-08-25T02:53:03"/>
        <d v="2025-08-25T00:34:24"/>
        <d v="2025-08-24T23:56:33"/>
        <d v="2025-08-24T17:29:14"/>
        <d v="2025-08-24T13:12:39"/>
        <d v="2025-08-24T03:33:11"/>
        <d v="2025-08-24T03:22:35"/>
        <d v="2025-08-24T01:04:11"/>
        <d v="2025-08-23T19:50:41"/>
        <d v="2025-08-23T16:59:53"/>
        <d v="2025-08-23T11:57:40"/>
        <d v="2025-08-23T01:39:29"/>
        <d v="2025-08-23T00:16:29"/>
        <d v="2025-08-22T22:49:06"/>
        <d v="2025-08-22T22:48:58"/>
        <d v="2025-08-22T21:48:40"/>
        <d v="2025-08-22T17:24:25"/>
        <d v="2025-08-22T12:29:30"/>
        <d v="2025-08-22T10:41:03"/>
        <d v="2025-08-22T09:34:23"/>
        <d v="2025-08-22T08:53:08"/>
        <d v="2025-08-22T07:26:04"/>
        <d v="2025-08-22T04:59:21"/>
        <d v="2025-08-22T04:10:30"/>
        <d v="2025-08-22T01:08:51"/>
        <d v="2025-08-21T20:02:21"/>
        <d v="2025-08-21T13:07:32"/>
        <d v="2025-08-21T12:24:18"/>
        <d v="2025-08-21T02:01:00"/>
        <d v="2025-08-20T23:19:15"/>
        <d v="2025-08-20T21:47:55"/>
        <d v="2025-08-20T15:08:08"/>
        <d v="2025-08-20T14:56:21"/>
        <d v="2025-08-20T14:07:20"/>
        <d v="2025-08-20T00:16:34"/>
        <d v="2025-08-19T18:29:12"/>
        <d v="2025-08-19T18:15:03"/>
        <d v="2025-08-19T14:55:23"/>
        <d v="2025-08-19T08:01:03"/>
        <d v="2025-08-19T03:01:58"/>
        <d v="2025-08-19T01:08:17"/>
        <d v="2025-08-18T20:24:10"/>
        <d v="2025-08-18T15:25:49"/>
        <d v="2025-08-18T14:52:12"/>
        <d v="2025-08-18T11:03:14"/>
        <d v="2025-08-18T04:51:22"/>
        <d v="2025-08-17T20:03:24"/>
        <d v="2025-08-17T19:25:07"/>
        <d v="2025-08-17T15:34:45"/>
        <d v="2025-08-17T11:43:07"/>
        <d v="2025-08-17T08:58:24"/>
        <d v="2025-08-17T05:34:32"/>
        <d v="2025-08-17T04:39:33"/>
        <d v="2025-08-17T01:07:17"/>
        <d v="2025-08-17T01:05:38"/>
        <d v="2025-08-16T21:03:38"/>
        <d v="2025-08-16T19:45:28"/>
        <d v="2025-08-16T17:05:16"/>
        <d v="2025-08-16T14:25:38"/>
        <d v="2025-08-16T13:50:58"/>
        <d v="2025-08-16T02:18:01"/>
        <d v="2025-08-16T01:26:03"/>
        <d v="2025-08-15T22:44:03"/>
        <d v="2025-08-15T19:55:49"/>
        <d v="2025-08-15T18:42:13"/>
        <d v="2025-08-15T10:54:02"/>
        <d v="2025-08-14T22:18:04"/>
        <d v="2025-08-14T19:54:46"/>
        <d v="2025-08-14T09:23:33"/>
        <d v="2025-08-14T08:13:24"/>
        <d v="2025-08-13T07:35:45"/>
        <d v="2025-08-12T09:13:36"/>
        <d v="2025-08-12T04:23:26"/>
        <d v="2025-08-12T00:03:09"/>
        <d v="2025-08-11T07:17:23"/>
        <d v="2025-08-11T05:35:28"/>
        <d v="2025-08-10T18:37:33"/>
        <d v="2025-08-10T00:43:19"/>
        <d v="2025-08-09T12:30:43"/>
        <d v="2025-08-09T11:13:21"/>
        <d v="2025-08-09T08:18:20"/>
        <d v="2025-08-08T23:03:08"/>
        <d v="2025-08-08T20:54:01"/>
        <d v="2025-08-08T19:09:33"/>
        <d v="2025-08-08T18:01:27"/>
        <d v="2025-08-08T16:53:35"/>
        <d v="2025-08-08T07:32:08"/>
        <d v="2025-08-07T21:36:43"/>
        <d v="2025-08-07T18:53:18"/>
        <d v="2025-08-07T15:32:12"/>
        <d v="2025-08-07T11:09:53"/>
        <d v="2025-08-07T10:05:09"/>
        <d v="2025-08-06T22:19:08"/>
        <d v="2025-08-06T12:34:40"/>
        <d v="2025-08-06T09:07:35"/>
        <d v="2025-08-06T08:15:42"/>
        <d v="2025-08-06T07:39:50"/>
        <d v="2025-08-06T00:22:04"/>
        <d v="2025-08-05T16:58:18"/>
        <d v="2025-08-05T13:58:15"/>
        <d v="2025-08-05T13:50:27"/>
        <d v="2025-08-05T08:10:33"/>
        <d v="2025-08-05T05:45:36"/>
        <d v="2025-08-05T04:27:24"/>
        <d v="2025-08-05T01:18:34"/>
        <d v="2025-08-05T00:22:43"/>
        <d v="2025-08-04T22:52:16"/>
        <d v="2025-08-04T17:15:03"/>
        <d v="2025-08-04T15:12:44"/>
        <d v="2025-08-04T11:08:33"/>
        <d v="2025-08-04T09:43:37"/>
        <d v="2025-08-03T16:54:19"/>
        <d v="2025-08-03T16:34:03"/>
        <d v="2025-08-03T12:18:12"/>
        <d v="2025-08-03T09:57:33"/>
        <d v="2025-08-03T09:18:02"/>
        <d v="2025-08-03T09:04:31"/>
        <d v="2025-08-03T02:58:12"/>
        <d v="2025-08-03T02:19:21"/>
        <d v="2025-08-03T01:51:56"/>
        <d v="2025-08-02T18:00:14"/>
        <d v="2025-08-02T11:46:07"/>
        <d v="2025-08-02T08:05:41"/>
        <d v="2025-08-01T19:09:00"/>
        <d v="2025-08-01T09:10:48"/>
        <d v="2025-07-31T23:43:08"/>
        <d v="2025-07-31T19:35:35"/>
        <d v="2025-07-31T04:43:32"/>
        <d v="2025-07-30T22:03:53"/>
        <d v="2025-07-30T20:14:53"/>
        <d v="2025-07-30T10:41:27"/>
        <d v="2025-07-30T01:43:09"/>
        <d v="2025-07-29T18:11:56"/>
        <d v="2025-07-29T15:05:05"/>
        <d v="2025-07-29T13:12:35"/>
        <d v="2025-07-29T08:56:34"/>
        <d v="2025-07-29T07:45:43"/>
        <d v="2025-07-29T07:15:27"/>
        <d v="2025-07-29T03:56:02"/>
        <d v="2025-07-28T21:37:38"/>
        <d v="2025-07-28T21:36:33"/>
        <d v="2025-07-28T16:21:04"/>
        <d v="2025-07-28T10:11:01"/>
        <d v="2025-07-28T08:44:23"/>
        <d v="2025-07-28T06:56:06"/>
        <d v="2025-07-28T06:23:25"/>
        <d v="2025-07-28T04:13:17"/>
        <d v="2025-07-28T01:18:57"/>
        <d v="2025-07-27T13:51:09"/>
        <d v="2025-07-27T08:11:31"/>
        <d v="2025-07-27T03:51:33"/>
        <d v="2025-07-27T02:03:19"/>
        <d v="2025-07-26T17:04:37"/>
        <d v="2025-07-26T14:13:41"/>
        <d v="2025-07-25T19:09:31"/>
        <d v="2025-07-25T18:30:10"/>
        <d v="2025-07-25T12:06:52"/>
        <d v="2025-07-25T03:38:15"/>
        <d v="2025-07-25T02:04:45"/>
        <d v="2025-07-25T00:28:18"/>
        <d v="2025-07-24T23:08:50"/>
        <d v="2025-07-24T20:25:05"/>
        <d v="2025-07-24T18:51:38"/>
        <d v="2025-07-24T14:17:10"/>
        <d v="2025-07-24T07:40:49"/>
        <d v="2025-07-24T02:50:30"/>
        <d v="2025-07-24T02:11:43"/>
        <d v="2025-07-23T21:16:20"/>
        <d v="2025-07-23T17:56:26"/>
        <d v="2025-07-23T15:40:53"/>
        <d v="2025-07-23T15:40:02"/>
        <d v="2025-07-23T14:42:51"/>
        <d v="2025-07-23T11:55:24"/>
        <d v="2025-07-23T09:20:50"/>
        <d v="2025-07-23T05:50:48"/>
        <d v="2025-07-23T02:25:49"/>
        <d v="2025-07-22T22:58:34"/>
        <d v="2025-07-22T21:24:11"/>
        <d v="2025-07-22T17:53:38"/>
        <d v="2025-07-22T17:12:01"/>
        <d v="2025-07-22T14:47:32"/>
        <d v="2025-07-21T20:00:50"/>
        <d v="2025-07-21T05:28:00"/>
        <d v="2025-07-21T04:15:21"/>
        <d v="2025-07-21T01:57:34"/>
        <d v="2025-07-21T01:03:09"/>
        <d v="2025-07-20T22:55:50"/>
        <d v="2025-07-20T22:05:00"/>
        <d v="2025-07-20T20:54:44"/>
        <d v="2025-07-20T13:47:39"/>
        <d v="2025-07-20T12:56:00"/>
        <d v="2025-07-20T11:35:07"/>
        <d v="2025-07-20T07:21:38"/>
        <d v="2025-07-19T18:24:53"/>
        <d v="2025-07-19T14:59:20"/>
        <d v="2025-07-19T13:11:39"/>
        <d v="2025-07-19T11:48:21"/>
        <d v="2025-07-19T09:40:19"/>
        <d v="2025-07-19T09:31:36"/>
        <d v="2025-07-19T02:18:08"/>
        <d v="2025-07-18T19:31:15"/>
        <d v="2025-07-18T06:11:57"/>
        <d v="2025-07-18T04:19:09"/>
        <d v="2025-07-18T00:45:49"/>
        <d v="2025-07-17T15:07:37"/>
        <d v="2025-07-17T14:46:16"/>
        <d v="2025-07-17T13:51:35"/>
        <d v="2025-07-17T11:16:32"/>
        <d v="2025-07-17T10:20:31"/>
        <d v="2025-07-17T09:19:16"/>
        <d v="2025-07-17T00:46:17"/>
        <d v="2025-07-16T16:08:14"/>
        <d v="2025-07-16T03:53:33"/>
        <d v="2025-07-15T16:17:30"/>
        <d v="2025-07-15T14:43:35"/>
        <d v="2025-07-15T14:27:49"/>
        <d v="2025-07-15T13:58:32"/>
        <d v="2025-07-15T13:34:59"/>
        <d v="2025-07-15T11:59:51"/>
        <d v="2025-07-15T07:32:05"/>
        <d v="2025-07-15T04:31:20"/>
        <d v="2025-07-15T02:54:36"/>
        <d v="2025-07-15T01:24:34"/>
        <d v="2025-07-15T01:09:41"/>
        <d v="2025-07-15T00:45:46"/>
        <d v="2025-07-14T17:30:34"/>
        <d v="2025-07-14T11:47:48"/>
        <d v="2025-07-14T09:33:28"/>
        <d v="2025-07-14T00:01:00"/>
        <d v="2025-07-13T23:33:49"/>
        <d v="2025-07-13T21:56:15"/>
        <d v="2025-07-13T18:51:25"/>
        <d v="2025-07-13T09:04:36"/>
        <d v="2025-07-12T23:59:43"/>
        <d v="2025-07-12T06:06:18"/>
        <d v="2025-07-12T04:59:00"/>
        <d v="2025-07-11T23:07:35"/>
        <d v="2025-07-11T18:38:55"/>
        <d v="2025-07-11T16:52:49"/>
        <d v="2025-07-11T14:41:26"/>
        <d v="2025-07-11T14:30:36"/>
        <d v="2025-07-11T06:47:59"/>
        <d v="2025-07-11T05:30:01"/>
        <d v="2025-07-11T02:57:33"/>
        <d v="2025-07-11T02:07:16"/>
        <d v="2025-07-11T01:49:36"/>
        <d v="2025-07-11T00:50:11"/>
        <d v="2025-07-11T00:41:30"/>
        <d v="2025-07-10T22:58:59"/>
        <d v="2025-07-10T20:26:31"/>
        <d v="2025-07-10T17:41:37"/>
        <d v="2025-07-10T00:38:47"/>
        <d v="2025-07-09T23:49:23"/>
        <d v="2025-07-09T21:33:38"/>
        <d v="2025-07-09T21:18:32"/>
        <d v="2025-07-09T16:16:48"/>
        <d v="2025-07-09T06:30:31"/>
        <d v="2025-07-09T01:02:12"/>
        <d v="2025-07-08T15:08:21"/>
        <d v="2025-07-08T12:17:49"/>
        <d v="2025-07-08T10:27:02"/>
        <d v="2025-07-08T08:37:58"/>
        <d v="2025-07-08T03:06:07"/>
        <d v="2025-07-07T19:55:11"/>
        <d v="2025-07-07T08:54:46"/>
        <d v="2025-07-07T05:52:30"/>
        <d v="2025-07-07T00:59:16"/>
        <d v="2025-07-06T12:36:20"/>
        <d v="2025-07-06T08:35:17"/>
        <d v="2025-07-06T05:05:50"/>
        <d v="2025-07-06T00:53:44"/>
        <d v="2025-07-05T16:57:08"/>
        <d v="2025-07-05T15:44:07"/>
        <d v="2025-07-05T02:09:42"/>
        <d v="2025-07-04T22:38:06"/>
        <d v="2025-07-04T14:25:27"/>
        <d v="2025-07-04T10:39:31"/>
        <d v="2025-07-04T10:39:27"/>
        <d v="2025-07-04T06:03:24"/>
        <d v="2025-07-04T05:26:55"/>
        <d v="2025-07-04T05:10:24"/>
        <d v="2025-07-04T04:41:39"/>
        <d v="2025-07-04T00:16:00"/>
        <d v="2025-07-03T22:18:22"/>
        <d v="2025-07-03T18:20:45"/>
        <d v="2025-07-03T11:06:18"/>
        <d v="2025-07-03T10:26:26"/>
        <d v="2025-07-03T00:58:48"/>
        <d v="2025-07-02T21:56:46"/>
        <d v="2025-07-02T21:44:33"/>
        <d v="2025-07-02T21:44:24"/>
        <d v="2025-07-02T19:12:03"/>
        <d v="2025-07-02T09:56:54"/>
        <d v="2025-07-02T09:15:27"/>
        <d v="2025-07-02T04:56:13"/>
        <d v="2025-07-01T20:38:01"/>
        <d v="2025-07-01T18:34:14"/>
        <d v="2025-07-01T18:24:12"/>
        <d v="2025-07-01T15:42:30"/>
        <d v="2025-07-01T14:58:54"/>
        <d v="2025-06-30T03:30:57"/>
        <d v="2025-06-30T03:26:00"/>
        <d v="2025-06-30T02:48:48"/>
        <d v="2025-06-29T20:15:26"/>
        <d v="2025-06-29T10:20:37"/>
        <d v="2025-06-29T05:52:42"/>
        <d v="2025-06-29T03:54:54"/>
        <d v="2025-06-29T00:56:50"/>
        <d v="2025-06-28T12:52:17"/>
        <d v="2025-06-28T11:37:41"/>
        <d v="2025-06-28T08:19:05"/>
        <d v="2025-06-28T03:58:11"/>
        <d v="2025-06-27T20:59:56"/>
        <d v="2025-06-27T19:18:57"/>
        <d v="2025-06-27T13:14:59"/>
        <d v="2025-06-27T01:47:49"/>
        <d v="2025-06-27T00:25:57"/>
        <d v="2025-06-26T21:07:11"/>
        <d v="2025-06-26T20:37:22"/>
        <d v="2025-06-26T12:16:04"/>
        <d v="2025-06-26T09:49:27"/>
        <d v="2025-06-26T06:14:55"/>
        <d v="2025-06-26T02:59:32"/>
        <d v="2025-06-26T01:25:41"/>
        <d v="2025-06-25T20:38:16"/>
        <d v="2025-06-25T07:08:36"/>
        <d v="2025-06-25T00:35:04"/>
        <d v="2025-06-24T22:56:10"/>
        <d v="2025-06-24T16:50:59"/>
        <d v="2025-06-24T14:46:53"/>
        <d v="2025-06-24T02:42:14"/>
        <d v="2025-06-23T19:53:33"/>
        <d v="2025-06-23T14:20:48"/>
        <d v="2025-06-23T12:40:49"/>
        <d v="2025-06-23T10:52:04"/>
        <d v="2025-06-23T03:50:08"/>
        <d v="2025-06-22T21:04:40"/>
        <d v="2025-06-22T17:00:15"/>
        <d v="2025-06-22T16:56:04"/>
        <d v="2025-06-22T16:09:51"/>
        <d v="2025-06-22T16:06:49"/>
        <d v="2025-06-22T13:58:04"/>
        <d v="2025-06-22T08:17:14"/>
        <d v="2025-06-22T06:55:25"/>
        <d v="2025-06-22T05:27:10"/>
        <d v="2025-06-22T01:45:13"/>
        <d v="2025-06-21T23:53:51"/>
        <d v="2025-06-21T17:14:57"/>
        <d v="2025-06-21T15:03:30"/>
        <d v="2025-06-21T14:34:39"/>
        <d v="2025-06-21T13:55:16"/>
        <d v="2025-06-21T11:23:15"/>
        <d v="2025-06-21T04:51:51"/>
        <d v="2025-06-21T02:27:40"/>
        <d v="2025-06-20T18:33:49"/>
        <d v="2025-06-20T15:22:55"/>
        <d v="2025-06-20T11:03:41"/>
        <d v="2025-06-20T08:36:53"/>
        <d v="2025-06-20T07:08:35"/>
        <d v="2025-06-20T04:02:44"/>
        <d v="2025-06-20T00:20:16"/>
        <d v="2025-06-19T16:49:29"/>
        <d v="2025-06-19T04:03:25"/>
        <d v="2025-06-18T20:58:57"/>
        <d v="2025-06-18T17:40:36"/>
        <d v="2025-06-18T16:37:49"/>
        <d v="2025-06-18T14:57:13"/>
        <d v="2025-06-18T14:04:12"/>
        <d v="2025-06-18T13:40:02"/>
        <d v="2025-06-18T10:11:25"/>
        <d v="2025-06-18T07:33:37"/>
        <d v="2025-06-17T15:53:50"/>
        <d v="2025-06-17T13:55:32"/>
        <d v="2025-06-17T10:11:02"/>
        <d v="2025-06-17T09:00:01"/>
        <d v="2025-06-17T06:29:51"/>
        <d v="2025-06-17T06:19:03"/>
        <d v="2025-06-17T04:32:50"/>
        <d v="2025-06-17T03:29:18"/>
        <d v="2025-06-17T02:58:36"/>
        <d v="2025-06-16T22:32:26"/>
        <d v="2025-06-16T20:52:11"/>
        <d v="2025-06-16T20:49:23"/>
        <d v="2025-06-16T19:40:00"/>
        <d v="2025-06-16T18:59:22"/>
        <d v="2025-06-16T09:36:35"/>
        <d v="2025-06-16T07:48:48"/>
        <d v="2025-06-16T04:22:27"/>
        <d v="2025-06-16T01:25:44"/>
        <d v="2025-06-15T13:56:09"/>
        <d v="2025-06-15T13:45:00"/>
        <d v="2025-06-15T11:55:17"/>
        <d v="2025-06-15T10:33:40"/>
        <d v="2025-06-15T06:48:04"/>
        <d v="2025-06-15T02:40:14"/>
        <d v="2025-06-15T01:59:08"/>
        <d v="2025-06-15T00:14:56"/>
        <d v="2025-06-14T17:12:04"/>
        <d v="2025-06-14T07:03:25"/>
        <d v="2025-06-14T04:53:14"/>
        <d v="2025-06-14T00:47:58"/>
        <d v="2025-06-13T23:18:22"/>
        <d v="2025-06-13T20:51:43"/>
        <d v="2025-06-13T14:23:26"/>
        <d v="2025-06-13T12:43:22"/>
        <d v="2025-06-13T11:34:00"/>
        <d v="2025-06-13T09:29:06"/>
        <d v="2025-06-13T03:43:49"/>
        <d v="2025-06-12T22:18:08"/>
        <d v="2025-06-12T22:06:15"/>
        <d v="2025-06-12T19:07:28"/>
        <d v="2025-06-12T19:04:03"/>
        <d v="2025-06-12T13:44:02"/>
        <d v="2025-06-12T11:31:48"/>
        <d v="2025-06-12T08:33:32"/>
        <d v="2025-06-12T08:10:56"/>
        <d v="2025-06-12T07:27:08"/>
        <d v="2025-06-11T20:34:26"/>
        <d v="2025-06-11T17:59:20"/>
        <d v="2025-06-11T13:44:01"/>
        <d v="2025-06-10T13:01:34"/>
        <d v="2025-06-10T12:25:34"/>
        <d v="2025-06-10T11:42:09"/>
        <d v="2025-06-10T11:08:28"/>
        <d v="2025-06-10T09:06:24"/>
        <d v="2025-06-10T07:56:42"/>
        <d v="2025-06-10T07:29:28"/>
        <d v="2025-06-10T07:25:27"/>
        <d v="2025-06-09T18:50:04"/>
        <d v="2025-06-09T17:34:57"/>
        <d v="2025-06-09T17:25:41"/>
        <d v="2025-06-09T13:01:18"/>
        <d v="2025-06-09T05:22:49"/>
        <d v="2025-06-09T02:49:18"/>
        <d v="2025-06-08T22:57:34"/>
        <d v="2025-06-08T22:22:23"/>
        <d v="2025-06-08T18:27:42"/>
        <d v="2025-06-08T17:21:53"/>
        <d v="2025-06-07T17:30:36"/>
        <d v="2025-06-07T16:59:44"/>
        <d v="2025-06-07T15:46:31"/>
        <d v="2025-06-07T07:15:49"/>
        <d v="2025-06-07T04:29:29"/>
        <d v="2025-06-06T17:07:37"/>
        <d v="2025-06-06T10:28:11"/>
        <d v="2025-06-06T09:57:25"/>
        <d v="2025-06-06T01:09:38"/>
        <d v="2025-06-06T00:25:14"/>
        <d v="2025-06-05T13:18:48"/>
        <d v="2025-06-05T07:33:48"/>
        <d v="2025-06-05T07:00:24"/>
        <d v="2025-06-05T00:46:26"/>
        <d v="2025-06-04T16:36:19"/>
        <d v="2025-06-04T12:18:16"/>
        <d v="2025-06-04T09:44:14"/>
        <d v="2025-06-04T06:00:28"/>
        <d v="2025-06-04T01:08:41"/>
        <d v="2025-06-03T07:18:14"/>
        <d v="2025-06-03T05:51:02"/>
        <d v="2025-06-02T23:41:35"/>
        <d v="2025-06-02T22:09:28"/>
        <d v="2025-06-02T21:17:25"/>
        <d v="2025-06-02T15:55:45"/>
        <d v="2025-06-02T14:49:55"/>
        <d v="2025-06-02T13:47:15"/>
        <d v="2025-06-02T08:46:38"/>
        <d v="2025-06-02T00:26:07"/>
        <d v="2025-06-01T21:04:22"/>
        <d v="2025-06-01T12:05:16"/>
        <d v="2025-06-01T10:30:46"/>
        <d v="2025-06-01T00:31:16"/>
        <d v="2025-05-31T14:15:20"/>
        <d v="2025-05-31T11:33:30"/>
        <d v="2025-05-31T08:02:27"/>
        <d v="2025-05-31T06:41:22"/>
        <d v="2025-05-31T03:32:58"/>
        <d v="2025-05-30T22:27:58"/>
        <d v="2025-05-30T21:01:35"/>
        <d v="2025-05-30T06:15:07"/>
        <d v="2025-05-29T20:50:23"/>
        <d v="2025-05-29T15:52:55"/>
        <d v="2025-05-28T21:52:11"/>
        <d v="2025-05-28T15:29:28"/>
        <d v="2025-05-28T15:25:51"/>
        <d v="2025-05-27T16:42:49"/>
        <d v="2025-05-27T04:48:54"/>
        <d v="2025-05-27T02:57:23"/>
        <d v="2025-05-27T00:10:27"/>
        <d v="2025-05-26T23:39:32"/>
        <d v="2025-05-26T14:01:41"/>
        <d v="2025-05-26T06:42:46"/>
        <d v="2025-05-26T04:41:02"/>
        <d v="2025-05-26T03:21:16"/>
        <d v="2025-05-26T02:48:51"/>
        <d v="2025-05-26T02:06:53"/>
        <d v="2025-05-25T22:10:19"/>
        <d v="2025-05-25T22:04:51"/>
        <d v="2025-05-25T18:36:14"/>
        <d v="2025-05-25T15:50:31"/>
        <d v="2025-05-25T15:45:40"/>
        <d v="2025-05-25T15:18:57"/>
        <d v="2025-05-25T10:13:08"/>
        <d v="2025-05-24T23:55:53"/>
        <d v="2025-05-24T19:24:28"/>
        <d v="2025-05-24T18:21:04"/>
        <d v="2025-05-24T08:16:23"/>
        <d v="2025-05-24T00:54:21"/>
        <d v="2025-05-24T00:48:35"/>
        <d v="2025-05-23T20:09:37"/>
        <d v="2025-05-23T08:58:59"/>
        <d v="2025-05-23T08:38:46"/>
        <d v="2025-05-23T04:07:33"/>
        <d v="2025-05-22T21:26:49"/>
        <d v="2025-05-22T18:27:25"/>
        <d v="2025-05-22T15:54:16"/>
        <d v="2025-05-22T09:25:22"/>
        <d v="2025-05-22T07:15:13"/>
        <d v="2025-05-21T17:38:41"/>
        <d v="2025-05-21T12:22:54"/>
        <d v="2025-05-21T09:50:36"/>
        <d v="2025-05-20T23:33:52"/>
        <d v="2025-05-20T20:40:13"/>
        <d v="2025-05-20T17:39:36"/>
        <d v="2025-05-20T10:12:19"/>
        <d v="2025-05-20T00:47:07"/>
        <d v="2025-05-19T17:52:16"/>
        <d v="2025-05-19T06:18:52"/>
        <d v="2025-05-19T02:05:40"/>
        <d v="2025-05-18T23:53:25"/>
        <d v="2025-05-18T22:27:47"/>
        <d v="2025-05-18T22:00:00"/>
        <d v="2025-05-18T14:48:30"/>
        <d v="2025-05-18T04:54:06"/>
        <d v="2025-05-18T00:34:09"/>
        <d v="2025-05-17T21:47:41"/>
        <d v="2025-05-17T14:12:32"/>
        <d v="2025-05-17T10:16:08"/>
        <d v="2025-05-16T23:49:24"/>
        <d v="2025-05-16T21:34:13"/>
        <d v="2025-05-16T17:54:05"/>
        <d v="2025-05-16T03:48:15"/>
        <d v="2025-05-16T03:28:33"/>
        <d v="2025-05-15T18:53:06"/>
        <d v="2025-05-15T16:22:30"/>
        <d v="2025-05-15T14:58:52"/>
        <d v="2025-05-15T13:39:31"/>
        <d v="2025-05-15T08:13:27"/>
        <d v="2025-05-15T07:29:26"/>
        <d v="2025-05-15T01:58:30"/>
        <d v="2025-05-15T01:54:44"/>
        <d v="2025-05-14T17:38:35"/>
        <d v="2025-05-14T16:29:14"/>
        <d v="2025-05-14T13:30:25"/>
        <d v="2025-05-14T12:28:50"/>
        <d v="2025-05-14T12:17:21"/>
        <d v="2025-05-14T10:32:18"/>
        <d v="2025-05-14T07:14:29"/>
        <d v="2025-05-14T06:10:59"/>
        <d v="2025-05-14T05:54:30"/>
        <d v="2025-05-14T02:14:18"/>
        <d v="2025-05-14T00:49:56"/>
        <d v="2025-05-13T19:12:13"/>
        <d v="2025-05-13T17:20:51"/>
        <d v="2025-05-13T14:02:46"/>
        <d v="2025-05-13T13:40:43"/>
        <d v="2025-05-13T10:26:04"/>
        <d v="2025-05-13T10:08:28"/>
        <d v="2025-05-13T08:11:54"/>
        <d v="2025-05-13T05:39:30"/>
        <d v="2025-05-13T04:49:33"/>
        <d v="2025-05-12T19:16:51"/>
        <d v="2025-05-12T18:22:12"/>
        <d v="2025-05-12T16:21:18"/>
        <d v="2025-05-12T13:09:42"/>
        <d v="2025-05-12T12:41:50"/>
        <d v="2025-05-12T12:34:39"/>
        <d v="2025-05-12T11:55:40"/>
        <d v="2025-05-11T08:27:10"/>
        <d v="2025-05-11T08:23:45"/>
        <d v="2025-05-11T08:02:30"/>
        <d v="2025-05-11T02:58:53"/>
        <d v="2025-05-11T01:17:10"/>
        <d v="2025-05-10T23:01:13"/>
        <d v="2025-05-10T22:06:12"/>
        <d v="2025-05-10T14:13:03"/>
        <d v="2025-05-10T12:20:02"/>
        <d v="2025-05-10T10:37:30"/>
        <d v="2025-05-10T08:32:59"/>
        <d v="2025-05-10T06:57:49"/>
        <d v="2025-05-10T02:05:16"/>
        <d v="2025-05-09T23:04:04"/>
        <d v="2025-05-09T19:02:42"/>
        <d v="2025-05-09T14:55:30"/>
        <d v="2025-05-09T11:09:52"/>
        <d v="2025-05-09T11:01:41"/>
        <d v="2025-05-09T09:32:30"/>
        <d v="2025-05-09T03:18:23"/>
        <d v="2025-05-08T21:33:46"/>
        <d v="2025-05-08T20:47:38"/>
        <d v="2025-05-08T20:02:13"/>
        <d v="2025-05-08T18:51:05"/>
        <d v="2025-05-08T18:12:01"/>
        <d v="2025-05-08T03:19:01"/>
        <d v="2025-05-08T02:59:07"/>
        <d v="2025-05-07T21:08:14"/>
        <d v="2025-05-07T16:18:40"/>
        <d v="2025-05-07T07:15:06"/>
        <d v="2025-05-06T23:28:00"/>
        <d v="2025-05-06T18:04:37"/>
        <d v="2025-05-06T17:23:16"/>
        <d v="2025-05-06T09:57:01"/>
        <d v="2025-05-06T07:44:10"/>
        <d v="2025-05-06T06:52:41"/>
        <d v="2025-05-06T00:50:46"/>
        <d v="2025-05-06T00:09:45"/>
        <d v="2025-05-05T17:31:53"/>
        <d v="2025-05-05T14:15:26"/>
        <d v="2025-05-05T12:19:41"/>
        <d v="2025-05-05T11:33:41"/>
        <d v="2025-05-05T11:21:07"/>
        <d v="2025-05-05T06:19:40"/>
        <d v="2025-05-04T22:41:54"/>
        <d v="2025-05-04T15:46:52"/>
        <d v="2025-05-04T11:57:42"/>
        <d v="2025-05-04T07:41:13"/>
        <d v="2025-05-04T06:19:45"/>
        <d v="2025-05-03T17:32:19"/>
        <d v="2025-05-02T13:07:50"/>
        <d v="2025-05-02T11:42:24"/>
        <d v="2025-05-02T08:43:53"/>
        <d v="2025-05-02T03:31:17"/>
        <d v="2025-05-02T00:24:32"/>
        <d v="2025-05-01T19:33:31"/>
        <d v="2025-05-01T17:58:09"/>
        <d v="2025-05-01T09:22:09"/>
        <d v="2025-05-01T00:51:58"/>
        <d v="2025-04-30T04:55:13"/>
        <d v="2025-04-29T22:11:17"/>
        <d v="2025-04-29T20:16:29"/>
        <d v="2025-04-29T08:26:11"/>
        <d v="2025-04-29T01:27:08"/>
        <d v="2025-04-28T18:39:33"/>
        <d v="2025-04-28T16:33:51"/>
        <d v="2025-04-28T14:23:50"/>
        <d v="2025-04-28T11:02:01"/>
        <d v="2025-04-28T07:20:53"/>
        <d v="2025-04-28T02:13:59"/>
        <d v="2025-04-28T01:57:38"/>
        <d v="2025-04-27T23:01:57"/>
        <d v="2025-04-27T12:58:04"/>
        <d v="2025-04-27T08:55:40"/>
        <d v="2025-04-27T07:54:25"/>
        <d v="2025-04-27T06:22:19"/>
        <d v="2025-04-27T04:38:19"/>
        <d v="2025-04-27T03:42:23"/>
        <d v="2025-04-27T01:11:14"/>
        <d v="2025-04-26T20:59:30"/>
        <d v="2025-04-26T15:43:44"/>
        <d v="2025-04-26T11:05:34"/>
        <d v="2025-04-26T10:50:05"/>
        <d v="2025-04-26T07:15:36"/>
        <d v="2025-04-26T05:32:10"/>
        <d v="2025-04-25T16:21:54"/>
        <d v="2025-04-25T16:17:32"/>
        <d v="2025-04-25T15:15:05"/>
        <d v="2025-04-25T13:01:39"/>
        <d v="2025-04-25T11:30:19"/>
        <d v="2025-04-25T06:38:46"/>
        <d v="2025-04-25T05:31:39"/>
        <d v="2025-04-24T20:02:28"/>
        <d v="2025-04-24T14:43:53"/>
        <d v="2025-04-24T14:27:05"/>
        <d v="2025-04-23T20:07:48"/>
        <d v="2025-04-23T17:38:20"/>
        <d v="2025-04-23T11:29:48"/>
        <d v="2025-04-23T11:03:22"/>
        <d v="2025-04-23T04:01:23"/>
        <d v="2025-04-23T00:20:44"/>
        <d v="2025-04-22T14:55:33"/>
        <d v="2025-04-22T09:13:38"/>
        <d v="2025-04-22T07:08:26"/>
        <d v="2025-04-22T05:46:19"/>
        <d v="2025-04-22T00:27:36"/>
        <d v="2025-04-21T05:48:04"/>
        <d v="2025-04-21T05:38:12"/>
        <d v="2025-04-21T05:28:11"/>
        <d v="2025-04-20T21:33:41"/>
        <d v="2025-04-20T21:26:37"/>
        <d v="2025-04-20T08:54:44"/>
        <d v="2025-04-20T04:33:08"/>
        <d v="2025-04-19T17:05:44"/>
        <d v="2025-04-19T03:45:44"/>
        <d v="2025-04-18T17:45:56"/>
        <d v="2025-04-18T09:18:36"/>
        <d v="2025-04-18T08:54:27"/>
        <d v="2025-04-17T22:45:36"/>
        <d v="2025-04-17T21:52:23"/>
        <d v="2025-04-17T18:17:08"/>
        <d v="2025-04-17T14:52:24"/>
        <d v="2025-04-17T01:07:08"/>
        <d v="2025-04-16T16:49:13"/>
        <d v="2025-04-16T12:22:58"/>
        <d v="2025-04-16T11:19:19"/>
        <d v="2025-04-16T08:54:59"/>
        <d v="2025-04-16T03:35:36"/>
        <d v="2025-04-16T03:28:40"/>
        <d v="2025-04-15T18:51:56"/>
        <d v="2025-04-15T12:12:29"/>
        <d v="2025-04-15T10:49:06"/>
        <d v="2025-04-15T08:46:56"/>
        <d v="2025-04-14T15:33:28"/>
        <d v="2025-04-14T04:54:41"/>
        <d v="2025-04-14T03:27:58"/>
        <d v="2025-04-14T00:45:49"/>
        <d v="2025-04-13T18:45:32"/>
        <d v="2025-04-13T18:15:06"/>
        <d v="2025-04-13T17:08:50"/>
        <d v="2025-04-13T15:34:46"/>
        <d v="2025-04-13T13:01:05"/>
        <d v="2025-04-13T09:08:44"/>
        <d v="2025-04-13T07:25:40"/>
        <d v="2025-04-13T06:54:41"/>
        <d v="2025-04-13T06:25:53"/>
        <d v="2025-04-13T02:08:50"/>
        <d v="2025-04-13T02:07:31"/>
        <d v="2025-04-12T15:11:50"/>
        <d v="2025-04-12T11:09:50"/>
        <d v="2025-04-12T10:27:32"/>
        <d v="2025-04-12T07:50:31"/>
        <d v="2025-04-11T19:54:21"/>
        <d v="2025-04-11T18:43:16"/>
        <d v="2025-04-11T15:09:51"/>
        <d v="2025-04-11T09:06:27"/>
        <d v="2025-04-11T08:36:23"/>
        <d v="2025-04-11T06:51:07"/>
        <d v="2025-04-11T02:52:51"/>
        <d v="2025-04-10T22:20:07"/>
        <d v="2025-04-10T18:53:20"/>
        <d v="2025-04-10T14:05:27"/>
        <d v="2025-04-10T13:52:19"/>
        <d v="2025-04-10T13:16:00"/>
        <d v="2025-04-10T08:15:30"/>
        <d v="2025-04-10T07:09:41"/>
        <d v="2025-04-10T06:41:49"/>
        <d v="2025-04-09T21:46:11"/>
        <d v="2025-04-09T14:37:45"/>
        <d v="2025-04-09T14:25:12"/>
        <d v="2025-04-09T09:39:22"/>
        <d v="2025-04-08T21:37:36"/>
        <d v="2025-04-08T10:34:31"/>
        <d v="2025-04-08T03:14:51"/>
        <d v="2025-04-08T02:30:39"/>
        <d v="2025-04-08T01:01:18"/>
        <d v="2025-04-07T18:15:01"/>
        <d v="2025-04-07T11:26:02"/>
        <d v="2025-04-07T02:52:18"/>
        <d v="2025-04-07T02:37:16"/>
        <d v="2025-04-06T22:31:26"/>
        <d v="2025-04-06T14:32:03"/>
        <d v="2025-04-06T00:43:52"/>
        <d v="2025-04-05T16:55:50"/>
        <d v="2025-04-05T08:15:42"/>
        <d v="2025-04-05T07:55:04"/>
        <d v="2025-04-05T07:13:11"/>
        <d v="2025-04-05T02:14:15"/>
        <d v="2025-04-04T23:09:29"/>
        <d v="2025-04-04T21:10:27"/>
        <d v="2025-04-04T13:08:11"/>
        <d v="2025-04-04T07:51:06"/>
        <d v="2025-04-04T05:08:49"/>
        <d v="2025-04-04T03:16:24"/>
        <d v="2025-04-03T23:55:48"/>
        <d v="2025-04-03T13:51:10"/>
        <d v="2025-04-03T06:39:18"/>
        <d v="2025-04-03T05:12:50"/>
        <d v="2025-04-03T04:49:05"/>
        <d v="2025-04-03T04:02:23"/>
        <d v="2025-04-03T01:05:32"/>
        <d v="2025-04-02T17:45:19"/>
        <d v="2025-04-01T12:22:07"/>
        <d v="2025-04-01T11:59:06"/>
        <d v="2025-04-01T06:20:46"/>
        <d v="2025-04-01T04:14:59"/>
        <d v="2025-04-01T04:10:32"/>
        <d v="2025-03-31T19:03:47"/>
        <d v="2025-03-31T18:38:01"/>
        <d v="2025-03-31T05:10:04"/>
        <d v="2025-03-30T20:01:28"/>
        <d v="2025-03-30T12:16:04"/>
        <d v="2025-03-30T11:46:34"/>
        <d v="2025-03-30T05:43:44"/>
        <d v="2025-03-29T15:22:48"/>
        <d v="2025-03-29T14:20:33"/>
        <d v="2025-03-29T08:47:13"/>
        <d v="2025-03-29T07:54:16"/>
        <d v="2025-03-29T05:14:27"/>
        <d v="2025-03-29T00:31:07"/>
        <d v="2025-03-28T23:32:59"/>
        <d v="2025-03-28T21:14:26"/>
        <d v="2025-03-28T15:50:12"/>
        <d v="2025-03-28T08:19:25"/>
        <d v="2025-03-27T22:26:13"/>
        <d v="2025-03-27T20:43:53"/>
        <d v="2025-03-27T18:50:14"/>
        <d v="2025-03-27T10:54:39"/>
        <d v="2025-03-27T10:12:25"/>
        <d v="2025-03-27T09:02:38"/>
        <d v="2025-03-27T03:46:01"/>
        <d v="2025-03-27T03:41:22"/>
        <d v="2025-03-27T02:44:00"/>
        <d v="2025-03-27T01:41:27"/>
        <d v="2025-03-26T11:43:44"/>
        <d v="2025-03-26T10:42:53"/>
        <d v="2025-03-26T06:09:57"/>
        <d v="2025-03-26T05:22:29"/>
        <d v="2025-03-26T00:00:52"/>
        <d v="2025-03-25T23:22:51"/>
        <d v="2025-03-25T23:02:43"/>
        <d v="2025-03-25T20:21:18"/>
        <d v="2025-03-25T19:43:30"/>
        <d v="2025-03-25T17:06:28"/>
        <d v="2025-03-25T15:05:46"/>
        <d v="2025-03-25T12:15:38"/>
        <d v="2025-03-24T08:00:33"/>
        <d v="2025-03-23T20:28:04"/>
        <d v="2025-03-23T05:15:27"/>
        <d v="2025-03-23T01:45:59"/>
        <d v="2025-03-22T21:32:00"/>
        <d v="2025-03-22T07:37:13"/>
        <d v="2025-03-22T00:23:16"/>
        <d v="2025-03-21T14:08:29"/>
        <d v="2025-03-21T09:59:37"/>
        <d v="2025-03-21T06:35:45"/>
        <d v="2025-03-21T06:17:24"/>
        <d v="2025-03-21T04:23:15"/>
        <d v="2025-03-21T02:21:20"/>
        <d v="2025-03-21T00:39:44"/>
        <d v="2025-03-20T20:22:40"/>
        <d v="2025-03-20T16:18:35"/>
        <d v="2025-03-20T16:07:34"/>
        <d v="2025-03-20T08:19:00"/>
        <d v="2025-03-20T07:44:09"/>
        <d v="2025-03-20T06:49:42"/>
        <d v="2025-03-20T05:04:39"/>
        <d v="2025-03-20T01:41:52"/>
        <d v="2025-03-20T00:55:22"/>
        <d v="2025-03-20T00:30:34"/>
        <d v="2025-03-19T19:49:49"/>
        <d v="2025-03-19T16:25:09"/>
        <d v="2025-03-19T12:33:49"/>
        <d v="2025-03-19T11:43:04"/>
        <d v="2025-03-18T23:18:40"/>
        <d v="2025-03-18T12:10:48"/>
        <d v="2025-03-18T03:34:33"/>
        <d v="2025-03-17T08:34:01"/>
        <d v="2025-03-16T14:36:54"/>
        <d v="2025-03-16T12:08:50"/>
        <d v="2025-03-16T08:16:17"/>
        <d v="2025-03-16T06:22:35"/>
        <d v="2025-03-15T23:34:53"/>
        <d v="2025-03-15T15:42:17"/>
        <d v="2025-03-15T13:36:59"/>
        <d v="2025-03-15T12:43:31"/>
        <d v="2025-03-15T08:54:39"/>
        <d v="2025-03-15T07:28:38"/>
        <d v="2025-03-15T06:41:22"/>
        <d v="2025-03-15T05:08:09"/>
        <d v="2025-03-14T23:06:32"/>
        <d v="2025-03-14T15:28:54"/>
        <d v="2025-03-14T08:39:42"/>
        <d v="2025-03-14T04:12:34"/>
        <d v="2025-03-14T03:11:36"/>
        <d v="2025-03-14T02:30:52"/>
        <d v="2025-03-13T16:14:54"/>
        <d v="2025-03-13T10:13:11"/>
        <d v="2025-03-13T04:25:13"/>
        <d v="2025-03-12T20:46:40"/>
        <d v="2025-03-12T01:11:13"/>
        <d v="2025-03-11T17:37:34"/>
        <d v="2025-03-11T14:28:07"/>
        <d v="2025-03-11T07:11:05"/>
        <d v="2025-03-11T05:10:04"/>
        <d v="2025-03-10T23:37:03"/>
        <d v="2025-03-10T17:42:27"/>
        <d v="2025-03-10T06:32:01"/>
        <d v="2025-03-10T00:47:22"/>
        <d v="2025-03-09T23:53:48"/>
        <d v="2025-03-09T17:46:29"/>
        <d v="2025-03-09T12:01:40"/>
        <d v="2025-03-09T09:51:39"/>
        <d v="2025-03-09T07:33:56"/>
        <d v="2025-03-09T04:54:14"/>
        <d v="2025-03-09T03:04:28"/>
        <d v="2025-03-08T23:51:39"/>
        <d v="2025-03-08T13:11:38"/>
        <d v="2025-03-08T10:18:44"/>
        <d v="2025-03-07T20:08:16"/>
        <d v="2025-03-07T12:58:25"/>
        <d v="2025-03-07T12:31:32"/>
        <d v="2025-03-07T05:29:45"/>
        <d v="2025-03-07T03:45:13"/>
        <d v="2025-03-07T02:15:49"/>
        <d v="2025-03-06T19:55:58"/>
        <d v="2025-03-05T19:47:43"/>
        <d v="2025-03-05T15:03:15"/>
        <d v="2025-03-05T14:43:43"/>
        <d v="2025-03-05T10:32:34"/>
        <d v="2025-03-05T03:48:42"/>
        <d v="2025-03-05T01:38:02"/>
        <d v="2025-03-05T00:06:25"/>
        <d v="2025-03-04T21:07:52"/>
        <d v="2025-03-04T12:13:07"/>
        <d v="2025-03-04T10:46:15"/>
        <d v="2025-03-04T07:04:35"/>
        <d v="2025-03-04T04:10:02"/>
        <d v="2025-03-04T02:36:26"/>
        <d v="2025-03-03T22:43:38"/>
        <d v="2025-03-03T22:24:56"/>
        <d v="2025-03-03T14:24:56"/>
        <d v="2025-03-03T13:17:52"/>
        <d v="2025-03-03T08:21:42"/>
        <d v="2025-03-02T19:20:02"/>
        <d v="2025-03-02T18:36:27"/>
        <d v="2025-03-02T06:24:23"/>
        <d v="2025-03-01T20:05:20"/>
        <d v="2025-03-01T19:56:52"/>
        <d v="2025-03-01T17:55:56"/>
        <d v="2025-03-01T13:37:10"/>
        <d v="2025-03-01T06:31:13"/>
        <d v="2025-03-01T03:29:07"/>
        <d v="2025-02-28T22:27:28"/>
        <d v="2025-02-28T21:18:44"/>
        <d v="2025-02-28T20:50:53"/>
        <d v="2025-02-28T19:22:52"/>
        <d v="2025-02-28T14:46:58"/>
        <d v="2025-02-28T08:03:01"/>
        <d v="2025-02-28T07:31:10"/>
        <d v="2025-02-28T06:16:30"/>
        <d v="2025-02-27T14:19:46"/>
        <d v="2025-02-27T14:00:34"/>
        <d v="2025-02-27T13:15:25"/>
        <d v="2025-02-27T12:49:33"/>
        <d v="2025-02-27T00:56:28"/>
        <d v="2025-02-26T21:01:50"/>
        <d v="2025-02-26T15:19:37"/>
        <d v="2025-02-26T14:11:49"/>
        <d v="2025-02-26T13:10:12"/>
        <d v="2025-02-26T10:14:30"/>
        <d v="2025-02-26T04:41:24"/>
        <d v="2025-02-26T03:15:16"/>
        <d v="2025-02-25T19:38:07"/>
        <d v="2025-02-25T09:29:09"/>
        <d v="2025-02-25T07:36:05"/>
        <d v="2025-02-25T07:33:04"/>
        <d v="2025-02-24T21:05:19"/>
        <d v="2025-02-24T20:58:49"/>
        <d v="2025-02-24T16:35:42"/>
        <d v="2025-02-24T15:44:28"/>
        <d v="2025-02-24T12:19:54"/>
        <d v="2025-02-24T05:28:17"/>
        <d v="2025-02-24T02:49:10"/>
        <d v="2025-02-24T01:49:58"/>
        <d v="2025-02-23T22:36:30"/>
        <d v="2025-02-23T20:38:29"/>
        <d v="2025-02-23T19:24:05"/>
        <d v="2025-02-23T11:51:26"/>
        <d v="2025-02-23T03:00:01"/>
        <d v="2025-02-23T02:42:29"/>
        <d v="2025-02-23T02:04:06"/>
        <d v="2025-02-22T23:01:30"/>
        <d v="2025-02-22T09:57:39"/>
        <d v="2025-02-22T08:50:05"/>
        <d v="2025-02-22T07:42:22"/>
        <d v="2025-02-22T05:42:37"/>
        <d v="2025-02-22T00:56:07"/>
        <d v="2025-02-20T11:05:23"/>
        <d v="2025-02-20T08:56:51"/>
        <d v="2025-02-20T07:32:03"/>
        <d v="2025-02-20T02:14:41"/>
        <d v="2025-02-20T00:58:15"/>
        <d v="2025-02-19T17:27:01"/>
        <d v="2025-02-19T07:55:37"/>
        <d v="2025-02-19T07:41:25"/>
        <d v="2025-02-19T06:45:31"/>
        <d v="2025-02-18T20:26:34"/>
        <d v="2025-02-18T06:55:18"/>
        <d v="2025-02-18T01:02:06"/>
        <d v="2025-02-17T21:58:02"/>
        <d v="2025-02-17T15:05:25"/>
        <d v="2025-02-17T14:21:42"/>
        <d v="2025-02-17T12:29:00"/>
        <d v="2025-02-16T22:55:19"/>
        <d v="2025-02-16T18:42:56"/>
        <d v="2025-02-16T08:20:03"/>
        <d v="2025-02-15T22:11:38"/>
        <d v="2025-02-15T18:21:12"/>
        <d v="2025-02-15T14:43:13"/>
        <d v="2025-02-14T17:04:39"/>
        <d v="2025-02-14T13:53:04"/>
        <d v="2025-02-14T09:29:05"/>
        <d v="2025-02-13T19:01:27"/>
        <d v="2025-02-13T13:51:31"/>
        <d v="2025-02-13T12:30:43"/>
        <d v="2025-02-13T08:03:27"/>
        <d v="2025-02-13T07:11:38"/>
        <d v="2025-02-12T23:05:26"/>
        <d v="2025-02-12T17:03:32"/>
        <d v="2025-02-12T06:49:27"/>
        <d v="2025-02-12T01:58:43"/>
        <d v="2025-02-11T16:54:39"/>
        <d v="2025-02-11T11:21:28"/>
        <d v="2025-02-11T00:55:20"/>
        <d v="2025-02-11T00:47:16"/>
        <d v="2025-02-10T22:44:15"/>
        <d v="2025-02-10T18:37:26"/>
        <d v="2025-02-10T14:40:27"/>
        <d v="2025-02-10T07:09:51"/>
        <d v="2025-02-10T04:00:06"/>
        <d v="2025-02-09T08:57:28"/>
        <d v="2025-02-09T03:43:07"/>
        <d v="2025-02-08T21:27:54"/>
        <d v="2025-02-08T21:20:57"/>
        <d v="2025-02-08T16:12:03"/>
        <d v="2025-02-08T13:27:37"/>
        <d v="2025-02-08T08:58:25"/>
        <d v="2025-02-08T04:05:23"/>
        <d v="2025-02-07T23:07:49"/>
        <d v="2025-02-07T18:56:27"/>
        <d v="2025-02-07T09:34:09"/>
        <d v="2025-02-07T05:52:57"/>
        <d v="2025-02-07T04:56:57"/>
        <d v="2025-02-06T20:38:21"/>
        <d v="2025-02-06T13:33:46"/>
        <d v="2025-02-06T08:49:45"/>
        <d v="2025-02-06T07:18:07"/>
        <d v="2025-02-06T05:33:13"/>
        <d v="2025-02-06T01:47:11"/>
        <d v="2025-02-05T19:54:48"/>
        <d v="2025-02-05T17:13:17"/>
        <d v="2025-02-05T10:58:52"/>
        <d v="2025-02-05T10:18:54"/>
        <d v="2025-02-05T06:07:02"/>
        <d v="2025-02-05T01:17:22"/>
        <d v="2025-02-04T23:09:17"/>
        <d v="2025-02-04T22:01:39"/>
        <d v="2025-02-04T21:27:09"/>
        <d v="2025-02-04T21:02:16"/>
        <d v="2025-02-04T14:38:50"/>
        <d v="2025-02-04T06:33:55"/>
        <d v="2025-02-04T01:35:14"/>
        <d v="2025-02-03T19:20:31"/>
        <d v="2025-02-03T01:34:34"/>
        <d v="2025-02-02T16:54:00"/>
        <d v="2025-02-02T03:33:20"/>
        <d v="2025-02-02T00:29:53"/>
        <d v="2025-02-01T22:52:13"/>
        <d v="2025-02-01T17:07:08"/>
        <d v="2025-02-01T15:49:35"/>
        <d v="2025-02-01T13:18:51"/>
        <d v="2025-02-01T08:08:41"/>
        <d v="2025-02-01T01:01:32"/>
        <d v="2025-02-01T00:30:47"/>
        <d v="2025-02-01T00:17:08"/>
        <d v="2025-01-31T21:48:22"/>
        <d v="2025-01-31T16:41:35"/>
        <d v="2025-01-31T09:17:37"/>
        <d v="2025-01-31T02:10:58"/>
        <d v="2025-01-31T00:26:06"/>
        <d v="2025-01-30T21:44:05"/>
        <d v="2025-01-30T15:12:37"/>
        <d v="2025-01-29T18:41:52"/>
        <d v="2025-01-29T07:45:21"/>
        <d v="2025-01-29T03:52:23"/>
        <d v="2025-01-29T02:33:23"/>
        <d v="2025-01-28T17:54:47"/>
        <d v="2025-01-28T08:52:00"/>
        <d v="2025-01-28T08:29:25"/>
        <d v="2025-01-27T16:32:04"/>
        <d v="2025-01-27T11:38:00"/>
        <d v="2025-01-26T18:58:42"/>
        <d v="2025-01-26T18:12:07"/>
        <d v="2025-01-26T14:35:53"/>
        <d v="2025-01-26T09:48:22"/>
        <d v="2025-01-25T22:00:50"/>
        <d v="2025-01-25T15:51:03"/>
        <d v="2025-01-25T12:37:24"/>
        <d v="2025-01-25T07:14:33"/>
        <d v="2025-01-25T06:51:01"/>
        <d v="2025-01-25T02:12:20"/>
        <d v="2025-01-24T22:42:55"/>
        <d v="2025-01-24T18:59:00"/>
        <d v="2025-01-24T15:38:13"/>
        <d v="2025-01-24T10:08:38"/>
        <d v="2025-01-24T09:28:05"/>
        <d v="2025-01-24T05:30:43"/>
        <d v="2025-01-23T23:15:06"/>
        <d v="2025-01-23T19:41:36"/>
        <d v="2025-01-23T19:31:22"/>
        <d v="2025-01-23T14:38:34"/>
        <d v="2025-01-23T05:47:58"/>
        <d v="2025-01-23T01:35:11"/>
        <d v="2025-01-22T13:21:12"/>
        <d v="2025-01-22T11:19:47"/>
        <d v="2025-01-22T06:51:02"/>
        <d v="2025-01-21T22:19:36"/>
        <d v="2025-01-21T19:44:21"/>
        <d v="2025-01-21T19:06:43"/>
        <d v="2025-01-21T15:19:48"/>
        <d v="2025-01-21T09:00:02"/>
        <d v="2025-01-20T20:09:11"/>
        <d v="2025-01-20T18:07:24"/>
        <d v="2025-01-20T15:16:22"/>
        <d v="2025-01-20T08:37:58"/>
        <d v="2025-01-20T07:21:15"/>
        <d v="2025-01-19T23:19:45"/>
        <d v="2025-01-19T20:35:43"/>
        <d v="2025-01-19T19:47:37"/>
        <d v="2025-01-19T18:17:16"/>
        <d v="2025-01-19T17:38:27"/>
        <d v="2025-01-19T14:38:53"/>
        <d v="2025-01-19T09:48:38"/>
        <d v="2025-01-19T08:25:46"/>
        <d v="2025-01-19T07:58:23"/>
        <d v="2025-01-18T22:41:44"/>
        <d v="2025-01-18T14:07:27"/>
        <d v="2025-01-18T06:58:56"/>
        <d v="2025-01-18T05:22:41"/>
        <d v="2025-01-17T17:37:32"/>
        <d v="2025-01-17T17:21:31"/>
        <d v="2025-01-17T16:21:41"/>
        <d v="2025-01-17T15:19:02"/>
        <d v="2025-01-17T09:06:21"/>
        <d v="2025-01-17T04:18:09"/>
        <d v="2025-01-16T21:47:06"/>
        <d v="2025-01-16T19:03:47"/>
        <d v="2025-01-16T16:53:53"/>
        <d v="2025-01-16T15:42:18"/>
        <d v="2025-01-16T15:35:45"/>
        <d v="2025-01-16T08:36:36"/>
        <d v="2025-01-16T02:59:26"/>
        <d v="2025-01-15T18:29:45"/>
        <d v="2025-01-15T13:54:43"/>
        <d v="2025-01-15T13:43:42"/>
        <d v="2025-01-15T13:14:46"/>
        <d v="2025-01-15T10:18:56"/>
        <d v="2025-01-15T05:52:15"/>
        <d v="2025-01-15T00:38:30"/>
        <d v="2025-01-14T19:13:53"/>
        <d v="2025-01-14T19:06:06"/>
        <d v="2025-01-14T13:44:22"/>
        <d v="2025-01-14T10:03:20"/>
        <d v="2025-01-14T08:24:08"/>
        <d v="2025-01-13T21:24:45"/>
        <d v="2025-01-13T19:29:20"/>
        <d v="2025-01-13T15:17:40"/>
        <d v="2025-01-12T22:57:10"/>
        <d v="2025-01-12T12:05:52"/>
        <d v="2025-01-12T09:39:39"/>
        <d v="2025-01-12T04:59:14"/>
        <d v="2025-01-11T22:04:57"/>
        <d v="2025-01-11T20:00:54"/>
        <d v="2025-01-11T18:51:38"/>
        <d v="2025-01-11T16:05:47"/>
        <d v="2025-01-11T08:30:36"/>
        <d v="2025-01-11T06:15:03"/>
        <d v="2025-01-11T02:15:51"/>
        <d v="2025-01-11T00:38:06"/>
        <d v="2025-01-10T19:34:15"/>
        <d v="2025-01-10T17:49:27"/>
        <d v="2025-01-10T13:37:22"/>
        <d v="2025-01-10T13:16:56"/>
        <d v="2025-01-09T02:17:16"/>
        <d v="2025-01-08T07:19:45"/>
        <d v="2025-01-07T23:07:12"/>
        <d v="2025-01-07T21:54:30"/>
        <d v="2025-01-07T20:39:08"/>
        <d v="2025-01-07T15:34:05"/>
        <d v="2025-01-07T14:31:31"/>
        <d v="2025-01-07T13:29:59"/>
        <d v="2025-01-07T12:51:24"/>
        <d v="2025-01-07T08:32:09"/>
        <d v="2025-01-07T05:49:58"/>
        <d v="2025-01-07T03:32:34"/>
        <d v="2025-01-07T02:27:24"/>
        <d v="2025-01-06T18:16:32"/>
        <d v="2025-01-06T13:30:17"/>
        <d v="2025-01-06T11:42:19"/>
        <d v="2025-01-06T08:53:20"/>
        <d v="2025-01-06T07:14:31"/>
        <d v="2025-01-06T04:16:54"/>
        <d v="2025-01-05T23:06:47"/>
        <d v="2025-01-05T21:49:47"/>
        <d v="2025-01-05T20:18:25"/>
        <d v="2025-01-05T19:28:39"/>
        <d v="2025-01-05T08:36:19"/>
        <d v="2025-01-04T19:24:16"/>
        <d v="2025-01-04T19:15:04"/>
        <d v="2025-01-04T19:08:58"/>
        <d v="2025-01-04T16:10:08"/>
        <d v="2025-01-04T13:32:38"/>
        <d v="2025-01-04T06:55:23"/>
        <d v="2025-01-04T03:00:05"/>
        <d v="2025-01-03T18:34:19"/>
        <d v="2025-01-03T13:36:40"/>
        <d v="2025-01-03T13:35:18"/>
        <d v="2025-01-03T12:36:08"/>
        <d v="2025-01-03T09:11:14"/>
        <d v="2025-01-03T08:02:52"/>
        <d v="2025-01-02T21:14:50"/>
        <d v="2025-01-02T19:46:20"/>
        <d v="2025-01-02T10:44:41"/>
        <d v="2025-01-02T06:14:57"/>
        <d v="2025-01-02T03:24:12"/>
        <d v="2025-01-01T20:23:41"/>
        <d v="2025-01-01T19:33:36"/>
        <d v="2025-01-01T19:03:13"/>
        <d v="2025-01-01T15:55:20"/>
        <d v="2025-01-01T14:33:43"/>
        <d v="2025-01-01T11:25:56"/>
        <d v="2025-01-01T07:35:26"/>
        <d v="2025-01-01T04:22:26"/>
        <d v="2025-01-01T01:38:59"/>
        <d v="2024-12-31T22:57:46"/>
        <d v="2024-12-31T19:40:15"/>
        <d v="2024-12-31T18:50:24"/>
        <d v="2024-12-31T15:52:42"/>
        <d v="2024-12-31T13:21:45"/>
        <d v="2024-12-31T12:00:33"/>
        <d v="2024-12-31T11:17:48"/>
        <d v="2024-12-31T06:05:23"/>
        <d v="2024-12-31T04:57:21"/>
        <d v="2024-12-31T01:35:05"/>
        <d v="2024-12-31T00:22:32"/>
        <d v="2024-12-30T22:19:35"/>
        <d v="2024-12-30T22:01:08"/>
        <d v="2024-12-30T19:18:51"/>
        <d v="2024-12-30T06:44:36"/>
        <d v="2024-12-29T19:37:27"/>
        <d v="2024-12-29T11:00:08"/>
        <d v="2024-12-29T08:59:39"/>
        <d v="2024-12-29T04:29:32"/>
        <d v="2024-12-29T01:38:28"/>
        <d v="2024-12-29T01:36:56"/>
        <d v="2024-12-28T22:28:11"/>
        <d v="2024-12-28T22:05:44"/>
        <d v="2024-12-28T20:05:44"/>
        <d v="2024-12-28T18:31:49"/>
        <d v="2024-12-28T13:26:27"/>
        <d v="2024-12-28T12:21:02"/>
        <d v="2024-12-28T12:03:22"/>
        <d v="2024-12-28T09:29:28"/>
        <d v="2024-12-27T03:09:03"/>
        <d v="2024-12-27T01:42:24"/>
        <d v="2024-12-26T22:17:50"/>
        <d v="2024-12-26T21:22:01"/>
        <d v="2024-12-26T16:38:15"/>
        <d v="2024-12-26T16:31:06"/>
        <d v="2024-12-26T11:10:25"/>
        <d v="2024-12-26T10:42:37"/>
        <d v="2024-12-26T01:42:41"/>
        <d v="2024-12-25T18:42:55"/>
        <d v="2024-12-25T16:42:34"/>
        <d v="2024-12-25T12:01:17"/>
        <d v="2024-12-25T07:02:30"/>
        <d v="2024-12-25T00:00:50"/>
        <d v="2024-12-24T08:59:34"/>
        <d v="2024-12-24T05:55:54"/>
        <d v="2024-12-24T05:20:40"/>
        <d v="2024-12-24T02:06:28"/>
        <d v="2024-12-23T16:51:26"/>
        <d v="2024-12-23T08:31:35"/>
        <d v="2024-12-23T07:17:42"/>
        <d v="2024-12-23T05:25:39"/>
        <d v="2024-12-23T04:04:10"/>
        <d v="2024-12-22T21:25:18"/>
        <d v="2024-12-22T19:59:04"/>
        <d v="2024-12-22T10:43:04"/>
        <d v="2024-12-22T09:47:03"/>
        <d v="2024-12-22T08:50:45"/>
        <d v="2024-12-22T02:58:20"/>
        <d v="2024-12-22T00:31:35"/>
        <d v="2024-12-21T19:05:48"/>
        <d v="2024-12-21T17:18:24"/>
        <d v="2024-12-21T09:54:06"/>
        <d v="2024-12-20T20:11:48"/>
        <d v="2024-12-20T05:21:00"/>
        <d v="2024-12-19T21:39:06"/>
        <d v="2024-12-19T19:14:50"/>
        <d v="2024-12-19T18:03:30"/>
        <d v="2024-12-19T10:05:14"/>
        <d v="2024-12-19T03:01:32"/>
        <d v="2024-12-19T01:05:02"/>
        <d v="2024-12-19T00:52:37"/>
        <d v="2024-12-19T00:43:32"/>
        <d v="2024-12-18T03:53:53"/>
        <d v="2024-12-17T23:03:31"/>
        <d v="2024-12-17T19:23:13"/>
        <d v="2024-12-17T11:48:14"/>
        <d v="2024-12-17T11:22:23"/>
        <d v="2024-12-16T18:53:26"/>
        <d v="2024-12-16T12:51:56"/>
        <d v="2024-12-16T11:47:05"/>
        <d v="2024-12-16T11:38:06"/>
        <d v="2024-12-16T10:27:55"/>
        <d v="2024-12-15T14:49:33"/>
        <d v="2024-12-15T12:42:50"/>
        <d v="2024-12-15T12:06:14"/>
        <d v="2024-12-15T12:01:18"/>
        <d v="2024-12-15T09:51:51"/>
        <d v="2024-12-15T08:01:43"/>
        <d v="2024-12-14T14:21:08"/>
        <d v="2024-12-14T01:54:41"/>
        <d v="2024-12-13T17:04:55"/>
        <d v="2024-12-13T10:40:28"/>
        <d v="2024-12-13T07:28:02"/>
        <d v="2024-12-13T06:50:19"/>
        <d v="2024-12-13T05:40:01"/>
        <d v="2024-12-12T23:19:42"/>
        <d v="2024-12-12T20:07:55"/>
        <d v="2024-12-12T19:17:27"/>
        <d v="2024-12-12T13:52:06"/>
        <d v="2024-12-12T09:12:04"/>
        <d v="2024-12-12T08:13:48"/>
        <d v="2024-12-12T07:06:33"/>
        <d v="2024-12-12T03:26:19"/>
        <d v="2024-12-11T14:08:22"/>
        <d v="2024-12-11T01:45:48"/>
        <d v="2024-12-10T17:03:28"/>
        <d v="2024-12-10T08:10:11"/>
        <d v="2024-12-10T06:53:53"/>
        <d v="2024-12-09T18:17:17"/>
        <d v="2024-12-09T15:24:11"/>
        <d v="2024-12-09T13:48:54"/>
        <d v="2024-12-09T09:35:56"/>
        <d v="2024-12-09T02:06:13"/>
        <d v="2024-12-08T21:13:51"/>
        <d v="2024-12-08T01:36:23"/>
        <d v="2024-12-07T17:23:54"/>
        <d v="2024-12-07T11:17:47"/>
        <d v="2024-12-07T07:43:37"/>
        <d v="2024-12-07T05:20:33"/>
        <d v="2024-12-06T10:45:28"/>
        <d v="2024-12-06T05:24:44"/>
        <d v="2024-12-05T20:42:00"/>
        <d v="2024-12-05T18:26:01"/>
        <d v="2024-12-05T13:44:25"/>
        <d v="2024-12-05T09:39:30"/>
        <d v="2024-12-05T07:42:03"/>
        <d v="2024-12-05T01:39:53"/>
        <d v="2024-12-04T14:48:42"/>
        <d v="2024-12-03T22:53:10"/>
        <d v="2024-12-03T12:40:32"/>
        <d v="2024-12-03T10:13:58"/>
        <d v="2024-12-03T09:22:15"/>
        <d v="2024-12-03T07:43:34"/>
        <d v="2024-12-03T04:00:40"/>
        <d v="2024-12-03T03:24:28"/>
        <d v="2024-12-02T14:18:47"/>
        <d v="2024-12-02T13:32:14"/>
        <d v="2024-12-02T12:38:10"/>
        <d v="2024-12-02T11:28:56"/>
        <d v="2024-12-02T11:19:51"/>
        <d v="2024-12-02T06:05:32"/>
        <d v="2024-12-02T02:21:33"/>
        <d v="2024-12-02T01:39:16"/>
        <d v="2024-12-01T23:26:13"/>
        <d v="2024-12-01T15:19:30"/>
        <d v="2024-12-01T14:44:49"/>
        <d v="2024-12-01T13:17:48"/>
        <d v="2024-12-01T06:23:25"/>
        <d v="2024-12-01T02:11:23"/>
        <d v="2024-11-30T19:05:40"/>
        <d v="2024-11-30T14:33:49"/>
        <d v="2024-11-30T12:36:05"/>
        <d v="2024-11-30T11:06:36"/>
        <d v="2024-11-29T21:26:19"/>
        <d v="2024-11-29T19:07:02"/>
        <d v="2024-11-29T14:32:30"/>
        <d v="2024-11-29T03:22:38"/>
        <d v="2024-11-29T02:13:11"/>
        <d v="2024-11-29T01:18:34"/>
        <d v="2024-11-29T01:18:07"/>
        <d v="2024-11-29T00:04:57"/>
        <d v="2024-11-28T19:28:42"/>
        <d v="2024-11-28T16:29:06"/>
        <d v="2024-11-28T12:18:41"/>
        <d v="2024-11-28T04:16:50"/>
        <d v="2024-11-28T02:33:25"/>
        <d v="2024-11-27T22:21:37"/>
        <d v="2024-11-27T20:27:07"/>
        <d v="2024-11-27T15:31:57"/>
        <d v="2024-11-27T14:28:34"/>
        <d v="2024-11-27T11:53:44"/>
        <d v="2024-11-27T10:17:29"/>
        <d v="2024-11-27T02:50:24"/>
        <d v="2024-11-26T19:47:45"/>
        <d v="2024-11-26T17:57:42"/>
        <d v="2024-11-26T16:24:30"/>
        <d v="2024-11-26T15:56:07"/>
        <d v="2024-11-26T15:43:43"/>
        <d v="2024-11-26T10:15:26"/>
        <d v="2024-11-26T09:01:03"/>
        <d v="2024-11-26T02:50:58"/>
        <d v="2024-11-26T02:14:59"/>
        <d v="2024-11-25T17:11:59"/>
        <d v="2024-11-25T15:04:31"/>
        <d v="2024-11-25T10:24:07"/>
        <d v="2024-11-25T08:40:54"/>
        <d v="2024-11-25T06:23:55"/>
        <d v="2024-11-25T02:47:51"/>
        <d v="2024-11-24T20:41:22"/>
        <d v="2024-11-24T16:06:16"/>
        <d v="2024-11-24T13:45:02"/>
        <d v="2024-11-24T10:32:52"/>
        <d v="2024-11-23T18:33:00"/>
        <d v="2024-11-23T18:32:39"/>
        <d v="2024-11-23T07:52:15"/>
        <d v="2024-11-23T02:04:43"/>
        <d v="2024-11-22T22:13:12"/>
        <d v="2024-11-22T21:31:34"/>
        <d v="2024-11-22T21:16:05"/>
        <d v="2024-11-22T20:10:07"/>
        <d v="2024-11-22T12:49:20"/>
        <d v="2024-11-22T10:42:19"/>
        <d v="2024-11-22T09:27:37"/>
        <d v="2024-11-22T05:09:44"/>
        <d v="2024-11-22T02:50:41"/>
        <d v="2024-11-21T23:00:35"/>
        <d v="2024-11-21T13:16:19"/>
        <d v="2024-11-21T13:08:04"/>
        <d v="2024-11-21T01:09:16"/>
        <d v="2024-11-20T19:28:24"/>
        <d v="2024-11-20T13:34:40"/>
        <d v="2024-11-20T11:20:42"/>
        <d v="2024-11-20T09:29:15"/>
        <d v="2024-11-20T06:41:47"/>
        <d v="2024-11-20T05:26:01"/>
        <d v="2024-11-19T13:53:59"/>
        <d v="2024-11-19T11:33:59"/>
        <d v="2024-11-19T10:09:35"/>
        <d v="2024-11-19T06:18:43"/>
        <d v="2024-11-19T05:10:08"/>
        <d v="2024-11-19T00:24:44"/>
        <d v="2024-11-18T20:22:53"/>
        <d v="2024-11-18T12:37:30"/>
        <d v="2024-11-18T07:24:30"/>
        <d v="2024-11-18T00:57:38"/>
        <d v="2024-11-17T19:59:12"/>
        <d v="2024-11-17T16:24:32"/>
        <d v="2024-11-17T11:05:59"/>
        <d v="2024-11-17T08:17:33"/>
        <d v="2024-11-17T06:52:53"/>
        <d v="2024-11-17T03:06:23"/>
        <d v="2024-11-16T23:53:51"/>
        <d v="2024-11-16T17:55:50"/>
        <d v="2024-11-16T17:50:50"/>
        <d v="2024-11-16T11:58:10"/>
        <d v="2024-11-16T09:21:35"/>
        <d v="2024-11-16T00:03:19"/>
        <d v="2024-11-15T19:07:41"/>
        <d v="2024-11-15T13:03:49"/>
        <d v="2024-11-15T06:51:54"/>
        <d v="2024-11-14T20:12:15"/>
        <d v="2024-11-14T18:49:41"/>
        <d v="2024-11-14T17:39:56"/>
        <d v="2024-11-13T13:04:51"/>
        <d v="2024-11-13T08:00:43"/>
        <d v="2024-11-13T04:38:07"/>
        <d v="2024-11-13T00:28:04"/>
        <d v="2024-11-12T23:23:37"/>
        <d v="2024-11-12T11:32:30"/>
        <d v="2024-11-12T11:20:01"/>
        <d v="2024-11-12T03:52:27"/>
        <d v="2024-11-11T13:37:31"/>
        <d v="2024-11-11T08:41:25"/>
        <d v="2024-11-11T01:53:50"/>
        <d v="2024-11-10T16:33:55"/>
        <d v="2024-11-10T15:42:16"/>
        <d v="2024-11-10T09:26:23"/>
        <d v="2024-11-10T08:27:11"/>
        <d v="2024-11-09T19:14:00"/>
        <d v="2024-11-09T15:21:27"/>
        <d v="2024-11-09T11:59:09"/>
        <d v="2024-11-09T05:07:51"/>
        <d v="2024-11-09T03:47:01"/>
        <d v="2024-11-08T23:48:48"/>
        <d v="2024-11-08T05:34:23"/>
        <d v="2024-11-08T04:45:11"/>
        <d v="2024-11-07T23:13:22"/>
        <d v="2024-11-07T11:25:02"/>
        <d v="2024-11-06T08:43:29"/>
        <d v="2024-11-06T02:05:15"/>
        <d v="2024-11-06T00:11:45"/>
        <d v="2024-11-05T08:16:58"/>
        <d v="2024-11-05T06:57:02"/>
        <d v="2024-11-05T06:44:06"/>
        <d v="2024-11-05T03:45:18"/>
        <d v="2024-11-04T23:28:32"/>
        <d v="2024-11-04T22:52:14"/>
        <d v="2024-11-04T16:31:56"/>
        <d v="2024-11-04T00:08:57"/>
        <d v="2024-11-03T11:01:24"/>
        <d v="2024-11-03T07:05:13"/>
        <d v="2024-11-03T06:12:45"/>
        <d v="2024-11-02T21:42:54"/>
        <d v="2024-11-02T18:02:19"/>
        <d v="2024-11-02T07:12:52"/>
        <d v="2024-11-01T21:51:31"/>
        <d v="2024-11-01T20:48:16"/>
        <d v="2024-11-01T15:22:35"/>
        <d v="2024-11-01T02:09:22"/>
        <d v="2024-11-01T01:53:10"/>
        <d v="2024-11-01T00:22:47"/>
        <d v="2024-10-31T15:26:41"/>
        <d v="2024-10-30T10:33:25"/>
        <d v="2024-10-30T06:16:46"/>
        <d v="2024-10-29T23:31:15"/>
        <d v="2024-10-29T18:20:31"/>
        <d v="2024-10-29T12:27:15"/>
        <d v="2024-10-29T09:53:23"/>
        <d v="2024-10-29T08:24:35"/>
        <d v="2024-10-29T03:28:57"/>
        <d v="2024-10-28T09:40:47"/>
        <d v="2024-10-28T03:38:25"/>
        <d v="2024-10-28T02:33:45"/>
        <d v="2024-10-27T18:16:09"/>
        <d v="2024-10-27T16:57:58"/>
        <d v="2024-10-27T08:09:22"/>
        <d v="2024-10-27T07:00:06"/>
        <d v="2024-10-26T23:15:59"/>
        <d v="2024-10-26T22:20:44"/>
        <d v="2024-10-26T17:58:32"/>
        <d v="2024-10-26T11:13:52"/>
        <d v="2024-10-26T03:22:17"/>
        <d v="2024-10-26T00:28:41"/>
        <d v="2024-10-25T21:29:34"/>
        <d v="2024-10-25T21:19:56"/>
        <d v="2024-10-25T20:48:31"/>
        <d v="2024-10-25T18:26:35"/>
        <d v="2024-10-25T16:22:02"/>
        <d v="2024-10-25T10:54:53"/>
        <d v="2024-10-25T03:44:48"/>
        <d v="2024-10-25T01:42:08"/>
        <d v="2024-10-25T01:26:25"/>
        <d v="2024-10-25T01:11:49"/>
        <d v="2024-10-24T23:42:09"/>
        <d v="2024-10-24T21:48:24"/>
        <d v="2024-10-24T19:53:23"/>
        <d v="2024-10-24T13:13:48"/>
        <d v="2024-10-24T12:03:38"/>
        <d v="2024-10-24T10:43:22"/>
        <d v="2024-10-23T17:58:26"/>
        <d v="2024-10-23T16:50:40"/>
        <d v="2024-10-23T16:49:40"/>
        <d v="2024-10-23T06:22:04"/>
        <d v="2024-10-23T04:49:49"/>
        <d v="2024-10-23T03:20:20"/>
        <d v="2024-10-22T12:00:25"/>
        <d v="2024-10-22T11:15:57"/>
        <d v="2024-10-22T08:11:58"/>
        <d v="2024-10-22T03:53:52"/>
        <d v="2024-10-21T09:16:05"/>
        <d v="2024-10-21T08:20:09"/>
        <d v="2024-10-20T10:19:21"/>
        <d v="2024-10-20T07:34:27"/>
        <d v="2024-10-20T06:32:15"/>
        <d v="2024-10-20T00:09:10"/>
        <d v="2024-10-19T16:29:33"/>
        <d v="2024-10-19T12:47:12"/>
        <d v="2024-10-19T10:00:58"/>
        <d v="2024-10-19T08:48:13"/>
        <d v="2024-10-19T08:31:34"/>
        <d v="2024-10-18T19:24:16"/>
        <d v="2024-10-18T18:16:01"/>
        <d v="2024-10-18T17:41:06"/>
        <d v="2024-10-18T09:37:00"/>
        <d v="2024-10-18T01:59:53"/>
        <d v="2024-10-17T20:35:01"/>
        <d v="2024-10-17T11:10:54"/>
        <d v="2024-10-17T10:32:46"/>
        <d v="2024-10-17T01:04:02"/>
        <d v="2024-10-16T20:25:02"/>
        <d v="2024-10-16T14:23:03"/>
        <d v="2024-10-16T13:14:07"/>
        <d v="2024-10-16T12:37:00"/>
        <d v="2024-10-16T00:50:25"/>
        <d v="2024-10-15T23:12:39"/>
        <d v="2024-10-15T20:42:08"/>
        <d v="2024-10-15T17:41:35"/>
        <d v="2024-10-15T17:25:45"/>
        <d v="2024-10-15T16:55:58"/>
        <d v="2024-10-15T13:56:53"/>
        <d v="2024-10-15T10:24:48"/>
        <d v="2024-10-15T07:59:04"/>
        <d v="2024-10-15T01:57:31"/>
        <d v="2024-10-14T12:16:59"/>
        <d v="2024-10-14T11:17:52"/>
        <d v="2024-10-14T10:28:10"/>
        <d v="2024-10-14T06:50:57"/>
        <d v="2024-10-14T02:08:27"/>
        <d v="2024-10-14T00:28:33"/>
        <d v="2024-10-13T09:20:39"/>
        <d v="2024-10-13T07:23:50"/>
        <d v="2024-10-13T02:10:05"/>
        <d v="2024-10-13T00:33:22"/>
        <d v="2024-10-12T05:03:20"/>
        <d v="2024-10-12T02:04:02"/>
        <d v="2024-10-12T00:27:29"/>
        <d v="2024-10-11T21:35:53"/>
        <d v="2024-10-11T14:13:04"/>
        <d v="2024-10-11T11:14:07"/>
        <d v="2024-10-11T08:06:16"/>
        <d v="2024-10-11T00:09:30"/>
        <d v="2024-10-10T21:12:29"/>
        <d v="2024-10-10T10:39:13"/>
        <d v="2024-10-10T02:29:00"/>
        <d v="2024-10-09T21:22:08"/>
        <d v="2024-10-09T20:03:03"/>
        <d v="2024-10-09T19:01:20"/>
        <d v="2024-10-09T07:23:53"/>
        <d v="2024-10-09T05:40:05"/>
        <d v="2024-10-09T04:44:18"/>
        <d v="2024-10-09T03:37:45"/>
        <d v="2024-10-09T01:57:43"/>
        <d v="2024-10-08T21:09:10"/>
        <d v="2024-10-08T17:56:21"/>
        <d v="2024-10-08T12:39:17"/>
        <d v="2024-10-08T10:05:11"/>
        <d v="2024-10-08T04:45:52"/>
        <d v="2024-10-08T00:21:09"/>
        <d v="2024-10-07T14:55:21"/>
        <d v="2024-10-07T10:42:33"/>
        <d v="2024-10-07T04:03:46"/>
        <d v="2024-10-07T04:02:00"/>
        <d v="2024-10-06T22:59:47"/>
        <d v="2024-10-06T14:16:57"/>
        <d v="2024-10-06T13:57:37"/>
        <d v="2024-10-06T12:59:49"/>
        <d v="2024-10-06T10:25:57"/>
        <d v="2024-10-06T07:23:28"/>
        <d v="2024-10-06T06:22:34"/>
        <d v="2024-10-05T23:38:00"/>
        <d v="2024-10-05T20:34:44"/>
        <d v="2024-10-05T12:20:38"/>
        <d v="2024-10-05T09:28:53"/>
        <d v="2024-10-05T03:59:20"/>
        <d v="2024-10-04T18:40:22"/>
        <d v="2024-10-04T12:04:25"/>
        <d v="2024-10-04T09:55:50"/>
        <d v="2024-10-03T23:12:06"/>
        <d v="2024-10-03T21:25:43"/>
        <d v="2024-10-03T18:29:14"/>
        <d v="2024-10-03T10:43:11"/>
        <d v="2024-10-03T08:23:26"/>
        <d v="2024-10-03T01:53:19"/>
        <d v="2024-10-03T00:40:16"/>
        <d v="2024-10-02T19:47:09"/>
        <d v="2024-10-02T17:21:54"/>
        <d v="2024-10-02T06:56:13"/>
        <d v="2024-10-01T23:59:41"/>
        <d v="2024-10-01T17:26:21"/>
        <d v="2024-10-01T00:45:09"/>
        <d v="2024-09-30T22:05:08"/>
        <d v="2024-09-30T21:38:47"/>
        <d v="2024-09-30T20:18:00"/>
        <d v="2024-09-30T18:37:15"/>
        <d v="2024-09-30T15:24:46"/>
        <d v="2024-09-30T06:55:42"/>
        <d v="2024-09-30T06:11:33"/>
        <d v="2024-09-30T04:17:40"/>
        <d v="2024-09-30T02:33:55"/>
        <d v="2024-09-29T21:45:21"/>
        <d v="2024-09-29T12:19:33"/>
        <d v="2024-09-29T10:34:04"/>
        <d v="2024-09-29T09:41:34"/>
        <d v="2024-09-29T08:27:48"/>
        <d v="2024-09-29T06:41:54"/>
        <d v="2024-09-28T17:09:28"/>
        <d v="2024-09-28T08:38:41"/>
        <d v="2024-09-28T07:23:01"/>
        <d v="2024-09-28T06:03:12"/>
        <d v="2024-09-28T05:21:23"/>
        <d v="2024-09-28T02:14:03"/>
        <d v="2024-09-27T16:04:25"/>
        <d v="2024-09-27T15:54:48"/>
        <d v="2024-09-27T13:20:04"/>
        <d v="2024-09-27T10:36:03"/>
        <d v="2024-09-27T07:45:00"/>
        <d v="2024-09-26T22:03:34"/>
        <d v="2024-09-25T19:51:24"/>
        <d v="2024-09-25T16:24:23"/>
        <d v="2024-09-25T12:26:52"/>
        <d v="2024-09-25T08:59:06"/>
        <d v="2024-09-25T06:35:03"/>
        <d v="2024-09-25T03:20:46"/>
        <d v="2024-09-25T00:22:19"/>
        <d v="2024-09-24T23:03:30"/>
        <d v="2024-09-24T22:08:51"/>
        <d v="2024-09-24T17:09:33"/>
        <d v="2024-09-24T16:24:42"/>
        <d v="2024-09-24T11:28:39"/>
        <d v="2024-09-24T08:10:24"/>
        <d v="2024-09-24T07:45:06"/>
        <d v="2024-09-24T00:58:17"/>
        <d v="2024-09-24T00:29:32"/>
        <d v="2024-09-24T00:24:33"/>
        <d v="2024-09-24T00:00:45"/>
        <d v="2024-09-23T18:37:14"/>
        <d v="2024-09-23T16:06:16"/>
        <d v="2024-09-23T11:13:26"/>
        <d v="2024-09-23T04:36:10"/>
        <d v="2024-09-22T22:46:01"/>
        <d v="2024-09-22T21:42:39"/>
        <d v="2024-09-22T10:27:18"/>
        <d v="2024-09-22T08:48:07"/>
        <d v="2024-09-21T16:01:11"/>
        <d v="2024-09-21T14:13:57"/>
        <d v="2024-09-21T12:07:14"/>
        <d v="2024-09-21T10:48:25"/>
        <d v="2024-09-21T05:48:45"/>
        <d v="2024-09-21T02:34:55"/>
        <d v="2024-09-21T02:30:40"/>
        <d v="2024-09-20T22:19:32"/>
        <d v="2024-09-20T21:54:04"/>
        <d v="2024-09-20T21:17:12"/>
        <d v="2024-09-20T19:19:58"/>
        <d v="2024-09-20T14:18:30"/>
        <d v="2024-09-20T13:31:45"/>
        <d v="2024-09-20T11:35:04"/>
        <d v="2024-09-20T08:57:16"/>
        <d v="2024-09-19T22:16:45"/>
        <d v="2024-09-19T14:08:29"/>
        <d v="2024-09-19T14:01:24"/>
        <d v="2024-09-19T13:10:32"/>
        <d v="2024-09-19T08:20:25"/>
        <d v="2024-09-18T21:33:00"/>
        <d v="2024-09-18T19:24:11"/>
        <d v="2024-09-18T14:38:30"/>
        <d v="2024-09-18T04:10:37"/>
        <d v="2024-09-17T22:43:36"/>
        <d v="2024-09-17T22:33:26"/>
        <d v="2024-09-17T22:29:45"/>
        <d v="2024-09-17T19:00:20"/>
        <d v="2024-09-17T13:31:52"/>
        <d v="2024-09-17T11:08:31"/>
        <d v="2024-09-17T02:36:10"/>
        <d v="2024-09-17T01:51:29"/>
        <d v="2024-09-17T00:12:44"/>
        <d v="2024-09-16T15:12:08"/>
        <d v="2024-09-16T13:45:49"/>
        <d v="2024-09-16T12:45:33"/>
        <d v="2024-09-16T00:40:51"/>
        <d v="2024-09-16T00:22:49"/>
      </sharedItems>
      <fieldGroup par="23"/>
    </cacheField>
    <cacheField name="Customer Name" numFmtId="0">
      <sharedItems/>
    </cacheField>
    <cacheField name="City" numFmtId="0">
      <sharedItems count="38">
        <s v="Palu"/>
        <s v="Kendari"/>
        <s v="Tanjung Selor"/>
        <s v="Manokwari"/>
        <s v="Bandung"/>
        <s v="Yogyakarta"/>
        <s v="Jayapura"/>
        <s v="Wamena"/>
        <s v="Jambi"/>
        <s v="Kupang"/>
        <s v="Makassar"/>
        <s v="Mataram"/>
        <s v="Surabaya"/>
        <s v="Sorong"/>
        <s v="Mamuju"/>
        <s v="Palembang"/>
        <s v="Sofifi"/>
        <s v="Palangka Raya"/>
        <s v="Samarinda"/>
        <s v="Banjarbaru"/>
        <s v="Pontianak"/>
        <s v="Bengkulu"/>
        <s v="Denpasar"/>
        <s v="Pekanbaru"/>
        <s v="Manado"/>
        <s v="Tanjungpinang"/>
        <s v="Bandar Lampung"/>
        <s v="Banda Aceh"/>
        <s v="Medan"/>
        <s v="Nabire"/>
        <s v="Jakarta"/>
        <s v="Pangkalpinang"/>
        <s v="Merauke"/>
        <s v="Padang"/>
        <s v="Gorontalo"/>
        <s v="Semarang"/>
        <s v="Ambon"/>
        <s v="Serang"/>
      </sharedItems>
    </cacheField>
    <cacheField name="Product Name" numFmtId="0">
      <sharedItems count="27">
        <s v="Gula Pasir - Brand A"/>
        <s v="Gula Pasir - Brand B"/>
        <s v="Garam - Brand B"/>
        <s v="Beras - Brand A"/>
        <s v="Garam - Brand C"/>
        <s v="Susu Bubuk - Brand B"/>
        <s v="Susu Bubuk - Brand C"/>
        <s v="Tepung Terigu - Brand B"/>
        <s v="Tepung Terigu - Brand C"/>
        <s v="Daging Ayam - Brand A"/>
        <s v="Daging Ayam - Brand C"/>
        <s v="Bawang Merah - Brand A"/>
        <s v="Telur Ayam - Brand B"/>
        <s v="Minyak Goreng - Brand B"/>
        <s v="Gula Pasir - Brand C"/>
        <s v="Garam - Brand A"/>
        <s v="Telur Ayam - Brand C"/>
        <s v="Beras - Brand B"/>
        <s v="Beras - Brand C"/>
        <s v="Bawang Merah - Brand B"/>
        <s v="Bawang Merah - Brand C"/>
        <s v="Tepung Terigu - Brand A"/>
        <s v="Minyak Goreng - Brand C"/>
        <s v="Susu Bubuk - Brand A"/>
        <s v="Telur Ayam - Brand A"/>
        <s v="Daging Ayam - Brand B"/>
        <s v="Minyak Goreng - Brand A"/>
      </sharedItems>
    </cacheField>
    <cacheField name="Unit Price" numFmtId="0">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acheField>
    <cacheField name="Subtotal" numFmtId="0">
      <sharedItems containsSemiMixedTypes="0" containsString="0" containsNumber="1" containsInteger="1" minValue="4000" maxValue="275000"/>
    </cacheField>
    <cacheField name="Discount Amount" numFmtId="0">
      <sharedItems containsSemiMixedTypes="0" containsString="0" containsNumber="1" containsInteger="1" minValue="0" maxValue="55000"/>
    </cacheField>
    <cacheField name="Total Sales" numFmtId="165">
      <sharedItems containsSemiMixedTypes="0" containsString="0" containsNumber="1" containsInteger="1" minValue="3200" maxValue="261250"/>
    </cacheField>
    <cacheField name="Shipping Fee" numFmtId="0">
      <sharedItems containsSemiMixedTypes="0" containsString="0" containsNumber="1" containsInteger="1" minValue="0" maxValue="97000"/>
    </cacheField>
    <cacheField name="Grand Total" numFmtId="165">
      <sharedItems containsSemiMixedTypes="0" containsString="0" containsNumber="1" containsInteger="1" minValue="3800" maxValue="333250"/>
    </cacheField>
    <cacheField name="Payment Method" numFmtId="0">
      <sharedItems count="4">
        <s v="Kartu Kredit"/>
        <s v="COD"/>
        <s v="e-Wallet"/>
        <s v="Transfer Bank"/>
      </sharedItems>
    </cacheField>
    <cacheField name="Order Status" numFmtId="0">
      <sharedItems containsBlank="1" count="6">
        <s v="Shipped"/>
        <s v="Pending"/>
        <s v="Completed"/>
        <s v="Cancelled"/>
        <s v="Returned"/>
        <m u="1"/>
      </sharedItems>
    </cacheField>
    <cacheField name="Platform" numFmtId="0">
      <sharedItems count="5">
        <s v="Toko Biru"/>
        <s v="Toko Ungu"/>
        <s v="Toko Orange"/>
        <s v="TokTok"/>
        <s v="Toko Hijau"/>
      </sharedItems>
    </cacheField>
    <cacheField name="Customer Rating" numFmtId="0">
      <sharedItems containsSemiMixedTypes="0" containsString="0" containsNumber="1" containsInteger="1" minValue="1" maxValue="5" count="5">
        <n v="3"/>
        <n v="2"/>
        <n v="1"/>
        <n v="4"/>
        <n v="5"/>
      </sharedItems>
    </cacheField>
    <cacheField name="Jenis Kelamin" numFmtId="0">
      <sharedItems count="2">
        <s v="Perempuan"/>
        <s v="Laki-laki"/>
      </sharedItems>
    </cacheField>
    <cacheField name="Category Rating" numFmtId="0">
      <sharedItems/>
    </cacheField>
    <cacheField name="Disc Category" numFmtId="0">
      <sharedItems count="6">
        <s v="Rendah"/>
        <s v="Sangat Rendah"/>
        <s v="Normal"/>
        <s v="Sangat Tinggi"/>
        <s v="Tinggi"/>
        <s v="Clearance"/>
      </sharedItems>
    </cacheField>
    <cacheField name="tes" numFmtId="0">
      <sharedItems/>
    </cacheField>
    <cacheField name="Months (Order Date)" numFmtId="0" databaseField="0">
      <fieldGroup base="1">
        <rangePr groupBy="months" startDate="2024-09-16T00:22:49" endDate="2025-09-16T17:20:52"/>
        <groupItems count="14">
          <s v="&lt;9/16/2024"/>
          <s v="Jan"/>
          <s v="Feb"/>
          <s v="Mar"/>
          <s v="Apr"/>
          <s v="May"/>
          <s v="Jun"/>
          <s v="Jul"/>
          <s v="Aug"/>
          <s v="Sep"/>
          <s v="Oct"/>
          <s v="Nov"/>
          <s v="Dec"/>
          <s v="&gt;9/16/2025"/>
        </groupItems>
      </fieldGroup>
    </cacheField>
    <cacheField name="Quarters (Order Date)" numFmtId="0" databaseField="0">
      <fieldGroup base="1">
        <rangePr groupBy="quarters" startDate="2024-09-16T00:22:49" endDate="2025-09-16T17:20:52"/>
        <groupItems count="6">
          <s v="&lt;9/16/2024"/>
          <s v="Qtr1"/>
          <s v="Qtr2"/>
          <s v="Qtr3"/>
          <s v="Qtr4"/>
          <s v="&gt;9/16/2025"/>
        </groupItems>
      </fieldGroup>
    </cacheField>
    <cacheField name="Years (Order Date)" numFmtId="0" databaseField="0">
      <fieldGroup base="1">
        <rangePr groupBy="years" startDate="2024-09-16T00:22:49" endDate="2025-09-16T17:20:52"/>
        <groupItems count="4">
          <s v="&lt;9/16/2024"/>
          <s v="2024"/>
          <s v="2025"/>
          <s v="&gt;9/16/2025"/>
        </groupItems>
      </fieldGroup>
    </cacheField>
  </cacheFields>
  <extLst>
    <ext xmlns:x14="http://schemas.microsoft.com/office/spreadsheetml/2009/9/main" uri="{725AE2AE-9491-48be-B2B4-4EB974FC3084}">
      <x14:pivotCacheDefinition pivotCacheId="1423081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553"/>
    <x v="0"/>
    <s v="Kartika Saputra"/>
    <x v="0"/>
    <x v="0"/>
    <n v="16000"/>
    <n v="5"/>
    <n v="10"/>
    <n v="80000"/>
    <n v="8000"/>
    <n v="72000"/>
    <n v="67000"/>
    <n v="139000"/>
    <x v="0"/>
    <x v="0"/>
    <x v="0"/>
    <x v="0"/>
    <x v="0"/>
    <s v="Standar"/>
    <x v="0"/>
    <s v="rendah"/>
  </r>
  <r>
    <s v="ORD00700"/>
    <x v="1"/>
    <s v="Yani Kusuma"/>
    <x v="1"/>
    <x v="1"/>
    <n v="17000"/>
    <n v="1"/>
    <n v="0"/>
    <n v="17000"/>
    <n v="0"/>
    <n v="17000"/>
    <n v="59000"/>
    <n v="76000"/>
    <x v="1"/>
    <x v="1"/>
    <x v="1"/>
    <x v="1"/>
    <x v="0"/>
    <s v="Rendah"/>
    <x v="1"/>
    <s v="sangat rendah"/>
  </r>
  <r>
    <s v="ORD01566"/>
    <x v="2"/>
    <s v="Qori Pradipta"/>
    <x v="2"/>
    <x v="2"/>
    <n v="5000"/>
    <n v="1"/>
    <n v="0"/>
    <n v="5000"/>
    <n v="0"/>
    <n v="5000"/>
    <n v="26000"/>
    <n v="31000"/>
    <x v="0"/>
    <x v="0"/>
    <x v="1"/>
    <x v="0"/>
    <x v="0"/>
    <s v="Standar"/>
    <x v="1"/>
    <s v="sangat rendah"/>
  </r>
  <r>
    <s v="ORD00687"/>
    <x v="3"/>
    <s v="Oka Santoso"/>
    <x v="3"/>
    <x v="3"/>
    <n v="14000"/>
    <n v="4"/>
    <n v="15"/>
    <n v="56000"/>
    <n v="8400"/>
    <n v="47600"/>
    <n v="18000"/>
    <n v="65600"/>
    <x v="1"/>
    <x v="2"/>
    <x v="2"/>
    <x v="2"/>
    <x v="1"/>
    <s v="Rendah"/>
    <x v="0"/>
    <s v="rendah"/>
  </r>
  <r>
    <s v="ORD00755"/>
    <x v="4"/>
    <s v="Eka Pradipta"/>
    <x v="4"/>
    <x v="4"/>
    <n v="6000"/>
    <n v="3"/>
    <n v="20"/>
    <n v="18000"/>
    <n v="3600"/>
    <n v="14400"/>
    <n v="0"/>
    <n v="14400"/>
    <x v="0"/>
    <x v="1"/>
    <x v="3"/>
    <x v="0"/>
    <x v="0"/>
    <s v="Standar"/>
    <x v="1"/>
    <s v="sangat rendah"/>
  </r>
  <r>
    <s v="ORD00593"/>
    <x v="5"/>
    <s v="Aulia Utami"/>
    <x v="5"/>
    <x v="4"/>
    <n v="6000"/>
    <n v="3"/>
    <n v="15"/>
    <n v="18000"/>
    <n v="2700"/>
    <n v="15300"/>
    <n v="78000"/>
    <n v="93300"/>
    <x v="0"/>
    <x v="2"/>
    <x v="3"/>
    <x v="1"/>
    <x v="0"/>
    <s v="Rendah"/>
    <x v="1"/>
    <s v="sangat rendah"/>
  </r>
  <r>
    <s v="ORD00676"/>
    <x v="6"/>
    <s v="Dewi Wijaya"/>
    <x v="6"/>
    <x v="5"/>
    <n v="50000"/>
    <n v="1"/>
    <n v="10"/>
    <n v="50000"/>
    <n v="5000"/>
    <n v="45000"/>
    <n v="30000"/>
    <n v="75000"/>
    <x v="2"/>
    <x v="2"/>
    <x v="4"/>
    <x v="3"/>
    <x v="0"/>
    <s v="Bagus"/>
    <x v="1"/>
    <s v="sangat rendah"/>
  </r>
  <r>
    <s v="ORD01797"/>
    <x v="7"/>
    <s v="Dina Halim"/>
    <x v="7"/>
    <x v="6"/>
    <n v="55000"/>
    <n v="4"/>
    <n v="0"/>
    <n v="220000"/>
    <n v="0"/>
    <n v="220000"/>
    <n v="15000"/>
    <n v="235000"/>
    <x v="3"/>
    <x v="1"/>
    <x v="2"/>
    <x v="4"/>
    <x v="0"/>
    <s v="Bagus"/>
    <x v="1"/>
    <s v="sangat rendah"/>
  </r>
  <r>
    <s v="ORD01314"/>
    <x v="8"/>
    <s v="Bella Santoso"/>
    <x v="2"/>
    <x v="7"/>
    <n v="12000"/>
    <n v="2"/>
    <n v="0"/>
    <n v="24000"/>
    <n v="0"/>
    <n v="24000"/>
    <n v="26000"/>
    <n v="50000"/>
    <x v="3"/>
    <x v="3"/>
    <x v="4"/>
    <x v="2"/>
    <x v="0"/>
    <s v="Rendah"/>
    <x v="1"/>
    <s v="sangat rendah"/>
  </r>
  <r>
    <s v="ORD00039"/>
    <x v="9"/>
    <s v="Andi Iskandar"/>
    <x v="8"/>
    <x v="8"/>
    <n v="14000"/>
    <n v="5"/>
    <n v="20"/>
    <n v="70000"/>
    <n v="14000"/>
    <n v="56000"/>
    <n v="87000"/>
    <n v="143000"/>
    <x v="0"/>
    <x v="0"/>
    <x v="2"/>
    <x v="0"/>
    <x v="1"/>
    <s v="Standar"/>
    <x v="2"/>
    <s v="normal"/>
  </r>
  <r>
    <s v="ORD00039"/>
    <x v="9"/>
    <s v="Andi Iskandar"/>
    <x v="8"/>
    <x v="9"/>
    <n v="35000"/>
    <n v="3"/>
    <n v="0"/>
    <n v="105000"/>
    <n v="0"/>
    <n v="105000"/>
    <n v="0"/>
    <n v="105000"/>
    <x v="0"/>
    <x v="0"/>
    <x v="2"/>
    <x v="0"/>
    <x v="1"/>
    <s v="Standar"/>
    <x v="1"/>
    <s v="sangat rendah"/>
  </r>
  <r>
    <s v="ORD00447"/>
    <x v="10"/>
    <s v="Dina Maulana"/>
    <x v="9"/>
    <x v="10"/>
    <n v="45000"/>
    <n v="1"/>
    <n v="10"/>
    <n v="45000"/>
    <n v="4500"/>
    <n v="40500"/>
    <n v="21000"/>
    <n v="61500"/>
    <x v="2"/>
    <x v="1"/>
    <x v="0"/>
    <x v="0"/>
    <x v="0"/>
    <s v="Standar"/>
    <x v="1"/>
    <s v="sangat rendah"/>
  </r>
  <r>
    <s v="ORD00860"/>
    <x v="11"/>
    <s v="Zahra Halim"/>
    <x v="6"/>
    <x v="5"/>
    <n v="50000"/>
    <n v="3"/>
    <n v="10"/>
    <n v="150000"/>
    <n v="15000"/>
    <n v="135000"/>
    <n v="30000"/>
    <n v="165000"/>
    <x v="0"/>
    <x v="2"/>
    <x v="4"/>
    <x v="2"/>
    <x v="0"/>
    <s v="Rendah"/>
    <x v="2"/>
    <s v="normal"/>
  </r>
  <r>
    <s v="ORD00304"/>
    <x v="12"/>
    <s v="Zahra Ramadhani"/>
    <x v="10"/>
    <x v="11"/>
    <n v="30000"/>
    <n v="5"/>
    <n v="5"/>
    <n v="150000"/>
    <n v="7500"/>
    <n v="142500"/>
    <n v="84000"/>
    <n v="226500"/>
    <x v="1"/>
    <x v="2"/>
    <x v="0"/>
    <x v="2"/>
    <x v="0"/>
    <s v="Rendah"/>
    <x v="0"/>
    <s v="rendah"/>
  </r>
  <r>
    <s v="ORD00147"/>
    <x v="13"/>
    <s v="Lestari Pradipta"/>
    <x v="11"/>
    <x v="12"/>
    <n v="25000"/>
    <n v="3"/>
    <n v="5"/>
    <n v="75000"/>
    <n v="3750"/>
    <n v="71250"/>
    <n v="56000"/>
    <n v="127250"/>
    <x v="2"/>
    <x v="1"/>
    <x v="4"/>
    <x v="4"/>
    <x v="0"/>
    <s v="Bagus"/>
    <x v="1"/>
    <s v="sangat rendah"/>
  </r>
  <r>
    <s v="ORD00299"/>
    <x v="14"/>
    <s v="Aulia Kusuma"/>
    <x v="12"/>
    <x v="2"/>
    <n v="5000"/>
    <n v="1"/>
    <n v="10"/>
    <n v="5000"/>
    <n v="500"/>
    <n v="4500"/>
    <n v="74000"/>
    <n v="78500"/>
    <x v="2"/>
    <x v="2"/>
    <x v="1"/>
    <x v="4"/>
    <x v="0"/>
    <s v="Bagus"/>
    <x v="1"/>
    <s v="sangat rendah"/>
  </r>
  <r>
    <s v="ORD00192"/>
    <x v="15"/>
    <s v="Clara Halim"/>
    <x v="13"/>
    <x v="13"/>
    <n v="17000"/>
    <n v="5"/>
    <n v="0"/>
    <n v="85000"/>
    <n v="0"/>
    <n v="85000"/>
    <n v="87000"/>
    <n v="172000"/>
    <x v="2"/>
    <x v="2"/>
    <x v="1"/>
    <x v="1"/>
    <x v="0"/>
    <s v="Rendah"/>
    <x v="1"/>
    <s v="sangat rendah"/>
  </r>
  <r>
    <s v="ORD00303"/>
    <x v="16"/>
    <s v="Ani Setiawan"/>
    <x v="14"/>
    <x v="13"/>
    <n v="17000"/>
    <n v="3"/>
    <n v="0"/>
    <n v="51000"/>
    <n v="0"/>
    <n v="51000"/>
    <n v="46000"/>
    <n v="97000"/>
    <x v="1"/>
    <x v="2"/>
    <x v="0"/>
    <x v="0"/>
    <x v="0"/>
    <s v="Standar"/>
    <x v="1"/>
    <s v="sangat rendah"/>
  </r>
  <r>
    <s v="ORD00303"/>
    <x v="16"/>
    <s v="Ani Setiawan"/>
    <x v="14"/>
    <x v="8"/>
    <n v="14000"/>
    <n v="4"/>
    <n v="0"/>
    <n v="56000"/>
    <n v="0"/>
    <n v="56000"/>
    <n v="0"/>
    <n v="56000"/>
    <x v="1"/>
    <x v="2"/>
    <x v="0"/>
    <x v="0"/>
    <x v="0"/>
    <s v="Standar"/>
    <x v="1"/>
    <s v="sangat rendah"/>
  </r>
  <r>
    <s v="ORD00027"/>
    <x v="17"/>
    <s v="Made Kusuma"/>
    <x v="10"/>
    <x v="1"/>
    <n v="17000"/>
    <n v="5"/>
    <n v="20"/>
    <n v="85000"/>
    <n v="17000"/>
    <n v="68000"/>
    <n v="84000"/>
    <n v="152000"/>
    <x v="0"/>
    <x v="2"/>
    <x v="2"/>
    <x v="4"/>
    <x v="1"/>
    <s v="Bagus"/>
    <x v="2"/>
    <s v="normal"/>
  </r>
  <r>
    <s v="ORD00027"/>
    <x v="17"/>
    <s v="Made Kusuma"/>
    <x v="10"/>
    <x v="7"/>
    <n v="12000"/>
    <n v="4"/>
    <n v="0"/>
    <n v="48000"/>
    <n v="0"/>
    <n v="48000"/>
    <n v="0"/>
    <n v="48000"/>
    <x v="0"/>
    <x v="2"/>
    <x v="2"/>
    <x v="4"/>
    <x v="1"/>
    <s v="Bagus"/>
    <x v="1"/>
    <s v="sangat rendah"/>
  </r>
  <r>
    <s v="ORD01587"/>
    <x v="18"/>
    <s v="Lestari Puspita"/>
    <x v="5"/>
    <x v="14"/>
    <n v="18000"/>
    <n v="1"/>
    <n v="0"/>
    <n v="18000"/>
    <n v="0"/>
    <n v="18000"/>
    <n v="78000"/>
    <n v="96000"/>
    <x v="3"/>
    <x v="2"/>
    <x v="2"/>
    <x v="1"/>
    <x v="0"/>
    <s v="Rendah"/>
    <x v="1"/>
    <s v="sangat rendah"/>
  </r>
  <r>
    <s v="ORD01701"/>
    <x v="19"/>
    <s v="Qori Hidayat"/>
    <x v="15"/>
    <x v="6"/>
    <n v="55000"/>
    <n v="4"/>
    <n v="20"/>
    <n v="220000"/>
    <n v="44000"/>
    <n v="176000"/>
    <n v="17000"/>
    <n v="193000"/>
    <x v="2"/>
    <x v="2"/>
    <x v="1"/>
    <x v="3"/>
    <x v="0"/>
    <s v="Bagus"/>
    <x v="3"/>
    <s v="sangat tinggi"/>
  </r>
  <r>
    <s v="ORD00168"/>
    <x v="20"/>
    <s v="Ani Ramadhani"/>
    <x v="16"/>
    <x v="14"/>
    <n v="18000"/>
    <n v="1"/>
    <n v="10"/>
    <n v="18000"/>
    <n v="1800"/>
    <n v="16200"/>
    <n v="50000"/>
    <n v="66200"/>
    <x v="1"/>
    <x v="0"/>
    <x v="1"/>
    <x v="1"/>
    <x v="0"/>
    <s v="Rendah"/>
    <x v="1"/>
    <s v="sangat rendah"/>
  </r>
  <r>
    <s v="ORD00659"/>
    <x v="21"/>
    <s v="Dewi Ananda"/>
    <x v="17"/>
    <x v="10"/>
    <n v="45000"/>
    <n v="2"/>
    <n v="20"/>
    <n v="90000"/>
    <n v="18000"/>
    <n v="72000"/>
    <n v="50000"/>
    <n v="122000"/>
    <x v="2"/>
    <x v="2"/>
    <x v="3"/>
    <x v="4"/>
    <x v="0"/>
    <s v="Bagus"/>
    <x v="2"/>
    <s v="normal"/>
  </r>
  <r>
    <s v="ORD00466"/>
    <x v="22"/>
    <s v="Ani Hidayat"/>
    <x v="18"/>
    <x v="14"/>
    <n v="18000"/>
    <n v="3"/>
    <n v="20"/>
    <n v="54000"/>
    <n v="10800"/>
    <n v="43200"/>
    <n v="43000"/>
    <n v="86200"/>
    <x v="2"/>
    <x v="2"/>
    <x v="3"/>
    <x v="4"/>
    <x v="0"/>
    <s v="Bagus"/>
    <x v="2"/>
    <s v="normal"/>
  </r>
  <r>
    <s v="ORD00466"/>
    <x v="22"/>
    <s v="Ani Hidayat"/>
    <x v="18"/>
    <x v="11"/>
    <n v="30000"/>
    <n v="1"/>
    <n v="0"/>
    <n v="30000"/>
    <n v="0"/>
    <n v="30000"/>
    <n v="0"/>
    <n v="30000"/>
    <x v="2"/>
    <x v="2"/>
    <x v="3"/>
    <x v="4"/>
    <x v="0"/>
    <s v="Bagus"/>
    <x v="1"/>
    <s v="sangat rendah"/>
  </r>
  <r>
    <s v="ORD00610"/>
    <x v="23"/>
    <s v="Ani Utami"/>
    <x v="19"/>
    <x v="15"/>
    <n v="4000"/>
    <n v="2"/>
    <n v="5"/>
    <n v="8000"/>
    <n v="400"/>
    <n v="7600"/>
    <n v="55000"/>
    <n v="62600"/>
    <x v="0"/>
    <x v="2"/>
    <x v="2"/>
    <x v="1"/>
    <x v="0"/>
    <s v="Rendah"/>
    <x v="1"/>
    <s v="sangat rendah"/>
  </r>
  <r>
    <s v="ORD01002"/>
    <x v="24"/>
    <s v="Yani Santoso"/>
    <x v="20"/>
    <x v="16"/>
    <n v="28000"/>
    <n v="5"/>
    <n v="15"/>
    <n v="140000"/>
    <n v="21000"/>
    <n v="119000"/>
    <n v="85000"/>
    <n v="204000"/>
    <x v="2"/>
    <x v="1"/>
    <x v="2"/>
    <x v="3"/>
    <x v="0"/>
    <s v="Bagus"/>
    <x v="4"/>
    <s v="tinggi"/>
  </r>
  <r>
    <s v="ORD00708"/>
    <x v="25"/>
    <s v="Zahra Saputra"/>
    <x v="15"/>
    <x v="16"/>
    <n v="28000"/>
    <n v="1"/>
    <n v="10"/>
    <n v="28000"/>
    <n v="2800"/>
    <n v="25200"/>
    <n v="17000"/>
    <n v="42200"/>
    <x v="1"/>
    <x v="3"/>
    <x v="0"/>
    <x v="0"/>
    <x v="0"/>
    <s v="Standar"/>
    <x v="1"/>
    <s v="sangat rendah"/>
  </r>
  <r>
    <s v="ORD00389"/>
    <x v="26"/>
    <s v="Dina Puspita"/>
    <x v="4"/>
    <x v="15"/>
    <n v="4000"/>
    <n v="1"/>
    <n v="0"/>
    <n v="4000"/>
    <n v="0"/>
    <n v="4000"/>
    <n v="0"/>
    <n v="4000"/>
    <x v="0"/>
    <x v="2"/>
    <x v="4"/>
    <x v="1"/>
    <x v="0"/>
    <s v="Rendah"/>
    <x v="1"/>
    <s v="sangat rendah"/>
  </r>
  <r>
    <s v="ORD00389"/>
    <x v="26"/>
    <s v="Dina Puspita"/>
    <x v="4"/>
    <x v="15"/>
    <n v="4000"/>
    <n v="2"/>
    <n v="15"/>
    <n v="8000"/>
    <n v="1200"/>
    <n v="6800"/>
    <n v="0"/>
    <n v="6800"/>
    <x v="0"/>
    <x v="2"/>
    <x v="4"/>
    <x v="1"/>
    <x v="0"/>
    <s v="Rendah"/>
    <x v="1"/>
    <s v="sangat rendah"/>
  </r>
  <r>
    <s v="ORD01049"/>
    <x v="27"/>
    <s v="Umar Setiawan"/>
    <x v="21"/>
    <x v="16"/>
    <n v="28000"/>
    <n v="2"/>
    <n v="5"/>
    <n v="56000"/>
    <n v="2800"/>
    <n v="53200"/>
    <n v="72000"/>
    <n v="125200"/>
    <x v="2"/>
    <x v="2"/>
    <x v="3"/>
    <x v="2"/>
    <x v="1"/>
    <s v="Rendah"/>
    <x v="1"/>
    <s v="sangat rendah"/>
  </r>
  <r>
    <s v="ORD00629"/>
    <x v="28"/>
    <s v="Ani Ramadhani"/>
    <x v="16"/>
    <x v="0"/>
    <n v="16000"/>
    <n v="3"/>
    <n v="20"/>
    <n v="48000"/>
    <n v="9600"/>
    <n v="38400"/>
    <n v="50000"/>
    <n v="88400"/>
    <x v="2"/>
    <x v="1"/>
    <x v="2"/>
    <x v="3"/>
    <x v="0"/>
    <s v="Bagus"/>
    <x v="0"/>
    <s v="rendah"/>
  </r>
  <r>
    <s v="ORD00731"/>
    <x v="29"/>
    <s v="Vina Iskandar"/>
    <x v="3"/>
    <x v="4"/>
    <n v="6000"/>
    <n v="4"/>
    <n v="10"/>
    <n v="24000"/>
    <n v="2400"/>
    <n v="21600"/>
    <n v="18000"/>
    <n v="39600"/>
    <x v="0"/>
    <x v="2"/>
    <x v="3"/>
    <x v="2"/>
    <x v="0"/>
    <s v="Rendah"/>
    <x v="1"/>
    <s v="sangat rendah"/>
  </r>
  <r>
    <s v="ORD00527"/>
    <x v="30"/>
    <s v="Fitri Halim"/>
    <x v="22"/>
    <x v="12"/>
    <n v="25000"/>
    <n v="4"/>
    <n v="5"/>
    <n v="100000"/>
    <n v="5000"/>
    <n v="95000"/>
    <n v="80000"/>
    <n v="175000"/>
    <x v="3"/>
    <x v="2"/>
    <x v="3"/>
    <x v="4"/>
    <x v="0"/>
    <s v="Bagus"/>
    <x v="1"/>
    <s v="sangat rendah"/>
  </r>
  <r>
    <s v="ORD00176"/>
    <x v="31"/>
    <s v="Fitri Santoso"/>
    <x v="23"/>
    <x v="17"/>
    <n v="15000"/>
    <n v="2"/>
    <n v="15"/>
    <n v="30000"/>
    <n v="4500"/>
    <n v="25500"/>
    <n v="49000"/>
    <n v="74500"/>
    <x v="3"/>
    <x v="2"/>
    <x v="3"/>
    <x v="0"/>
    <x v="0"/>
    <s v="Standar"/>
    <x v="1"/>
    <s v="sangat rendah"/>
  </r>
  <r>
    <s v="ORD00154"/>
    <x v="32"/>
    <s v="Hana Pradipta"/>
    <x v="6"/>
    <x v="0"/>
    <n v="16000"/>
    <n v="1"/>
    <n v="0"/>
    <n v="16000"/>
    <n v="0"/>
    <n v="16000"/>
    <n v="30000"/>
    <n v="46000"/>
    <x v="0"/>
    <x v="3"/>
    <x v="0"/>
    <x v="3"/>
    <x v="0"/>
    <s v="Bagus"/>
    <x v="1"/>
    <s v="sangat rendah"/>
  </r>
  <r>
    <s v="ORD00902"/>
    <x v="33"/>
    <s v="Hana Setiawan"/>
    <x v="11"/>
    <x v="18"/>
    <n v="16000"/>
    <n v="2"/>
    <n v="10"/>
    <n v="32000"/>
    <n v="3200"/>
    <n v="28800"/>
    <n v="56000"/>
    <n v="84800"/>
    <x v="1"/>
    <x v="2"/>
    <x v="1"/>
    <x v="1"/>
    <x v="0"/>
    <s v="Rendah"/>
    <x v="1"/>
    <s v="sangat rendah"/>
  </r>
  <r>
    <s v="ORD01183"/>
    <x v="34"/>
    <s v="Yoga Utami"/>
    <x v="19"/>
    <x v="6"/>
    <n v="55000"/>
    <n v="3"/>
    <n v="5"/>
    <n v="165000"/>
    <n v="8250"/>
    <n v="156750"/>
    <n v="55000"/>
    <n v="211750"/>
    <x v="1"/>
    <x v="1"/>
    <x v="0"/>
    <x v="4"/>
    <x v="1"/>
    <s v="Bagus"/>
    <x v="0"/>
    <s v="rendah"/>
  </r>
  <r>
    <s v="ORD01479"/>
    <x v="35"/>
    <s v="Yani Santoso"/>
    <x v="20"/>
    <x v="10"/>
    <n v="45000"/>
    <n v="3"/>
    <n v="5"/>
    <n v="135000"/>
    <n v="6750"/>
    <n v="128250"/>
    <n v="85000"/>
    <n v="213250"/>
    <x v="3"/>
    <x v="2"/>
    <x v="1"/>
    <x v="2"/>
    <x v="0"/>
    <s v="Rendah"/>
    <x v="0"/>
    <s v="rendah"/>
  </r>
  <r>
    <s v="ORD00555"/>
    <x v="36"/>
    <s v="Fajar Kurniawan"/>
    <x v="24"/>
    <x v="19"/>
    <n v="35000"/>
    <n v="5"/>
    <n v="15"/>
    <n v="175000"/>
    <n v="26250"/>
    <n v="148750"/>
    <n v="93000"/>
    <n v="241750"/>
    <x v="3"/>
    <x v="1"/>
    <x v="1"/>
    <x v="2"/>
    <x v="1"/>
    <s v="Rendah"/>
    <x v="4"/>
    <s v="tinggi"/>
  </r>
  <r>
    <s v="ORD01588"/>
    <x v="37"/>
    <s v="Bayu Ramadhani"/>
    <x v="13"/>
    <x v="10"/>
    <n v="45000"/>
    <n v="3"/>
    <n v="20"/>
    <n v="135000"/>
    <n v="27000"/>
    <n v="108000"/>
    <n v="87000"/>
    <n v="195000"/>
    <x v="3"/>
    <x v="1"/>
    <x v="1"/>
    <x v="3"/>
    <x v="1"/>
    <s v="Bagus"/>
    <x v="4"/>
    <s v="tinggi"/>
  </r>
  <r>
    <s v="ORD01346"/>
    <x v="38"/>
    <s v="Indra Halim"/>
    <x v="2"/>
    <x v="1"/>
    <n v="17000"/>
    <n v="3"/>
    <n v="10"/>
    <n v="51000"/>
    <n v="5100"/>
    <n v="45900"/>
    <n v="26000"/>
    <n v="71900"/>
    <x v="0"/>
    <x v="0"/>
    <x v="2"/>
    <x v="3"/>
    <x v="1"/>
    <s v="Bagus"/>
    <x v="0"/>
    <s v="rendah"/>
  </r>
  <r>
    <s v="ORD00243"/>
    <x v="39"/>
    <s v="Putri Iskandar"/>
    <x v="25"/>
    <x v="10"/>
    <n v="45000"/>
    <n v="3"/>
    <n v="0"/>
    <n v="135000"/>
    <n v="0"/>
    <n v="135000"/>
    <n v="48000"/>
    <n v="183000"/>
    <x v="2"/>
    <x v="2"/>
    <x v="3"/>
    <x v="2"/>
    <x v="0"/>
    <s v="Rendah"/>
    <x v="1"/>
    <s v="sangat rendah"/>
  </r>
  <r>
    <s v="ORD00647"/>
    <x v="40"/>
    <s v="Zahra Wijaya"/>
    <x v="6"/>
    <x v="20"/>
    <n v="40000"/>
    <n v="1"/>
    <n v="5"/>
    <n v="40000"/>
    <n v="2000"/>
    <n v="38000"/>
    <n v="30000"/>
    <n v="68000"/>
    <x v="3"/>
    <x v="1"/>
    <x v="3"/>
    <x v="4"/>
    <x v="0"/>
    <s v="Bagus"/>
    <x v="1"/>
    <s v="sangat rendah"/>
  </r>
  <r>
    <s v="ORD01482"/>
    <x v="41"/>
    <s v="Zahra Nugroho"/>
    <x v="5"/>
    <x v="0"/>
    <n v="16000"/>
    <n v="4"/>
    <n v="15"/>
    <n v="64000"/>
    <n v="9600"/>
    <n v="54400"/>
    <n v="78000"/>
    <n v="132400"/>
    <x v="3"/>
    <x v="2"/>
    <x v="2"/>
    <x v="0"/>
    <x v="0"/>
    <s v="Standar"/>
    <x v="0"/>
    <s v="rendah"/>
  </r>
  <r>
    <s v="ORD01011"/>
    <x v="42"/>
    <s v="Citra Syahputra"/>
    <x v="14"/>
    <x v="14"/>
    <n v="18000"/>
    <n v="5"/>
    <n v="0"/>
    <n v="90000"/>
    <n v="0"/>
    <n v="90000"/>
    <n v="46000"/>
    <n v="136000"/>
    <x v="3"/>
    <x v="1"/>
    <x v="0"/>
    <x v="2"/>
    <x v="0"/>
    <s v="Rendah"/>
    <x v="1"/>
    <s v="sangat rendah"/>
  </r>
  <r>
    <s v="ORD01688"/>
    <x v="43"/>
    <s v="Kartika Utami"/>
    <x v="26"/>
    <x v="14"/>
    <n v="18000"/>
    <n v="4"/>
    <n v="15"/>
    <n v="72000"/>
    <n v="10800"/>
    <n v="61200"/>
    <n v="28000"/>
    <n v="89200"/>
    <x v="1"/>
    <x v="0"/>
    <x v="4"/>
    <x v="0"/>
    <x v="0"/>
    <s v="Standar"/>
    <x v="2"/>
    <s v="normal"/>
  </r>
  <r>
    <s v="ORD00853"/>
    <x v="44"/>
    <s v="Eka Halim"/>
    <x v="24"/>
    <x v="21"/>
    <n v="10000"/>
    <n v="1"/>
    <n v="15"/>
    <n v="10000"/>
    <n v="1500"/>
    <n v="8500"/>
    <n v="93000"/>
    <n v="101500"/>
    <x v="2"/>
    <x v="0"/>
    <x v="1"/>
    <x v="0"/>
    <x v="0"/>
    <s v="Standar"/>
    <x v="1"/>
    <s v="sangat rendah"/>
  </r>
  <r>
    <s v="ORD00810"/>
    <x v="45"/>
    <s v="Dewi Hidayat"/>
    <x v="3"/>
    <x v="22"/>
    <n v="18000"/>
    <n v="2"/>
    <n v="15"/>
    <n v="36000"/>
    <n v="5400"/>
    <n v="30600"/>
    <n v="18000"/>
    <n v="48600"/>
    <x v="3"/>
    <x v="2"/>
    <x v="1"/>
    <x v="2"/>
    <x v="0"/>
    <s v="Rendah"/>
    <x v="0"/>
    <s v="rendah"/>
  </r>
  <r>
    <s v="ORD01846"/>
    <x v="46"/>
    <s v="Aulia Nugroho"/>
    <x v="27"/>
    <x v="2"/>
    <n v="5000"/>
    <n v="5"/>
    <n v="20"/>
    <n v="25000"/>
    <n v="5000"/>
    <n v="20000"/>
    <n v="18000"/>
    <n v="38000"/>
    <x v="2"/>
    <x v="2"/>
    <x v="0"/>
    <x v="3"/>
    <x v="0"/>
    <s v="Bagus"/>
    <x v="1"/>
    <s v="sangat rendah"/>
  </r>
  <r>
    <s v="ORD00266"/>
    <x v="47"/>
    <s v="Clara Ramadhani"/>
    <x v="25"/>
    <x v="12"/>
    <n v="25000"/>
    <n v="2"/>
    <n v="20"/>
    <n v="50000"/>
    <n v="10000"/>
    <n v="40000"/>
    <n v="48000"/>
    <n v="88000"/>
    <x v="0"/>
    <x v="0"/>
    <x v="3"/>
    <x v="0"/>
    <x v="0"/>
    <s v="Standar"/>
    <x v="0"/>
    <s v="rendah"/>
  </r>
  <r>
    <s v="ORD00266"/>
    <x v="47"/>
    <s v="Clara Ramadhani"/>
    <x v="25"/>
    <x v="18"/>
    <n v="16000"/>
    <n v="1"/>
    <n v="15"/>
    <n v="16000"/>
    <n v="2400"/>
    <n v="13600"/>
    <n v="0"/>
    <n v="13600"/>
    <x v="0"/>
    <x v="0"/>
    <x v="3"/>
    <x v="0"/>
    <x v="0"/>
    <s v="Standar"/>
    <x v="1"/>
    <s v="sangat rendah"/>
  </r>
  <r>
    <s v="ORD01472"/>
    <x v="48"/>
    <s v="Kartika Pradipta"/>
    <x v="9"/>
    <x v="23"/>
    <n v="45000"/>
    <n v="3"/>
    <n v="15"/>
    <n v="135000"/>
    <n v="20250"/>
    <n v="114750"/>
    <n v="21000"/>
    <n v="135750"/>
    <x v="0"/>
    <x v="0"/>
    <x v="0"/>
    <x v="3"/>
    <x v="0"/>
    <s v="Bagus"/>
    <x v="4"/>
    <s v="tinggi"/>
  </r>
  <r>
    <s v="ORD01249"/>
    <x v="49"/>
    <s v="Sari Kurniawan"/>
    <x v="28"/>
    <x v="24"/>
    <n v="22000"/>
    <n v="4"/>
    <n v="15"/>
    <n v="88000"/>
    <n v="13200"/>
    <n v="74800"/>
    <n v="79000"/>
    <n v="153800"/>
    <x v="0"/>
    <x v="0"/>
    <x v="1"/>
    <x v="3"/>
    <x v="0"/>
    <s v="Bagus"/>
    <x v="2"/>
    <s v="normal"/>
  </r>
  <r>
    <s v="ORD00332"/>
    <x v="50"/>
    <s v="Qori Syahputra"/>
    <x v="6"/>
    <x v="9"/>
    <n v="35000"/>
    <n v="1"/>
    <n v="10"/>
    <n v="35000"/>
    <n v="3500"/>
    <n v="31500"/>
    <n v="30000"/>
    <n v="61500"/>
    <x v="3"/>
    <x v="2"/>
    <x v="0"/>
    <x v="3"/>
    <x v="0"/>
    <s v="Bagus"/>
    <x v="1"/>
    <s v="sangat rendah"/>
  </r>
  <r>
    <s v="ORD00142"/>
    <x v="51"/>
    <s v="Erna Santoso"/>
    <x v="18"/>
    <x v="2"/>
    <n v="5000"/>
    <n v="3"/>
    <n v="10"/>
    <n v="15000"/>
    <n v="1500"/>
    <n v="13500"/>
    <n v="43000"/>
    <n v="56500"/>
    <x v="2"/>
    <x v="2"/>
    <x v="2"/>
    <x v="2"/>
    <x v="0"/>
    <s v="Rendah"/>
    <x v="1"/>
    <s v="sangat rendah"/>
  </r>
  <r>
    <s v="ORD01299"/>
    <x v="52"/>
    <s v="Yani Nugroho"/>
    <x v="15"/>
    <x v="22"/>
    <n v="18000"/>
    <n v="4"/>
    <n v="15"/>
    <n v="72000"/>
    <n v="10800"/>
    <n v="61200"/>
    <n v="17000"/>
    <n v="78200"/>
    <x v="1"/>
    <x v="2"/>
    <x v="4"/>
    <x v="1"/>
    <x v="0"/>
    <s v="Rendah"/>
    <x v="2"/>
    <s v="normal"/>
  </r>
  <r>
    <s v="ORD00760"/>
    <x v="53"/>
    <s v="Zahra Santoso"/>
    <x v="29"/>
    <x v="8"/>
    <n v="14000"/>
    <n v="1"/>
    <n v="15"/>
    <n v="14000"/>
    <n v="2100"/>
    <n v="11900"/>
    <n v="89000"/>
    <n v="100900"/>
    <x v="0"/>
    <x v="2"/>
    <x v="3"/>
    <x v="3"/>
    <x v="0"/>
    <s v="Bagus"/>
    <x v="1"/>
    <s v="sangat rendah"/>
  </r>
  <r>
    <s v="ORD01097"/>
    <x v="54"/>
    <s v="Fitri Budiman"/>
    <x v="3"/>
    <x v="17"/>
    <n v="15000"/>
    <n v="2"/>
    <n v="15"/>
    <n v="30000"/>
    <n v="4500"/>
    <n v="25500"/>
    <n v="18000"/>
    <n v="43500"/>
    <x v="0"/>
    <x v="0"/>
    <x v="1"/>
    <x v="1"/>
    <x v="0"/>
    <s v="Rendah"/>
    <x v="1"/>
    <s v="sangat rendah"/>
  </r>
  <r>
    <s v="ORD00869"/>
    <x v="55"/>
    <s v="Sari Puspita"/>
    <x v="30"/>
    <x v="12"/>
    <n v="25000"/>
    <n v="1"/>
    <n v="0"/>
    <n v="25000"/>
    <n v="0"/>
    <n v="25000"/>
    <n v="97000"/>
    <n v="122000"/>
    <x v="0"/>
    <x v="2"/>
    <x v="2"/>
    <x v="2"/>
    <x v="0"/>
    <s v="Rendah"/>
    <x v="1"/>
    <s v="sangat rendah"/>
  </r>
  <r>
    <s v="ORD01298"/>
    <x v="56"/>
    <s v="Eka Kusuma"/>
    <x v="20"/>
    <x v="9"/>
    <n v="35000"/>
    <n v="4"/>
    <n v="5"/>
    <n v="140000"/>
    <n v="7000"/>
    <n v="133000"/>
    <n v="85000"/>
    <n v="218000"/>
    <x v="2"/>
    <x v="2"/>
    <x v="2"/>
    <x v="2"/>
    <x v="0"/>
    <s v="Rendah"/>
    <x v="0"/>
    <s v="rendah"/>
  </r>
  <r>
    <s v="ORD00236"/>
    <x v="57"/>
    <s v="Zahra Utami"/>
    <x v="16"/>
    <x v="4"/>
    <n v="6000"/>
    <n v="1"/>
    <n v="5"/>
    <n v="6000"/>
    <n v="300"/>
    <n v="5700"/>
    <n v="50000"/>
    <n v="55700"/>
    <x v="0"/>
    <x v="2"/>
    <x v="2"/>
    <x v="2"/>
    <x v="0"/>
    <s v="Rendah"/>
    <x v="1"/>
    <s v="sangat rendah"/>
  </r>
  <r>
    <s v="ORD01743"/>
    <x v="58"/>
    <s v="Eka Iskandar"/>
    <x v="12"/>
    <x v="23"/>
    <n v="45000"/>
    <n v="2"/>
    <n v="5"/>
    <n v="90000"/>
    <n v="4500"/>
    <n v="85500"/>
    <n v="74000"/>
    <n v="159500"/>
    <x v="2"/>
    <x v="1"/>
    <x v="0"/>
    <x v="0"/>
    <x v="0"/>
    <s v="Standar"/>
    <x v="1"/>
    <s v="sangat rendah"/>
  </r>
  <r>
    <s v="ORD00937"/>
    <x v="59"/>
    <s v="Erna Setiawan"/>
    <x v="22"/>
    <x v="18"/>
    <n v="16000"/>
    <n v="1"/>
    <n v="10"/>
    <n v="16000"/>
    <n v="1600"/>
    <n v="14400"/>
    <n v="80000"/>
    <n v="94400"/>
    <x v="1"/>
    <x v="0"/>
    <x v="0"/>
    <x v="1"/>
    <x v="0"/>
    <s v="Rendah"/>
    <x v="1"/>
    <s v="sangat rendah"/>
  </r>
  <r>
    <s v="ORD00814"/>
    <x v="60"/>
    <s v="Putri Wijaya"/>
    <x v="6"/>
    <x v="2"/>
    <n v="5000"/>
    <n v="5"/>
    <n v="20"/>
    <n v="25000"/>
    <n v="5000"/>
    <n v="20000"/>
    <n v="30000"/>
    <n v="50000"/>
    <x v="2"/>
    <x v="2"/>
    <x v="0"/>
    <x v="0"/>
    <x v="0"/>
    <s v="Standar"/>
    <x v="1"/>
    <s v="sangat rendah"/>
  </r>
  <r>
    <s v="ORD01391"/>
    <x v="61"/>
    <s v="Putri Santoso"/>
    <x v="5"/>
    <x v="10"/>
    <n v="45000"/>
    <n v="1"/>
    <n v="10"/>
    <n v="45000"/>
    <n v="4500"/>
    <n v="40500"/>
    <n v="78000"/>
    <n v="118500"/>
    <x v="2"/>
    <x v="0"/>
    <x v="2"/>
    <x v="1"/>
    <x v="0"/>
    <s v="Rendah"/>
    <x v="1"/>
    <s v="sangat rendah"/>
  </r>
  <r>
    <s v="ORD01048"/>
    <x v="62"/>
    <s v="Yani Wijaya"/>
    <x v="12"/>
    <x v="21"/>
    <n v="10000"/>
    <n v="2"/>
    <n v="5"/>
    <n v="20000"/>
    <n v="1000"/>
    <n v="19000"/>
    <n v="74000"/>
    <n v="93000"/>
    <x v="0"/>
    <x v="2"/>
    <x v="4"/>
    <x v="1"/>
    <x v="0"/>
    <s v="Rendah"/>
    <x v="1"/>
    <s v="sangat rendah"/>
  </r>
  <r>
    <s v="ORD00478"/>
    <x v="63"/>
    <s v="Kartika Hidayat"/>
    <x v="10"/>
    <x v="9"/>
    <n v="35000"/>
    <n v="1"/>
    <n v="10"/>
    <n v="35000"/>
    <n v="3500"/>
    <n v="31500"/>
    <n v="84000"/>
    <n v="115500"/>
    <x v="3"/>
    <x v="1"/>
    <x v="4"/>
    <x v="1"/>
    <x v="0"/>
    <s v="Rendah"/>
    <x v="1"/>
    <s v="sangat rendah"/>
  </r>
  <r>
    <s v="ORD00906"/>
    <x v="64"/>
    <s v="Fitri Setiawan"/>
    <x v="23"/>
    <x v="14"/>
    <n v="18000"/>
    <n v="2"/>
    <n v="10"/>
    <n v="36000"/>
    <n v="3600"/>
    <n v="32400"/>
    <n v="49000"/>
    <n v="81400"/>
    <x v="2"/>
    <x v="2"/>
    <x v="4"/>
    <x v="2"/>
    <x v="0"/>
    <s v="Rendah"/>
    <x v="1"/>
    <s v="sangat rendah"/>
  </r>
  <r>
    <s v="ORD00867"/>
    <x v="65"/>
    <s v="Dina Nugroho"/>
    <x v="30"/>
    <x v="10"/>
    <n v="45000"/>
    <n v="5"/>
    <n v="20"/>
    <n v="225000"/>
    <n v="45000"/>
    <n v="180000"/>
    <n v="97000"/>
    <n v="277000"/>
    <x v="3"/>
    <x v="3"/>
    <x v="3"/>
    <x v="2"/>
    <x v="0"/>
    <s v="Rendah"/>
    <x v="3"/>
    <s v="sangat tinggi"/>
  </r>
  <r>
    <s v="ORD01089"/>
    <x v="66"/>
    <s v="Dewi Wijaya"/>
    <x v="6"/>
    <x v="10"/>
    <n v="45000"/>
    <n v="1"/>
    <n v="5"/>
    <n v="45000"/>
    <n v="2250"/>
    <n v="42750"/>
    <n v="30000"/>
    <n v="72750"/>
    <x v="3"/>
    <x v="2"/>
    <x v="2"/>
    <x v="3"/>
    <x v="0"/>
    <s v="Bagus"/>
    <x v="1"/>
    <s v="sangat rendah"/>
  </r>
  <r>
    <s v="ORD00981"/>
    <x v="67"/>
    <s v="Dimas Maulana"/>
    <x v="11"/>
    <x v="6"/>
    <n v="55000"/>
    <n v="2"/>
    <n v="0"/>
    <n v="110000"/>
    <n v="0"/>
    <n v="110000"/>
    <n v="56000"/>
    <n v="166000"/>
    <x v="0"/>
    <x v="2"/>
    <x v="0"/>
    <x v="3"/>
    <x v="1"/>
    <s v="Bagus"/>
    <x v="1"/>
    <s v="sangat rendah"/>
  </r>
  <r>
    <s v="ORD01842"/>
    <x v="68"/>
    <s v="Sari Kurniawan"/>
    <x v="28"/>
    <x v="9"/>
    <n v="35000"/>
    <n v="4"/>
    <n v="20"/>
    <n v="140000"/>
    <n v="28000"/>
    <n v="112000"/>
    <n v="79000"/>
    <n v="191000"/>
    <x v="0"/>
    <x v="1"/>
    <x v="4"/>
    <x v="4"/>
    <x v="0"/>
    <s v="Bagus"/>
    <x v="4"/>
    <s v="tinggi"/>
  </r>
  <r>
    <s v="ORD00791"/>
    <x v="69"/>
    <s v="Yani Utami"/>
    <x v="8"/>
    <x v="11"/>
    <n v="30000"/>
    <n v="1"/>
    <n v="20"/>
    <n v="30000"/>
    <n v="6000"/>
    <n v="24000"/>
    <n v="87000"/>
    <n v="111000"/>
    <x v="3"/>
    <x v="2"/>
    <x v="4"/>
    <x v="0"/>
    <x v="0"/>
    <s v="Standar"/>
    <x v="0"/>
    <s v="rendah"/>
  </r>
  <r>
    <s v="ORD00178"/>
    <x v="70"/>
    <s v="Lestari Wijaya"/>
    <x v="4"/>
    <x v="24"/>
    <n v="22000"/>
    <n v="3"/>
    <n v="0"/>
    <n v="66000"/>
    <n v="0"/>
    <n v="66000"/>
    <n v="0"/>
    <n v="66000"/>
    <x v="3"/>
    <x v="1"/>
    <x v="3"/>
    <x v="2"/>
    <x v="0"/>
    <s v="Rendah"/>
    <x v="1"/>
    <s v="sangat rendah"/>
  </r>
  <r>
    <s v="ORD00150"/>
    <x v="71"/>
    <s v="Citra Ananda"/>
    <x v="3"/>
    <x v="25"/>
    <n v="40000"/>
    <n v="1"/>
    <n v="5"/>
    <n v="40000"/>
    <n v="2000"/>
    <n v="38000"/>
    <n v="18000"/>
    <n v="56000"/>
    <x v="2"/>
    <x v="2"/>
    <x v="4"/>
    <x v="2"/>
    <x v="0"/>
    <s v="Rendah"/>
    <x v="1"/>
    <s v="sangat rendah"/>
  </r>
  <r>
    <s v="ORD00783"/>
    <x v="72"/>
    <s v="Clara Budiman"/>
    <x v="24"/>
    <x v="25"/>
    <n v="40000"/>
    <n v="3"/>
    <n v="0"/>
    <n v="120000"/>
    <n v="0"/>
    <n v="120000"/>
    <n v="93000"/>
    <n v="213000"/>
    <x v="2"/>
    <x v="0"/>
    <x v="1"/>
    <x v="3"/>
    <x v="0"/>
    <s v="Bagus"/>
    <x v="1"/>
    <s v="sangat rendah"/>
  </r>
  <r>
    <s v="ORD00739"/>
    <x v="73"/>
    <s v="Fitri Budiman"/>
    <x v="3"/>
    <x v="4"/>
    <n v="6000"/>
    <n v="4"/>
    <n v="20"/>
    <n v="24000"/>
    <n v="4800"/>
    <n v="19200"/>
    <n v="18000"/>
    <n v="37200"/>
    <x v="3"/>
    <x v="2"/>
    <x v="0"/>
    <x v="3"/>
    <x v="0"/>
    <s v="Bagus"/>
    <x v="1"/>
    <s v="sangat rendah"/>
  </r>
  <r>
    <s v="ORD01468"/>
    <x v="74"/>
    <s v="Gita Utami"/>
    <x v="31"/>
    <x v="24"/>
    <n v="22000"/>
    <n v="2"/>
    <n v="20"/>
    <n v="44000"/>
    <n v="8800"/>
    <n v="35200"/>
    <n v="18000"/>
    <n v="53200"/>
    <x v="1"/>
    <x v="1"/>
    <x v="3"/>
    <x v="4"/>
    <x v="0"/>
    <s v="Bagus"/>
    <x v="0"/>
    <s v="rendah"/>
  </r>
  <r>
    <s v="ORD01444"/>
    <x v="75"/>
    <s v="Kartika Saputra"/>
    <x v="0"/>
    <x v="21"/>
    <n v="10000"/>
    <n v="1"/>
    <n v="15"/>
    <n v="10000"/>
    <n v="1500"/>
    <n v="8500"/>
    <n v="67000"/>
    <n v="75500"/>
    <x v="3"/>
    <x v="3"/>
    <x v="0"/>
    <x v="0"/>
    <x v="0"/>
    <s v="Standar"/>
    <x v="1"/>
    <s v="sangat rendah"/>
  </r>
  <r>
    <s v="ORD00140"/>
    <x v="76"/>
    <s v="Qori Ramadhani"/>
    <x v="32"/>
    <x v="1"/>
    <n v="17000"/>
    <n v="4"/>
    <n v="15"/>
    <n v="68000"/>
    <n v="10200"/>
    <n v="57800"/>
    <n v="59000"/>
    <n v="116800"/>
    <x v="3"/>
    <x v="1"/>
    <x v="0"/>
    <x v="0"/>
    <x v="0"/>
    <s v="Standar"/>
    <x v="2"/>
    <s v="normal"/>
  </r>
  <r>
    <s v="ORD00322"/>
    <x v="77"/>
    <s v="Fitri Hidayat"/>
    <x v="21"/>
    <x v="0"/>
    <n v="16000"/>
    <n v="1"/>
    <n v="15"/>
    <n v="16000"/>
    <n v="2400"/>
    <n v="13600"/>
    <n v="72000"/>
    <n v="85600"/>
    <x v="1"/>
    <x v="3"/>
    <x v="4"/>
    <x v="3"/>
    <x v="0"/>
    <s v="Bagus"/>
    <x v="1"/>
    <s v="sangat rendah"/>
  </r>
  <r>
    <s v="ORD00846"/>
    <x v="78"/>
    <s v="Yoga Utami"/>
    <x v="19"/>
    <x v="5"/>
    <n v="50000"/>
    <n v="1"/>
    <n v="20"/>
    <n v="50000"/>
    <n v="10000"/>
    <n v="40000"/>
    <n v="55000"/>
    <n v="95000"/>
    <x v="1"/>
    <x v="1"/>
    <x v="0"/>
    <x v="2"/>
    <x v="1"/>
    <s v="Rendah"/>
    <x v="0"/>
    <s v="rendah"/>
  </r>
  <r>
    <s v="ORD00467"/>
    <x v="79"/>
    <s v="Aulia Fauziah"/>
    <x v="33"/>
    <x v="17"/>
    <n v="15000"/>
    <n v="3"/>
    <n v="15"/>
    <n v="45000"/>
    <n v="6750"/>
    <n v="38250"/>
    <n v="68000"/>
    <n v="106250"/>
    <x v="3"/>
    <x v="2"/>
    <x v="1"/>
    <x v="1"/>
    <x v="0"/>
    <s v="Rendah"/>
    <x v="0"/>
    <s v="rendah"/>
  </r>
  <r>
    <s v="ORD01434"/>
    <x v="80"/>
    <s v="Dewi Rahmawati"/>
    <x v="2"/>
    <x v="12"/>
    <n v="25000"/>
    <n v="2"/>
    <n v="10"/>
    <n v="50000"/>
    <n v="5000"/>
    <n v="45000"/>
    <n v="26000"/>
    <n v="71000"/>
    <x v="2"/>
    <x v="4"/>
    <x v="3"/>
    <x v="3"/>
    <x v="0"/>
    <s v="Bagus"/>
    <x v="1"/>
    <s v="sangat rendah"/>
  </r>
  <r>
    <s v="ORD01555"/>
    <x v="81"/>
    <s v="Iwan Rahmawati"/>
    <x v="4"/>
    <x v="0"/>
    <n v="16000"/>
    <n v="3"/>
    <n v="0"/>
    <n v="48000"/>
    <n v="0"/>
    <n v="48000"/>
    <n v="0"/>
    <n v="48000"/>
    <x v="3"/>
    <x v="0"/>
    <x v="0"/>
    <x v="0"/>
    <x v="1"/>
    <s v="Standar"/>
    <x v="1"/>
    <s v="sangat rendah"/>
  </r>
  <r>
    <s v="ORD01634"/>
    <x v="82"/>
    <s v="Hana Setiawan"/>
    <x v="11"/>
    <x v="25"/>
    <n v="40000"/>
    <n v="2"/>
    <n v="15"/>
    <n v="80000"/>
    <n v="12000"/>
    <n v="68000"/>
    <n v="56000"/>
    <n v="124000"/>
    <x v="1"/>
    <x v="1"/>
    <x v="4"/>
    <x v="4"/>
    <x v="0"/>
    <s v="Bagus"/>
    <x v="2"/>
    <s v="normal"/>
  </r>
  <r>
    <s v="ORD01385"/>
    <x v="83"/>
    <s v="Yoga Nugroho"/>
    <x v="27"/>
    <x v="15"/>
    <n v="4000"/>
    <n v="1"/>
    <n v="5"/>
    <n v="4000"/>
    <n v="200"/>
    <n v="3800"/>
    <n v="18000"/>
    <n v="21800"/>
    <x v="2"/>
    <x v="1"/>
    <x v="4"/>
    <x v="3"/>
    <x v="1"/>
    <s v="Bagus"/>
    <x v="1"/>
    <s v="sangat rendah"/>
  </r>
  <r>
    <s v="ORD01571"/>
    <x v="84"/>
    <s v="Zahra Rahmawati"/>
    <x v="21"/>
    <x v="4"/>
    <n v="6000"/>
    <n v="1"/>
    <n v="15"/>
    <n v="6000"/>
    <n v="900"/>
    <n v="5100"/>
    <n v="72000"/>
    <n v="77100"/>
    <x v="2"/>
    <x v="1"/>
    <x v="0"/>
    <x v="3"/>
    <x v="0"/>
    <s v="Bagus"/>
    <x v="1"/>
    <s v="sangat rendah"/>
  </r>
  <r>
    <s v="ORD01260"/>
    <x v="85"/>
    <s v="Oka Santoso"/>
    <x v="3"/>
    <x v="13"/>
    <n v="17000"/>
    <n v="3"/>
    <n v="0"/>
    <n v="51000"/>
    <n v="0"/>
    <n v="51000"/>
    <n v="18000"/>
    <n v="69000"/>
    <x v="3"/>
    <x v="1"/>
    <x v="4"/>
    <x v="2"/>
    <x v="1"/>
    <s v="Rendah"/>
    <x v="1"/>
    <s v="sangat rendah"/>
  </r>
  <r>
    <s v="ORD00723"/>
    <x v="86"/>
    <s v="Galih Saputra"/>
    <x v="30"/>
    <x v="25"/>
    <n v="40000"/>
    <n v="4"/>
    <n v="15"/>
    <n v="160000"/>
    <n v="24000"/>
    <n v="136000"/>
    <n v="97000"/>
    <n v="233000"/>
    <x v="0"/>
    <x v="0"/>
    <x v="1"/>
    <x v="2"/>
    <x v="1"/>
    <s v="Rendah"/>
    <x v="4"/>
    <s v="tinggi"/>
  </r>
  <r>
    <s v="ORD01032"/>
    <x v="87"/>
    <s v="Budi Hidayat"/>
    <x v="7"/>
    <x v="3"/>
    <n v="14000"/>
    <n v="3"/>
    <n v="20"/>
    <n v="42000"/>
    <n v="8400"/>
    <n v="33600"/>
    <n v="15000"/>
    <n v="48600"/>
    <x v="1"/>
    <x v="2"/>
    <x v="1"/>
    <x v="2"/>
    <x v="1"/>
    <s v="Rendah"/>
    <x v="0"/>
    <s v="rendah"/>
  </r>
  <r>
    <s v="ORD01820"/>
    <x v="88"/>
    <s v="Dewi Wijaya"/>
    <x v="6"/>
    <x v="22"/>
    <n v="18000"/>
    <n v="5"/>
    <n v="15"/>
    <n v="90000"/>
    <n v="13500"/>
    <n v="76500"/>
    <n v="30000"/>
    <n v="106500"/>
    <x v="2"/>
    <x v="2"/>
    <x v="0"/>
    <x v="0"/>
    <x v="0"/>
    <s v="Standar"/>
    <x v="2"/>
    <s v="normal"/>
  </r>
  <r>
    <s v="ORD00392"/>
    <x v="89"/>
    <s v="Erna Rahmawati"/>
    <x v="27"/>
    <x v="7"/>
    <n v="12000"/>
    <n v="4"/>
    <n v="0"/>
    <n v="48000"/>
    <n v="0"/>
    <n v="48000"/>
    <n v="18000"/>
    <n v="66000"/>
    <x v="0"/>
    <x v="2"/>
    <x v="1"/>
    <x v="4"/>
    <x v="0"/>
    <s v="Bagus"/>
    <x v="1"/>
    <s v="sangat rendah"/>
  </r>
  <r>
    <s v="ORD01309"/>
    <x v="90"/>
    <s v="Aulia Saputra"/>
    <x v="1"/>
    <x v="7"/>
    <n v="12000"/>
    <n v="5"/>
    <n v="15"/>
    <n v="60000"/>
    <n v="9000"/>
    <n v="51000"/>
    <n v="59000"/>
    <n v="110000"/>
    <x v="0"/>
    <x v="1"/>
    <x v="3"/>
    <x v="1"/>
    <x v="0"/>
    <s v="Rendah"/>
    <x v="0"/>
    <s v="rendah"/>
  </r>
  <r>
    <s v="ORD01199"/>
    <x v="91"/>
    <s v="Eka Hidayat"/>
    <x v="18"/>
    <x v="25"/>
    <n v="40000"/>
    <n v="5"/>
    <n v="0"/>
    <n v="200000"/>
    <n v="0"/>
    <n v="200000"/>
    <n v="43000"/>
    <n v="243000"/>
    <x v="0"/>
    <x v="1"/>
    <x v="3"/>
    <x v="1"/>
    <x v="0"/>
    <s v="Rendah"/>
    <x v="1"/>
    <s v="sangat rendah"/>
  </r>
  <r>
    <s v="ORD00294"/>
    <x v="92"/>
    <s v="Sari Puspita"/>
    <x v="30"/>
    <x v="0"/>
    <n v="16000"/>
    <n v="5"/>
    <n v="5"/>
    <n v="80000"/>
    <n v="4000"/>
    <n v="76000"/>
    <n v="0"/>
    <n v="76000"/>
    <x v="3"/>
    <x v="2"/>
    <x v="2"/>
    <x v="2"/>
    <x v="0"/>
    <s v="Rendah"/>
    <x v="1"/>
    <s v="sangat rendah"/>
  </r>
  <r>
    <s v="ORD00294"/>
    <x v="92"/>
    <s v="Sari Puspita"/>
    <x v="30"/>
    <x v="19"/>
    <n v="35000"/>
    <n v="5"/>
    <n v="20"/>
    <n v="175000"/>
    <n v="35000"/>
    <n v="140000"/>
    <n v="97000"/>
    <n v="237000"/>
    <x v="3"/>
    <x v="2"/>
    <x v="2"/>
    <x v="2"/>
    <x v="0"/>
    <s v="Rendah"/>
    <x v="4"/>
    <s v="tinggi"/>
  </r>
  <r>
    <s v="ORD00100"/>
    <x v="93"/>
    <s v="Nanda Utami"/>
    <x v="24"/>
    <x v="11"/>
    <n v="30000"/>
    <n v="3"/>
    <n v="0"/>
    <n v="90000"/>
    <n v="0"/>
    <n v="90000"/>
    <n v="93000"/>
    <n v="183000"/>
    <x v="3"/>
    <x v="2"/>
    <x v="0"/>
    <x v="2"/>
    <x v="1"/>
    <s v="Rendah"/>
    <x v="1"/>
    <s v="sangat rendah"/>
  </r>
  <r>
    <s v="ORD01503"/>
    <x v="94"/>
    <s v="Lestari Syahputra"/>
    <x v="27"/>
    <x v="13"/>
    <n v="17000"/>
    <n v="1"/>
    <n v="5"/>
    <n v="17000"/>
    <n v="850"/>
    <n v="16150"/>
    <n v="18000"/>
    <n v="34150"/>
    <x v="3"/>
    <x v="3"/>
    <x v="4"/>
    <x v="2"/>
    <x v="0"/>
    <s v="Rendah"/>
    <x v="1"/>
    <s v="sangat rendah"/>
  </r>
  <r>
    <s v="ORD01553"/>
    <x v="95"/>
    <s v="Bella Saputra"/>
    <x v="27"/>
    <x v="7"/>
    <n v="12000"/>
    <n v="1"/>
    <n v="0"/>
    <n v="12000"/>
    <n v="0"/>
    <n v="12000"/>
    <n v="18000"/>
    <n v="30000"/>
    <x v="1"/>
    <x v="2"/>
    <x v="0"/>
    <x v="0"/>
    <x v="0"/>
    <s v="Standar"/>
    <x v="1"/>
    <s v="sangat rendah"/>
  </r>
  <r>
    <s v="ORD01814"/>
    <x v="96"/>
    <s v="Qori Halim"/>
    <x v="23"/>
    <x v="26"/>
    <n v="16000"/>
    <n v="3"/>
    <n v="20"/>
    <n v="48000"/>
    <n v="9600"/>
    <n v="38400"/>
    <n v="49000"/>
    <n v="87400"/>
    <x v="3"/>
    <x v="1"/>
    <x v="3"/>
    <x v="1"/>
    <x v="0"/>
    <s v="Rendah"/>
    <x v="0"/>
    <s v="rendah"/>
  </r>
  <r>
    <s v="ORD01622"/>
    <x v="97"/>
    <s v="Dewi Saputra"/>
    <x v="8"/>
    <x v="26"/>
    <n v="16000"/>
    <n v="4"/>
    <n v="20"/>
    <n v="64000"/>
    <n v="12800"/>
    <n v="51200"/>
    <n v="87000"/>
    <n v="138200"/>
    <x v="3"/>
    <x v="0"/>
    <x v="0"/>
    <x v="1"/>
    <x v="0"/>
    <s v="Rendah"/>
    <x v="2"/>
    <s v="normal"/>
  </r>
  <r>
    <s v="ORD00820"/>
    <x v="98"/>
    <s v="Dina Hidayat"/>
    <x v="23"/>
    <x v="4"/>
    <n v="6000"/>
    <n v="5"/>
    <n v="10"/>
    <n v="30000"/>
    <n v="3000"/>
    <n v="27000"/>
    <n v="49000"/>
    <n v="76000"/>
    <x v="3"/>
    <x v="2"/>
    <x v="0"/>
    <x v="4"/>
    <x v="0"/>
    <s v="Bagus"/>
    <x v="1"/>
    <s v="sangat rendah"/>
  </r>
  <r>
    <s v="ORD00873"/>
    <x v="99"/>
    <s v="Andi Setiawan"/>
    <x v="20"/>
    <x v="5"/>
    <n v="50000"/>
    <n v="4"/>
    <n v="5"/>
    <n v="200000"/>
    <n v="10000"/>
    <n v="190000"/>
    <n v="85000"/>
    <n v="275000"/>
    <x v="1"/>
    <x v="1"/>
    <x v="1"/>
    <x v="3"/>
    <x v="1"/>
    <s v="Bagus"/>
    <x v="0"/>
    <s v="rendah"/>
  </r>
  <r>
    <s v="ORD00180"/>
    <x v="100"/>
    <s v="Ani Puspita"/>
    <x v="0"/>
    <x v="23"/>
    <n v="45000"/>
    <n v="2"/>
    <n v="15"/>
    <n v="90000"/>
    <n v="13500"/>
    <n v="76500"/>
    <n v="67000"/>
    <n v="143500"/>
    <x v="2"/>
    <x v="2"/>
    <x v="4"/>
    <x v="0"/>
    <x v="0"/>
    <s v="Standar"/>
    <x v="2"/>
    <s v="normal"/>
  </r>
  <r>
    <s v="ORD01158"/>
    <x v="101"/>
    <s v="Fitri Ramadhani"/>
    <x v="12"/>
    <x v="10"/>
    <n v="45000"/>
    <n v="2"/>
    <n v="5"/>
    <n v="90000"/>
    <n v="4500"/>
    <n v="85500"/>
    <n v="74000"/>
    <n v="159500"/>
    <x v="2"/>
    <x v="1"/>
    <x v="4"/>
    <x v="0"/>
    <x v="0"/>
    <s v="Standar"/>
    <x v="1"/>
    <s v="sangat rendah"/>
  </r>
  <r>
    <s v="ORD00935"/>
    <x v="102"/>
    <s v="Lestari Budiman"/>
    <x v="20"/>
    <x v="15"/>
    <n v="4000"/>
    <n v="1"/>
    <n v="10"/>
    <n v="4000"/>
    <n v="400"/>
    <n v="3600"/>
    <n v="85000"/>
    <n v="88600"/>
    <x v="3"/>
    <x v="1"/>
    <x v="0"/>
    <x v="2"/>
    <x v="0"/>
    <s v="Rendah"/>
    <x v="1"/>
    <s v="sangat rendah"/>
  </r>
  <r>
    <s v="ORD01589"/>
    <x v="103"/>
    <s v="Dewi Setiawan"/>
    <x v="30"/>
    <x v="21"/>
    <n v="10000"/>
    <n v="3"/>
    <n v="5"/>
    <n v="30000"/>
    <n v="1500"/>
    <n v="28500"/>
    <n v="97000"/>
    <n v="125500"/>
    <x v="3"/>
    <x v="2"/>
    <x v="1"/>
    <x v="3"/>
    <x v="0"/>
    <s v="Bagus"/>
    <x v="1"/>
    <s v="sangat rendah"/>
  </r>
  <r>
    <s v="ORD01287"/>
    <x v="104"/>
    <s v="Hana Nugroho"/>
    <x v="12"/>
    <x v="25"/>
    <n v="40000"/>
    <n v="5"/>
    <n v="15"/>
    <n v="200000"/>
    <n v="30000"/>
    <n v="170000"/>
    <n v="74000"/>
    <n v="244000"/>
    <x v="3"/>
    <x v="1"/>
    <x v="2"/>
    <x v="2"/>
    <x v="0"/>
    <s v="Rendah"/>
    <x v="4"/>
    <s v="tinggi"/>
  </r>
  <r>
    <s v="ORD01618"/>
    <x v="105"/>
    <s v="Kartika Saputra"/>
    <x v="0"/>
    <x v="4"/>
    <n v="6000"/>
    <n v="4"/>
    <n v="20"/>
    <n v="24000"/>
    <n v="4800"/>
    <n v="19200"/>
    <n v="67000"/>
    <n v="86200"/>
    <x v="2"/>
    <x v="0"/>
    <x v="3"/>
    <x v="2"/>
    <x v="0"/>
    <s v="Rendah"/>
    <x v="1"/>
    <s v="sangat rendah"/>
  </r>
  <r>
    <s v="ORD01243"/>
    <x v="106"/>
    <s v="Indra Setiawan"/>
    <x v="11"/>
    <x v="22"/>
    <n v="18000"/>
    <n v="1"/>
    <n v="20"/>
    <n v="18000"/>
    <n v="3600"/>
    <n v="14400"/>
    <n v="56000"/>
    <n v="70400"/>
    <x v="1"/>
    <x v="0"/>
    <x v="2"/>
    <x v="3"/>
    <x v="1"/>
    <s v="Bagus"/>
    <x v="1"/>
    <s v="sangat rendah"/>
  </r>
  <r>
    <s v="ORD00953"/>
    <x v="107"/>
    <s v="Zahra Rahmawati"/>
    <x v="21"/>
    <x v="22"/>
    <n v="18000"/>
    <n v="1"/>
    <n v="5"/>
    <n v="18000"/>
    <n v="900"/>
    <n v="17100"/>
    <n v="72000"/>
    <n v="89100"/>
    <x v="2"/>
    <x v="1"/>
    <x v="1"/>
    <x v="1"/>
    <x v="0"/>
    <s v="Rendah"/>
    <x v="1"/>
    <s v="sangat rendah"/>
  </r>
  <r>
    <s v="ORD01085"/>
    <x v="108"/>
    <s v="Zahra Ramadhani"/>
    <x v="10"/>
    <x v="6"/>
    <n v="55000"/>
    <n v="5"/>
    <n v="15"/>
    <n v="275000"/>
    <n v="41250"/>
    <n v="233750"/>
    <n v="84000"/>
    <n v="317750"/>
    <x v="2"/>
    <x v="2"/>
    <x v="1"/>
    <x v="4"/>
    <x v="0"/>
    <s v="Bagus"/>
    <x v="3"/>
    <s v="sangat tinggi"/>
  </r>
  <r>
    <s v="ORD00552"/>
    <x v="109"/>
    <s v="Yani Santoso"/>
    <x v="20"/>
    <x v="8"/>
    <n v="14000"/>
    <n v="3"/>
    <n v="0"/>
    <n v="42000"/>
    <n v="0"/>
    <n v="42000"/>
    <n v="85000"/>
    <n v="127000"/>
    <x v="1"/>
    <x v="2"/>
    <x v="0"/>
    <x v="0"/>
    <x v="0"/>
    <s v="Standar"/>
    <x v="1"/>
    <s v="sangat rendah"/>
  </r>
  <r>
    <s v="ORD00001"/>
    <x v="110"/>
    <s v="Dimas Maulana"/>
    <x v="11"/>
    <x v="2"/>
    <n v="5000"/>
    <n v="1"/>
    <n v="5"/>
    <n v="5000"/>
    <n v="250"/>
    <n v="4750"/>
    <n v="56000"/>
    <n v="60750"/>
    <x v="1"/>
    <x v="4"/>
    <x v="2"/>
    <x v="3"/>
    <x v="1"/>
    <s v="Bagus"/>
    <x v="1"/>
    <s v="sangat rendah"/>
  </r>
  <r>
    <s v="ORD00001"/>
    <x v="110"/>
    <s v="Dimas Maulana"/>
    <x v="11"/>
    <x v="11"/>
    <n v="30000"/>
    <n v="5"/>
    <n v="15"/>
    <n v="150000"/>
    <n v="22500"/>
    <n v="127500"/>
    <n v="0"/>
    <n v="127500"/>
    <x v="1"/>
    <x v="4"/>
    <x v="2"/>
    <x v="3"/>
    <x v="1"/>
    <s v="Bagus"/>
    <x v="4"/>
    <s v="tinggi"/>
  </r>
  <r>
    <s v="ORD01525"/>
    <x v="111"/>
    <s v="Vina Halim"/>
    <x v="8"/>
    <x v="25"/>
    <n v="40000"/>
    <n v="4"/>
    <n v="5"/>
    <n v="160000"/>
    <n v="8000"/>
    <n v="152000"/>
    <n v="87000"/>
    <n v="239000"/>
    <x v="2"/>
    <x v="0"/>
    <x v="4"/>
    <x v="1"/>
    <x v="0"/>
    <s v="Rendah"/>
    <x v="0"/>
    <s v="rendah"/>
  </r>
  <r>
    <s v="ORD01332"/>
    <x v="112"/>
    <s v="Qori Iskandar"/>
    <x v="12"/>
    <x v="5"/>
    <n v="50000"/>
    <n v="5"/>
    <n v="15"/>
    <n v="250000"/>
    <n v="37500"/>
    <n v="212500"/>
    <n v="74000"/>
    <n v="286500"/>
    <x v="1"/>
    <x v="0"/>
    <x v="2"/>
    <x v="0"/>
    <x v="0"/>
    <s v="Standar"/>
    <x v="3"/>
    <s v="sangat tinggi"/>
  </r>
  <r>
    <s v="ORD00367"/>
    <x v="113"/>
    <s v="Qori Syahputra"/>
    <x v="6"/>
    <x v="15"/>
    <n v="4000"/>
    <n v="2"/>
    <n v="0"/>
    <n v="8000"/>
    <n v="0"/>
    <n v="8000"/>
    <n v="30000"/>
    <n v="38000"/>
    <x v="1"/>
    <x v="4"/>
    <x v="1"/>
    <x v="1"/>
    <x v="0"/>
    <s v="Rendah"/>
    <x v="1"/>
    <s v="sangat rendah"/>
  </r>
  <r>
    <s v="ORD01456"/>
    <x v="114"/>
    <s v="Dina Kusuma"/>
    <x v="25"/>
    <x v="15"/>
    <n v="4000"/>
    <n v="4"/>
    <n v="0"/>
    <n v="16000"/>
    <n v="0"/>
    <n v="16000"/>
    <n v="48000"/>
    <n v="64000"/>
    <x v="1"/>
    <x v="1"/>
    <x v="0"/>
    <x v="2"/>
    <x v="0"/>
    <s v="Rendah"/>
    <x v="1"/>
    <s v="sangat rendah"/>
  </r>
  <r>
    <s v="ORD00347"/>
    <x v="115"/>
    <s v="Gita Santoso"/>
    <x v="14"/>
    <x v="26"/>
    <n v="16000"/>
    <n v="3"/>
    <n v="20"/>
    <n v="48000"/>
    <n v="9600"/>
    <n v="38400"/>
    <n v="46000"/>
    <n v="84400"/>
    <x v="1"/>
    <x v="1"/>
    <x v="0"/>
    <x v="1"/>
    <x v="0"/>
    <s v="Rendah"/>
    <x v="0"/>
    <s v="rendah"/>
  </r>
  <r>
    <s v="ORD00563"/>
    <x v="116"/>
    <s v="Erna Hidayat"/>
    <x v="26"/>
    <x v="24"/>
    <n v="22000"/>
    <n v="5"/>
    <n v="15"/>
    <n v="110000"/>
    <n v="16500"/>
    <n v="93500"/>
    <n v="28000"/>
    <n v="121500"/>
    <x v="3"/>
    <x v="2"/>
    <x v="2"/>
    <x v="1"/>
    <x v="0"/>
    <s v="Rendah"/>
    <x v="2"/>
    <s v="normal"/>
  </r>
  <r>
    <s v="ORD00401"/>
    <x v="117"/>
    <s v="Putri Ramadhani"/>
    <x v="31"/>
    <x v="3"/>
    <n v="14000"/>
    <n v="3"/>
    <n v="15"/>
    <n v="42000"/>
    <n v="6300"/>
    <n v="35700"/>
    <n v="18000"/>
    <n v="53700"/>
    <x v="2"/>
    <x v="1"/>
    <x v="4"/>
    <x v="2"/>
    <x v="0"/>
    <s v="Rendah"/>
    <x v="0"/>
    <s v="rendah"/>
  </r>
  <r>
    <s v="ORD00815"/>
    <x v="118"/>
    <s v="Budi Wijaya"/>
    <x v="34"/>
    <x v="17"/>
    <n v="15000"/>
    <n v="1"/>
    <n v="20"/>
    <n v="15000"/>
    <n v="3000"/>
    <n v="12000"/>
    <n v="80000"/>
    <n v="92000"/>
    <x v="0"/>
    <x v="1"/>
    <x v="1"/>
    <x v="2"/>
    <x v="1"/>
    <s v="Rendah"/>
    <x v="1"/>
    <s v="sangat rendah"/>
  </r>
  <r>
    <s v="ORD00007"/>
    <x v="119"/>
    <s v="Bayu Fauziah"/>
    <x v="12"/>
    <x v="5"/>
    <n v="50000"/>
    <n v="1"/>
    <n v="15"/>
    <n v="50000"/>
    <n v="7500"/>
    <n v="42500"/>
    <n v="74000"/>
    <n v="116500"/>
    <x v="3"/>
    <x v="2"/>
    <x v="0"/>
    <x v="2"/>
    <x v="1"/>
    <s v="Rendah"/>
    <x v="0"/>
    <s v="rendah"/>
  </r>
  <r>
    <s v="ORD01398"/>
    <x v="120"/>
    <s v="Zahra Kurniawan"/>
    <x v="7"/>
    <x v="11"/>
    <n v="30000"/>
    <n v="4"/>
    <n v="0"/>
    <n v="120000"/>
    <n v="0"/>
    <n v="120000"/>
    <n v="15000"/>
    <n v="135000"/>
    <x v="1"/>
    <x v="1"/>
    <x v="0"/>
    <x v="1"/>
    <x v="0"/>
    <s v="Rendah"/>
    <x v="1"/>
    <s v="sangat rendah"/>
  </r>
  <r>
    <s v="ORD01350"/>
    <x v="121"/>
    <s v="Fitri Halim"/>
    <x v="22"/>
    <x v="24"/>
    <n v="22000"/>
    <n v="5"/>
    <n v="5"/>
    <n v="110000"/>
    <n v="5500"/>
    <n v="104500"/>
    <n v="80000"/>
    <n v="184500"/>
    <x v="1"/>
    <x v="0"/>
    <x v="1"/>
    <x v="4"/>
    <x v="0"/>
    <s v="Bagus"/>
    <x v="0"/>
    <s v="rendah"/>
  </r>
  <r>
    <s v="ORD00540"/>
    <x v="122"/>
    <s v="Fitri Saputra"/>
    <x v="30"/>
    <x v="8"/>
    <n v="14000"/>
    <n v="3"/>
    <n v="20"/>
    <n v="42000"/>
    <n v="8400"/>
    <n v="33600"/>
    <n v="97000"/>
    <n v="130600"/>
    <x v="2"/>
    <x v="2"/>
    <x v="1"/>
    <x v="0"/>
    <x v="0"/>
    <s v="Standar"/>
    <x v="0"/>
    <s v="rendah"/>
  </r>
  <r>
    <s v="ORD00581"/>
    <x v="123"/>
    <s v="Aulia Ramadhani"/>
    <x v="35"/>
    <x v="23"/>
    <n v="45000"/>
    <n v="3"/>
    <n v="20"/>
    <n v="135000"/>
    <n v="27000"/>
    <n v="108000"/>
    <n v="76000"/>
    <n v="184000"/>
    <x v="1"/>
    <x v="3"/>
    <x v="4"/>
    <x v="4"/>
    <x v="0"/>
    <s v="Bagus"/>
    <x v="4"/>
    <s v="tinggi"/>
  </r>
  <r>
    <s v="ORD01791"/>
    <x v="124"/>
    <s v="Hana Fauziah"/>
    <x v="20"/>
    <x v="5"/>
    <n v="50000"/>
    <n v="3"/>
    <n v="15"/>
    <n v="150000"/>
    <n v="22500"/>
    <n v="127500"/>
    <n v="85000"/>
    <n v="212500"/>
    <x v="3"/>
    <x v="1"/>
    <x v="1"/>
    <x v="0"/>
    <x v="0"/>
    <s v="Standar"/>
    <x v="4"/>
    <s v="tinggi"/>
  </r>
  <r>
    <s v="ORD01685"/>
    <x v="125"/>
    <s v="Hana Saputra"/>
    <x v="21"/>
    <x v="11"/>
    <n v="30000"/>
    <n v="2"/>
    <n v="5"/>
    <n v="60000"/>
    <n v="3000"/>
    <n v="57000"/>
    <n v="72000"/>
    <n v="129000"/>
    <x v="3"/>
    <x v="0"/>
    <x v="3"/>
    <x v="1"/>
    <x v="0"/>
    <s v="Rendah"/>
    <x v="1"/>
    <s v="sangat rendah"/>
  </r>
  <r>
    <s v="ORD01599"/>
    <x v="126"/>
    <s v="Oka Kusuma"/>
    <x v="15"/>
    <x v="21"/>
    <n v="10000"/>
    <n v="1"/>
    <n v="10"/>
    <n v="10000"/>
    <n v="1000"/>
    <n v="9000"/>
    <n v="17000"/>
    <n v="26000"/>
    <x v="1"/>
    <x v="0"/>
    <x v="2"/>
    <x v="2"/>
    <x v="1"/>
    <s v="Rendah"/>
    <x v="1"/>
    <s v="sangat rendah"/>
  </r>
  <r>
    <s v="ORD00718"/>
    <x v="127"/>
    <s v="Hana Wijaya"/>
    <x v="13"/>
    <x v="16"/>
    <n v="28000"/>
    <n v="2"/>
    <n v="15"/>
    <n v="56000"/>
    <n v="8400"/>
    <n v="47600"/>
    <n v="87000"/>
    <n v="134600"/>
    <x v="1"/>
    <x v="2"/>
    <x v="1"/>
    <x v="4"/>
    <x v="0"/>
    <s v="Bagus"/>
    <x v="0"/>
    <s v="rendah"/>
  </r>
  <r>
    <s v="ORD00680"/>
    <x v="128"/>
    <s v="Gita Kurniawan"/>
    <x v="5"/>
    <x v="9"/>
    <n v="35000"/>
    <n v="3"/>
    <n v="10"/>
    <n v="105000"/>
    <n v="10500"/>
    <n v="94500"/>
    <n v="78000"/>
    <n v="172500"/>
    <x v="0"/>
    <x v="2"/>
    <x v="2"/>
    <x v="0"/>
    <x v="0"/>
    <s v="Standar"/>
    <x v="2"/>
    <s v="normal"/>
  </r>
  <r>
    <s v="ORD00036"/>
    <x v="129"/>
    <s v="Wahyu Pradipta"/>
    <x v="30"/>
    <x v="10"/>
    <n v="45000"/>
    <n v="3"/>
    <n v="5"/>
    <n v="135000"/>
    <n v="6750"/>
    <n v="128250"/>
    <n v="97000"/>
    <n v="225250"/>
    <x v="3"/>
    <x v="0"/>
    <x v="1"/>
    <x v="3"/>
    <x v="1"/>
    <s v="Bagus"/>
    <x v="0"/>
    <s v="rendah"/>
  </r>
  <r>
    <s v="ORD01242"/>
    <x v="130"/>
    <s v="Vina Ramadhani"/>
    <x v="8"/>
    <x v="23"/>
    <n v="45000"/>
    <n v="3"/>
    <n v="10"/>
    <n v="135000"/>
    <n v="13500"/>
    <n v="121500"/>
    <n v="87000"/>
    <n v="208500"/>
    <x v="2"/>
    <x v="1"/>
    <x v="1"/>
    <x v="4"/>
    <x v="0"/>
    <s v="Bagus"/>
    <x v="2"/>
    <s v="normal"/>
  </r>
  <r>
    <s v="ORD00655"/>
    <x v="131"/>
    <s v="Dina Ananda"/>
    <x v="35"/>
    <x v="3"/>
    <n v="14000"/>
    <n v="4"/>
    <n v="0"/>
    <n v="56000"/>
    <n v="0"/>
    <n v="56000"/>
    <n v="76000"/>
    <n v="132000"/>
    <x v="2"/>
    <x v="2"/>
    <x v="0"/>
    <x v="1"/>
    <x v="0"/>
    <s v="Rendah"/>
    <x v="1"/>
    <s v="sangat rendah"/>
  </r>
  <r>
    <s v="ORD01760"/>
    <x v="132"/>
    <s v="Putri Ananda"/>
    <x v="2"/>
    <x v="1"/>
    <n v="17000"/>
    <n v="4"/>
    <n v="0"/>
    <n v="68000"/>
    <n v="0"/>
    <n v="68000"/>
    <n v="26000"/>
    <n v="94000"/>
    <x v="3"/>
    <x v="2"/>
    <x v="1"/>
    <x v="1"/>
    <x v="0"/>
    <s v="Rendah"/>
    <x v="1"/>
    <s v="sangat rendah"/>
  </r>
  <r>
    <s v="ORD00271"/>
    <x v="133"/>
    <s v="Eka Wijaya"/>
    <x v="2"/>
    <x v="21"/>
    <n v="10000"/>
    <n v="1"/>
    <n v="20"/>
    <n v="10000"/>
    <n v="2000"/>
    <n v="8000"/>
    <n v="26000"/>
    <n v="34000"/>
    <x v="0"/>
    <x v="1"/>
    <x v="2"/>
    <x v="1"/>
    <x v="0"/>
    <s v="Rendah"/>
    <x v="1"/>
    <s v="sangat rendah"/>
  </r>
  <r>
    <s v="ORD01270"/>
    <x v="134"/>
    <s v="Made Santoso"/>
    <x v="28"/>
    <x v="22"/>
    <n v="18000"/>
    <n v="2"/>
    <n v="15"/>
    <n v="36000"/>
    <n v="5400"/>
    <n v="30600"/>
    <n v="79000"/>
    <n v="109600"/>
    <x v="2"/>
    <x v="2"/>
    <x v="3"/>
    <x v="0"/>
    <x v="1"/>
    <s v="Standar"/>
    <x v="0"/>
    <s v="rendah"/>
  </r>
  <r>
    <s v="ORD00070"/>
    <x v="135"/>
    <s v="Fajar Puspita"/>
    <x v="22"/>
    <x v="15"/>
    <n v="4000"/>
    <n v="4"/>
    <n v="0"/>
    <n v="16000"/>
    <n v="0"/>
    <n v="16000"/>
    <n v="80000"/>
    <n v="96000"/>
    <x v="1"/>
    <x v="3"/>
    <x v="1"/>
    <x v="1"/>
    <x v="1"/>
    <s v="Rendah"/>
    <x v="1"/>
    <s v="sangat rendah"/>
  </r>
  <r>
    <s v="ORD00093"/>
    <x v="136"/>
    <s v="Nanda Iskandar"/>
    <x v="20"/>
    <x v="15"/>
    <n v="4000"/>
    <n v="4"/>
    <n v="0"/>
    <n v="16000"/>
    <n v="0"/>
    <n v="16000"/>
    <n v="85000"/>
    <n v="101000"/>
    <x v="3"/>
    <x v="2"/>
    <x v="4"/>
    <x v="3"/>
    <x v="1"/>
    <s v="Bagus"/>
    <x v="1"/>
    <s v="sangat rendah"/>
  </r>
  <r>
    <s v="ORD00093"/>
    <x v="136"/>
    <s v="Nanda Iskandar"/>
    <x v="20"/>
    <x v="19"/>
    <n v="35000"/>
    <n v="3"/>
    <n v="20"/>
    <n v="105000"/>
    <n v="21000"/>
    <n v="84000"/>
    <n v="0"/>
    <n v="84000"/>
    <x v="3"/>
    <x v="2"/>
    <x v="4"/>
    <x v="3"/>
    <x v="1"/>
    <s v="Bagus"/>
    <x v="4"/>
    <s v="tinggi"/>
  </r>
  <r>
    <s v="ORD01699"/>
    <x v="137"/>
    <s v="Aulia Syahputra"/>
    <x v="28"/>
    <x v="2"/>
    <n v="5000"/>
    <n v="3"/>
    <n v="15"/>
    <n v="15000"/>
    <n v="2250"/>
    <n v="12750"/>
    <n v="79000"/>
    <n v="91750"/>
    <x v="0"/>
    <x v="2"/>
    <x v="1"/>
    <x v="3"/>
    <x v="0"/>
    <s v="Bagus"/>
    <x v="1"/>
    <s v="sangat rendah"/>
  </r>
  <r>
    <s v="ORD00345"/>
    <x v="138"/>
    <s v="Eka Kusuma"/>
    <x v="20"/>
    <x v="25"/>
    <n v="40000"/>
    <n v="2"/>
    <n v="5"/>
    <n v="80000"/>
    <n v="4000"/>
    <n v="76000"/>
    <n v="85000"/>
    <n v="161000"/>
    <x v="3"/>
    <x v="1"/>
    <x v="3"/>
    <x v="4"/>
    <x v="0"/>
    <s v="Bagus"/>
    <x v="1"/>
    <s v="sangat rendah"/>
  </r>
  <r>
    <s v="ORD00911"/>
    <x v="139"/>
    <s v="Lestari Budiman"/>
    <x v="20"/>
    <x v="7"/>
    <n v="12000"/>
    <n v="5"/>
    <n v="10"/>
    <n v="60000"/>
    <n v="6000"/>
    <n v="54000"/>
    <n v="85000"/>
    <n v="139000"/>
    <x v="2"/>
    <x v="2"/>
    <x v="4"/>
    <x v="0"/>
    <x v="0"/>
    <s v="Standar"/>
    <x v="0"/>
    <s v="rendah"/>
  </r>
  <r>
    <s v="ORD00245"/>
    <x v="140"/>
    <s v="Kartika Santoso"/>
    <x v="8"/>
    <x v="15"/>
    <n v="4000"/>
    <n v="5"/>
    <n v="20"/>
    <n v="20000"/>
    <n v="4000"/>
    <n v="16000"/>
    <n v="87000"/>
    <n v="103000"/>
    <x v="3"/>
    <x v="2"/>
    <x v="0"/>
    <x v="2"/>
    <x v="0"/>
    <s v="Rendah"/>
    <x v="1"/>
    <s v="sangat rendah"/>
  </r>
  <r>
    <s v="ORD00245"/>
    <x v="140"/>
    <s v="Kartika Santoso"/>
    <x v="8"/>
    <x v="14"/>
    <n v="18000"/>
    <n v="1"/>
    <n v="15"/>
    <n v="18000"/>
    <n v="2700"/>
    <n v="15300"/>
    <n v="0"/>
    <n v="15300"/>
    <x v="3"/>
    <x v="2"/>
    <x v="0"/>
    <x v="2"/>
    <x v="0"/>
    <s v="Rendah"/>
    <x v="1"/>
    <s v="sangat rendah"/>
  </r>
  <r>
    <s v="ORD01289"/>
    <x v="141"/>
    <s v="Citra Syahputra"/>
    <x v="14"/>
    <x v="16"/>
    <n v="28000"/>
    <n v="5"/>
    <n v="20"/>
    <n v="140000"/>
    <n v="28000"/>
    <n v="112000"/>
    <n v="46000"/>
    <n v="158000"/>
    <x v="1"/>
    <x v="2"/>
    <x v="1"/>
    <x v="4"/>
    <x v="0"/>
    <s v="Bagus"/>
    <x v="4"/>
    <s v="tinggi"/>
  </r>
  <r>
    <s v="ORD01120"/>
    <x v="142"/>
    <s v="Bella Fauziah"/>
    <x v="24"/>
    <x v="0"/>
    <n v="16000"/>
    <n v="2"/>
    <n v="0"/>
    <n v="32000"/>
    <n v="0"/>
    <n v="32000"/>
    <n v="93000"/>
    <n v="125000"/>
    <x v="3"/>
    <x v="2"/>
    <x v="2"/>
    <x v="4"/>
    <x v="0"/>
    <s v="Bagus"/>
    <x v="1"/>
    <s v="sangat rendah"/>
  </r>
  <r>
    <s v="ORD01322"/>
    <x v="143"/>
    <s v="Dewi Pradipta"/>
    <x v="20"/>
    <x v="5"/>
    <n v="50000"/>
    <n v="2"/>
    <n v="10"/>
    <n v="100000"/>
    <n v="10000"/>
    <n v="90000"/>
    <n v="85000"/>
    <n v="175000"/>
    <x v="0"/>
    <x v="0"/>
    <x v="4"/>
    <x v="1"/>
    <x v="0"/>
    <s v="Rendah"/>
    <x v="0"/>
    <s v="rendah"/>
  </r>
  <r>
    <s v="ORD01043"/>
    <x v="144"/>
    <s v="Bella Rahmawati"/>
    <x v="1"/>
    <x v="21"/>
    <n v="10000"/>
    <n v="3"/>
    <n v="0"/>
    <n v="30000"/>
    <n v="0"/>
    <n v="30000"/>
    <n v="59000"/>
    <n v="89000"/>
    <x v="1"/>
    <x v="1"/>
    <x v="4"/>
    <x v="2"/>
    <x v="0"/>
    <s v="Rendah"/>
    <x v="1"/>
    <s v="sangat rendah"/>
  </r>
  <r>
    <s v="ORD00567"/>
    <x v="145"/>
    <s v="Zahra Ramadhani"/>
    <x v="10"/>
    <x v="10"/>
    <n v="45000"/>
    <n v="4"/>
    <n v="15"/>
    <n v="180000"/>
    <n v="27000"/>
    <n v="153000"/>
    <n v="84000"/>
    <n v="237000"/>
    <x v="0"/>
    <x v="2"/>
    <x v="3"/>
    <x v="2"/>
    <x v="0"/>
    <s v="Rendah"/>
    <x v="4"/>
    <s v="tinggi"/>
  </r>
  <r>
    <s v="ORD00822"/>
    <x v="146"/>
    <s v="Aulia Iskandar"/>
    <x v="12"/>
    <x v="11"/>
    <n v="30000"/>
    <n v="1"/>
    <n v="10"/>
    <n v="30000"/>
    <n v="3000"/>
    <n v="27000"/>
    <n v="74000"/>
    <n v="101000"/>
    <x v="0"/>
    <x v="0"/>
    <x v="3"/>
    <x v="2"/>
    <x v="0"/>
    <s v="Rendah"/>
    <x v="1"/>
    <s v="sangat rendah"/>
  </r>
  <r>
    <s v="ORD00357"/>
    <x v="147"/>
    <s v="Dina Setiawan"/>
    <x v="14"/>
    <x v="15"/>
    <n v="4000"/>
    <n v="4"/>
    <n v="10"/>
    <n v="16000"/>
    <n v="1600"/>
    <n v="14400"/>
    <n v="46000"/>
    <n v="60400"/>
    <x v="0"/>
    <x v="2"/>
    <x v="3"/>
    <x v="4"/>
    <x v="0"/>
    <s v="Bagus"/>
    <x v="1"/>
    <s v="sangat rendah"/>
  </r>
  <r>
    <s v="ORD01748"/>
    <x v="148"/>
    <s v="Qori Syahputra"/>
    <x v="6"/>
    <x v="8"/>
    <n v="14000"/>
    <n v="1"/>
    <n v="10"/>
    <n v="14000"/>
    <n v="1400"/>
    <n v="12600"/>
    <n v="30000"/>
    <n v="42600"/>
    <x v="2"/>
    <x v="0"/>
    <x v="2"/>
    <x v="4"/>
    <x v="0"/>
    <s v="Bagus"/>
    <x v="1"/>
    <s v="sangat rendah"/>
  </r>
  <r>
    <s v="ORD00545"/>
    <x v="149"/>
    <s v="Kartika Utami"/>
    <x v="26"/>
    <x v="22"/>
    <n v="18000"/>
    <n v="2"/>
    <n v="10"/>
    <n v="36000"/>
    <n v="3600"/>
    <n v="32400"/>
    <n v="28000"/>
    <n v="60400"/>
    <x v="0"/>
    <x v="2"/>
    <x v="1"/>
    <x v="2"/>
    <x v="0"/>
    <s v="Rendah"/>
    <x v="1"/>
    <s v="sangat rendah"/>
  </r>
  <r>
    <s v="ORD01551"/>
    <x v="150"/>
    <s v="Yani Pradipta"/>
    <x v="15"/>
    <x v="12"/>
    <n v="25000"/>
    <n v="4"/>
    <n v="5"/>
    <n v="100000"/>
    <n v="5000"/>
    <n v="95000"/>
    <n v="17000"/>
    <n v="112000"/>
    <x v="2"/>
    <x v="2"/>
    <x v="4"/>
    <x v="4"/>
    <x v="0"/>
    <s v="Bagus"/>
    <x v="1"/>
    <s v="sangat rendah"/>
  </r>
  <r>
    <s v="ORD00106"/>
    <x v="151"/>
    <s v="Citra Maulana"/>
    <x v="21"/>
    <x v="7"/>
    <n v="12000"/>
    <n v="2"/>
    <n v="20"/>
    <n v="24000"/>
    <n v="4800"/>
    <n v="19200"/>
    <n v="72000"/>
    <n v="91200"/>
    <x v="2"/>
    <x v="2"/>
    <x v="1"/>
    <x v="2"/>
    <x v="0"/>
    <s v="Rendah"/>
    <x v="1"/>
    <s v="sangat rendah"/>
  </r>
  <r>
    <s v="ORD00246"/>
    <x v="152"/>
    <s v="Sari Saputra"/>
    <x v="34"/>
    <x v="7"/>
    <n v="12000"/>
    <n v="1"/>
    <n v="10"/>
    <n v="12000"/>
    <n v="1200"/>
    <n v="10800"/>
    <n v="80000"/>
    <n v="90800"/>
    <x v="1"/>
    <x v="2"/>
    <x v="0"/>
    <x v="3"/>
    <x v="0"/>
    <s v="Bagus"/>
    <x v="1"/>
    <s v="sangat rendah"/>
  </r>
  <r>
    <s v="ORD00246"/>
    <x v="152"/>
    <s v="Sari Saputra"/>
    <x v="34"/>
    <x v="4"/>
    <n v="6000"/>
    <n v="4"/>
    <n v="5"/>
    <n v="24000"/>
    <n v="1200"/>
    <n v="22800"/>
    <n v="0"/>
    <n v="22800"/>
    <x v="1"/>
    <x v="2"/>
    <x v="0"/>
    <x v="3"/>
    <x v="0"/>
    <s v="Bagus"/>
    <x v="1"/>
    <s v="sangat rendah"/>
  </r>
  <r>
    <s v="ORD00078"/>
    <x v="153"/>
    <s v="Rizky Ananda"/>
    <x v="8"/>
    <x v="19"/>
    <n v="35000"/>
    <n v="5"/>
    <n v="0"/>
    <n v="175000"/>
    <n v="0"/>
    <n v="175000"/>
    <n v="87000"/>
    <n v="262000"/>
    <x v="2"/>
    <x v="0"/>
    <x v="4"/>
    <x v="3"/>
    <x v="1"/>
    <s v="Bagus"/>
    <x v="1"/>
    <s v="sangat rendah"/>
  </r>
  <r>
    <s v="ORD00255"/>
    <x v="154"/>
    <s v="Lestari Syahputra"/>
    <x v="27"/>
    <x v="8"/>
    <n v="14000"/>
    <n v="2"/>
    <n v="10"/>
    <n v="28000"/>
    <n v="2800"/>
    <n v="25200"/>
    <n v="18000"/>
    <n v="43200"/>
    <x v="3"/>
    <x v="0"/>
    <x v="3"/>
    <x v="1"/>
    <x v="0"/>
    <s v="Rendah"/>
    <x v="1"/>
    <s v="sangat rendah"/>
  </r>
  <r>
    <s v="ORD01241"/>
    <x v="155"/>
    <s v="Zahra Utami"/>
    <x v="16"/>
    <x v="12"/>
    <n v="25000"/>
    <n v="4"/>
    <n v="20"/>
    <n v="100000"/>
    <n v="20000"/>
    <n v="80000"/>
    <n v="50000"/>
    <n v="130000"/>
    <x v="2"/>
    <x v="0"/>
    <x v="1"/>
    <x v="4"/>
    <x v="0"/>
    <s v="Bagus"/>
    <x v="2"/>
    <s v="normal"/>
  </r>
  <r>
    <s v="ORD00598"/>
    <x v="156"/>
    <s v="Ani Budiman"/>
    <x v="21"/>
    <x v="6"/>
    <n v="55000"/>
    <n v="5"/>
    <n v="10"/>
    <n v="275000"/>
    <n v="27500"/>
    <n v="247500"/>
    <n v="72000"/>
    <n v="319500"/>
    <x v="3"/>
    <x v="2"/>
    <x v="3"/>
    <x v="3"/>
    <x v="0"/>
    <s v="Bagus"/>
    <x v="4"/>
    <s v="tinggi"/>
  </r>
  <r>
    <s v="ORD01828"/>
    <x v="157"/>
    <s v="Hendra Wijaya"/>
    <x v="7"/>
    <x v="23"/>
    <n v="45000"/>
    <n v="2"/>
    <n v="10"/>
    <n v="90000"/>
    <n v="9000"/>
    <n v="81000"/>
    <n v="15000"/>
    <n v="96000"/>
    <x v="1"/>
    <x v="2"/>
    <x v="2"/>
    <x v="4"/>
    <x v="1"/>
    <s v="Bagus"/>
    <x v="0"/>
    <s v="rendah"/>
  </r>
  <r>
    <s v="ORD01494"/>
    <x v="158"/>
    <s v="Hana Halim"/>
    <x v="13"/>
    <x v="26"/>
    <n v="16000"/>
    <n v="4"/>
    <n v="5"/>
    <n v="64000"/>
    <n v="3200"/>
    <n v="60800"/>
    <n v="87000"/>
    <n v="147800"/>
    <x v="3"/>
    <x v="1"/>
    <x v="4"/>
    <x v="3"/>
    <x v="0"/>
    <s v="Bagus"/>
    <x v="1"/>
    <s v="sangat rendah"/>
  </r>
  <r>
    <s v="ORD00112"/>
    <x v="159"/>
    <s v="Kartika Ramadhani"/>
    <x v="26"/>
    <x v="15"/>
    <n v="4000"/>
    <n v="5"/>
    <n v="5"/>
    <n v="20000"/>
    <n v="1000"/>
    <n v="19000"/>
    <n v="28000"/>
    <n v="47000"/>
    <x v="3"/>
    <x v="1"/>
    <x v="4"/>
    <x v="2"/>
    <x v="0"/>
    <s v="Rendah"/>
    <x v="1"/>
    <s v="sangat rendah"/>
  </r>
  <r>
    <s v="ORD00912"/>
    <x v="160"/>
    <s v="Dina Setiawan"/>
    <x v="14"/>
    <x v="5"/>
    <n v="50000"/>
    <n v="3"/>
    <n v="15"/>
    <n v="150000"/>
    <n v="22500"/>
    <n v="127500"/>
    <n v="46000"/>
    <n v="173500"/>
    <x v="0"/>
    <x v="2"/>
    <x v="1"/>
    <x v="1"/>
    <x v="0"/>
    <s v="Rendah"/>
    <x v="4"/>
    <s v="tinggi"/>
  </r>
  <r>
    <s v="ORD00622"/>
    <x v="161"/>
    <s v="Umar Setiawan"/>
    <x v="21"/>
    <x v="4"/>
    <n v="6000"/>
    <n v="5"/>
    <n v="0"/>
    <n v="30000"/>
    <n v="0"/>
    <n v="30000"/>
    <n v="72000"/>
    <n v="102000"/>
    <x v="0"/>
    <x v="1"/>
    <x v="0"/>
    <x v="1"/>
    <x v="1"/>
    <s v="Rendah"/>
    <x v="1"/>
    <s v="sangat rendah"/>
  </r>
  <r>
    <s v="ORD00664"/>
    <x v="162"/>
    <s v="Dewi Syahputra"/>
    <x v="3"/>
    <x v="4"/>
    <n v="6000"/>
    <n v="3"/>
    <n v="15"/>
    <n v="18000"/>
    <n v="2700"/>
    <n v="15300"/>
    <n v="18000"/>
    <n v="33300"/>
    <x v="0"/>
    <x v="0"/>
    <x v="0"/>
    <x v="3"/>
    <x v="0"/>
    <s v="Bagus"/>
    <x v="1"/>
    <s v="sangat rendah"/>
  </r>
  <r>
    <s v="ORD01598"/>
    <x v="163"/>
    <s v="Indra Ananda"/>
    <x v="10"/>
    <x v="21"/>
    <n v="10000"/>
    <n v="4"/>
    <n v="20"/>
    <n v="40000"/>
    <n v="8000"/>
    <n v="32000"/>
    <n v="84000"/>
    <n v="116000"/>
    <x v="1"/>
    <x v="2"/>
    <x v="1"/>
    <x v="2"/>
    <x v="1"/>
    <s v="Rendah"/>
    <x v="0"/>
    <s v="rendah"/>
  </r>
  <r>
    <s v="ORD01802"/>
    <x v="164"/>
    <s v="Lestari Santoso"/>
    <x v="31"/>
    <x v="8"/>
    <n v="14000"/>
    <n v="3"/>
    <n v="0"/>
    <n v="42000"/>
    <n v="0"/>
    <n v="42000"/>
    <n v="18000"/>
    <n v="60000"/>
    <x v="0"/>
    <x v="2"/>
    <x v="2"/>
    <x v="4"/>
    <x v="0"/>
    <s v="Bagus"/>
    <x v="1"/>
    <s v="sangat rendah"/>
  </r>
  <r>
    <s v="ORD00119"/>
    <x v="165"/>
    <s v="Dewi Puspita"/>
    <x v="6"/>
    <x v="21"/>
    <n v="10000"/>
    <n v="2"/>
    <n v="5"/>
    <n v="20000"/>
    <n v="1000"/>
    <n v="19000"/>
    <n v="30000"/>
    <n v="49000"/>
    <x v="2"/>
    <x v="3"/>
    <x v="2"/>
    <x v="4"/>
    <x v="0"/>
    <s v="Bagus"/>
    <x v="1"/>
    <s v="sangat rendah"/>
  </r>
  <r>
    <s v="ORD00119"/>
    <x v="165"/>
    <s v="Dewi Puspita"/>
    <x v="6"/>
    <x v="16"/>
    <n v="28000"/>
    <n v="2"/>
    <n v="0"/>
    <n v="56000"/>
    <n v="0"/>
    <n v="56000"/>
    <n v="0"/>
    <n v="56000"/>
    <x v="2"/>
    <x v="3"/>
    <x v="2"/>
    <x v="4"/>
    <x v="0"/>
    <s v="Bagus"/>
    <x v="1"/>
    <s v="sangat rendah"/>
  </r>
  <r>
    <s v="ORD01496"/>
    <x v="166"/>
    <s v="Made Santoso"/>
    <x v="28"/>
    <x v="16"/>
    <n v="28000"/>
    <n v="3"/>
    <n v="0"/>
    <n v="84000"/>
    <n v="0"/>
    <n v="84000"/>
    <n v="79000"/>
    <n v="163000"/>
    <x v="3"/>
    <x v="4"/>
    <x v="3"/>
    <x v="3"/>
    <x v="1"/>
    <s v="Bagus"/>
    <x v="1"/>
    <s v="sangat rendah"/>
  </r>
  <r>
    <s v="ORD00377"/>
    <x v="167"/>
    <s v="Sari Pradipta"/>
    <x v="27"/>
    <x v="20"/>
    <n v="40000"/>
    <n v="2"/>
    <n v="15"/>
    <n v="80000"/>
    <n v="12000"/>
    <n v="68000"/>
    <n v="18000"/>
    <n v="86000"/>
    <x v="3"/>
    <x v="0"/>
    <x v="1"/>
    <x v="2"/>
    <x v="0"/>
    <s v="Rendah"/>
    <x v="2"/>
    <s v="normal"/>
  </r>
  <r>
    <s v="ORD01614"/>
    <x v="168"/>
    <s v="Sari Ananda"/>
    <x v="31"/>
    <x v="4"/>
    <n v="6000"/>
    <n v="4"/>
    <n v="20"/>
    <n v="24000"/>
    <n v="4800"/>
    <n v="19200"/>
    <n v="18000"/>
    <n v="37200"/>
    <x v="0"/>
    <x v="3"/>
    <x v="3"/>
    <x v="2"/>
    <x v="0"/>
    <s v="Rendah"/>
    <x v="1"/>
    <s v="sangat rendah"/>
  </r>
  <r>
    <s v="ORD00726"/>
    <x v="169"/>
    <s v="Arif Santoso"/>
    <x v="3"/>
    <x v="10"/>
    <n v="45000"/>
    <n v="3"/>
    <n v="0"/>
    <n v="135000"/>
    <n v="0"/>
    <n v="135000"/>
    <n v="18000"/>
    <n v="153000"/>
    <x v="2"/>
    <x v="1"/>
    <x v="1"/>
    <x v="0"/>
    <x v="1"/>
    <s v="Standar"/>
    <x v="1"/>
    <s v="sangat rendah"/>
  </r>
  <r>
    <s v="ORD01324"/>
    <x v="170"/>
    <s v="Aulia Wijaya"/>
    <x v="17"/>
    <x v="2"/>
    <n v="5000"/>
    <n v="2"/>
    <n v="15"/>
    <n v="10000"/>
    <n v="1500"/>
    <n v="8500"/>
    <n v="50000"/>
    <n v="58500"/>
    <x v="1"/>
    <x v="2"/>
    <x v="1"/>
    <x v="4"/>
    <x v="0"/>
    <s v="Bagus"/>
    <x v="1"/>
    <s v="sangat rendah"/>
  </r>
  <r>
    <s v="ORD00339"/>
    <x v="171"/>
    <s v="Dina Rahmawati"/>
    <x v="32"/>
    <x v="19"/>
    <n v="35000"/>
    <n v="4"/>
    <n v="0"/>
    <n v="140000"/>
    <n v="0"/>
    <n v="140000"/>
    <n v="59000"/>
    <n v="199000"/>
    <x v="1"/>
    <x v="2"/>
    <x v="1"/>
    <x v="2"/>
    <x v="0"/>
    <s v="Rendah"/>
    <x v="1"/>
    <s v="sangat rendah"/>
  </r>
  <r>
    <s v="ORD00117"/>
    <x v="172"/>
    <s v="Dina Pradipta"/>
    <x v="25"/>
    <x v="25"/>
    <n v="40000"/>
    <n v="2"/>
    <n v="15"/>
    <n v="80000"/>
    <n v="12000"/>
    <n v="68000"/>
    <n v="48000"/>
    <n v="116000"/>
    <x v="2"/>
    <x v="1"/>
    <x v="3"/>
    <x v="0"/>
    <x v="0"/>
    <s v="Standar"/>
    <x v="2"/>
    <s v="normal"/>
  </r>
  <r>
    <s v="ORD01680"/>
    <x v="173"/>
    <s v="Citra Utami"/>
    <x v="25"/>
    <x v="9"/>
    <n v="35000"/>
    <n v="3"/>
    <n v="15"/>
    <n v="105000"/>
    <n v="15750"/>
    <n v="89250"/>
    <n v="48000"/>
    <n v="137250"/>
    <x v="2"/>
    <x v="1"/>
    <x v="0"/>
    <x v="4"/>
    <x v="0"/>
    <s v="Bagus"/>
    <x v="2"/>
    <s v="normal"/>
  </r>
  <r>
    <s v="ORD00611"/>
    <x v="174"/>
    <s v="Yani Maulana"/>
    <x v="5"/>
    <x v="24"/>
    <n v="22000"/>
    <n v="5"/>
    <n v="0"/>
    <n v="110000"/>
    <n v="0"/>
    <n v="110000"/>
    <n v="78000"/>
    <n v="188000"/>
    <x v="0"/>
    <x v="0"/>
    <x v="4"/>
    <x v="1"/>
    <x v="0"/>
    <s v="Rendah"/>
    <x v="1"/>
    <s v="sangat rendah"/>
  </r>
  <r>
    <s v="ORD00356"/>
    <x v="175"/>
    <s v="Eka Budiman"/>
    <x v="24"/>
    <x v="13"/>
    <n v="17000"/>
    <n v="2"/>
    <n v="0"/>
    <n v="34000"/>
    <n v="0"/>
    <n v="34000"/>
    <n v="93000"/>
    <n v="127000"/>
    <x v="2"/>
    <x v="0"/>
    <x v="0"/>
    <x v="1"/>
    <x v="0"/>
    <s v="Rendah"/>
    <x v="1"/>
    <s v="sangat rendah"/>
  </r>
  <r>
    <s v="ORD01429"/>
    <x v="176"/>
    <s v="Aulia Kusuma"/>
    <x v="12"/>
    <x v="22"/>
    <n v="18000"/>
    <n v="1"/>
    <n v="0"/>
    <n v="18000"/>
    <n v="0"/>
    <n v="18000"/>
    <n v="74000"/>
    <n v="92000"/>
    <x v="3"/>
    <x v="3"/>
    <x v="3"/>
    <x v="4"/>
    <x v="0"/>
    <s v="Bagus"/>
    <x v="1"/>
    <s v="sangat rendah"/>
  </r>
  <r>
    <s v="ORD01153"/>
    <x v="177"/>
    <s v="Citra Kusuma"/>
    <x v="24"/>
    <x v="3"/>
    <n v="14000"/>
    <n v="4"/>
    <n v="0"/>
    <n v="56000"/>
    <n v="0"/>
    <n v="56000"/>
    <n v="93000"/>
    <n v="149000"/>
    <x v="3"/>
    <x v="2"/>
    <x v="2"/>
    <x v="2"/>
    <x v="0"/>
    <s v="Rendah"/>
    <x v="1"/>
    <s v="sangat rendah"/>
  </r>
  <r>
    <s v="ORD01236"/>
    <x v="178"/>
    <s v="Lestari Nugroho"/>
    <x v="18"/>
    <x v="2"/>
    <n v="5000"/>
    <n v="1"/>
    <n v="15"/>
    <n v="5000"/>
    <n v="750"/>
    <n v="4250"/>
    <n v="43000"/>
    <n v="47250"/>
    <x v="1"/>
    <x v="2"/>
    <x v="0"/>
    <x v="3"/>
    <x v="0"/>
    <s v="Bagus"/>
    <x v="1"/>
    <s v="sangat rendah"/>
  </r>
  <r>
    <s v="ORD00757"/>
    <x v="179"/>
    <s v="Zahra Budiman"/>
    <x v="36"/>
    <x v="3"/>
    <n v="14000"/>
    <n v="5"/>
    <n v="15"/>
    <n v="70000"/>
    <n v="10500"/>
    <n v="59500"/>
    <n v="49000"/>
    <n v="108500"/>
    <x v="1"/>
    <x v="0"/>
    <x v="1"/>
    <x v="1"/>
    <x v="0"/>
    <s v="Rendah"/>
    <x v="2"/>
    <s v="normal"/>
  </r>
  <r>
    <s v="ORD01666"/>
    <x v="180"/>
    <s v="Dewi Iskandar"/>
    <x v="27"/>
    <x v="9"/>
    <n v="35000"/>
    <n v="3"/>
    <n v="20"/>
    <n v="105000"/>
    <n v="21000"/>
    <n v="84000"/>
    <n v="18000"/>
    <n v="102000"/>
    <x v="0"/>
    <x v="0"/>
    <x v="3"/>
    <x v="3"/>
    <x v="0"/>
    <s v="Bagus"/>
    <x v="4"/>
    <s v="tinggi"/>
  </r>
  <r>
    <s v="ORD01542"/>
    <x v="181"/>
    <s v="Budi Saputra"/>
    <x v="11"/>
    <x v="11"/>
    <n v="30000"/>
    <n v="5"/>
    <n v="5"/>
    <n v="150000"/>
    <n v="7500"/>
    <n v="142500"/>
    <n v="56000"/>
    <n v="198500"/>
    <x v="1"/>
    <x v="1"/>
    <x v="1"/>
    <x v="4"/>
    <x v="1"/>
    <s v="Bagus"/>
    <x v="0"/>
    <s v="rendah"/>
  </r>
  <r>
    <s v="ORD01285"/>
    <x v="182"/>
    <s v="Zahra Budiman"/>
    <x v="36"/>
    <x v="7"/>
    <n v="12000"/>
    <n v="1"/>
    <n v="15"/>
    <n v="12000"/>
    <n v="1800"/>
    <n v="10200"/>
    <n v="49000"/>
    <n v="59200"/>
    <x v="3"/>
    <x v="1"/>
    <x v="2"/>
    <x v="1"/>
    <x v="0"/>
    <s v="Rendah"/>
    <x v="1"/>
    <s v="sangat rendah"/>
  </r>
  <r>
    <s v="ORD01185"/>
    <x v="183"/>
    <s v="Dina Halim"/>
    <x v="7"/>
    <x v="12"/>
    <n v="25000"/>
    <n v="4"/>
    <n v="20"/>
    <n v="100000"/>
    <n v="20000"/>
    <n v="80000"/>
    <n v="15000"/>
    <n v="95000"/>
    <x v="0"/>
    <x v="2"/>
    <x v="2"/>
    <x v="3"/>
    <x v="0"/>
    <s v="Bagus"/>
    <x v="2"/>
    <s v="normal"/>
  </r>
  <r>
    <s v="ORD01166"/>
    <x v="184"/>
    <s v="Vina Kurniawan"/>
    <x v="5"/>
    <x v="24"/>
    <n v="22000"/>
    <n v="1"/>
    <n v="15"/>
    <n v="22000"/>
    <n v="3300"/>
    <n v="18700"/>
    <n v="78000"/>
    <n v="96700"/>
    <x v="1"/>
    <x v="0"/>
    <x v="2"/>
    <x v="1"/>
    <x v="0"/>
    <s v="Rendah"/>
    <x v="1"/>
    <s v="sangat rendah"/>
  </r>
  <r>
    <s v="ORD01338"/>
    <x v="185"/>
    <s v="Erna Fauziah"/>
    <x v="11"/>
    <x v="14"/>
    <n v="18000"/>
    <n v="5"/>
    <n v="15"/>
    <n v="90000"/>
    <n v="13500"/>
    <n v="76500"/>
    <n v="56000"/>
    <n v="132500"/>
    <x v="3"/>
    <x v="2"/>
    <x v="4"/>
    <x v="0"/>
    <x v="0"/>
    <s v="Standar"/>
    <x v="2"/>
    <s v="normal"/>
  </r>
  <r>
    <s v="ORD01159"/>
    <x v="186"/>
    <s v="Hana Saputra"/>
    <x v="21"/>
    <x v="3"/>
    <n v="14000"/>
    <n v="3"/>
    <n v="10"/>
    <n v="42000"/>
    <n v="4200"/>
    <n v="37800"/>
    <n v="72000"/>
    <n v="109800"/>
    <x v="0"/>
    <x v="2"/>
    <x v="2"/>
    <x v="3"/>
    <x v="0"/>
    <s v="Bagus"/>
    <x v="1"/>
    <s v="sangat rendah"/>
  </r>
  <r>
    <s v="ORD00615"/>
    <x v="187"/>
    <s v="Yani Nugroho"/>
    <x v="15"/>
    <x v="9"/>
    <n v="35000"/>
    <n v="4"/>
    <n v="20"/>
    <n v="140000"/>
    <n v="28000"/>
    <n v="112000"/>
    <n v="17000"/>
    <n v="129000"/>
    <x v="3"/>
    <x v="1"/>
    <x v="1"/>
    <x v="4"/>
    <x v="0"/>
    <s v="Bagus"/>
    <x v="4"/>
    <s v="tinggi"/>
  </r>
  <r>
    <s v="ORD00373"/>
    <x v="188"/>
    <s v="Hana Saputra"/>
    <x v="21"/>
    <x v="26"/>
    <n v="16000"/>
    <n v="1"/>
    <n v="15"/>
    <n v="16000"/>
    <n v="2400"/>
    <n v="13600"/>
    <n v="72000"/>
    <n v="85600"/>
    <x v="1"/>
    <x v="1"/>
    <x v="4"/>
    <x v="3"/>
    <x v="0"/>
    <s v="Bagus"/>
    <x v="1"/>
    <s v="sangat rendah"/>
  </r>
  <r>
    <s v="ORD01256"/>
    <x v="189"/>
    <s v="Erna Wijaya"/>
    <x v="26"/>
    <x v="3"/>
    <n v="14000"/>
    <n v="5"/>
    <n v="5"/>
    <n v="70000"/>
    <n v="3500"/>
    <n v="66500"/>
    <n v="28000"/>
    <n v="94500"/>
    <x v="3"/>
    <x v="0"/>
    <x v="0"/>
    <x v="1"/>
    <x v="0"/>
    <s v="Rendah"/>
    <x v="1"/>
    <s v="sangat rendah"/>
  </r>
  <r>
    <s v="ORD01386"/>
    <x v="190"/>
    <s v="Erna Hidayat"/>
    <x v="26"/>
    <x v="0"/>
    <n v="16000"/>
    <n v="3"/>
    <n v="20"/>
    <n v="48000"/>
    <n v="9600"/>
    <n v="38400"/>
    <n v="28000"/>
    <n v="66400"/>
    <x v="2"/>
    <x v="2"/>
    <x v="3"/>
    <x v="3"/>
    <x v="0"/>
    <s v="Bagus"/>
    <x v="0"/>
    <s v="rendah"/>
  </r>
  <r>
    <s v="ORD00626"/>
    <x v="191"/>
    <s v="Vina Setiawan"/>
    <x v="4"/>
    <x v="17"/>
    <n v="15000"/>
    <n v="3"/>
    <n v="10"/>
    <n v="45000"/>
    <n v="4500"/>
    <n v="40500"/>
    <n v="0"/>
    <n v="40500"/>
    <x v="3"/>
    <x v="2"/>
    <x v="2"/>
    <x v="3"/>
    <x v="0"/>
    <s v="Bagus"/>
    <x v="1"/>
    <s v="sangat rendah"/>
  </r>
  <r>
    <s v="ORD00408"/>
    <x v="192"/>
    <s v="Fitri Iskandar"/>
    <x v="1"/>
    <x v="19"/>
    <n v="35000"/>
    <n v="2"/>
    <n v="10"/>
    <n v="70000"/>
    <n v="7000"/>
    <n v="63000"/>
    <n v="59000"/>
    <n v="122000"/>
    <x v="0"/>
    <x v="1"/>
    <x v="3"/>
    <x v="4"/>
    <x v="0"/>
    <s v="Bagus"/>
    <x v="0"/>
    <s v="rendah"/>
  </r>
  <r>
    <s v="ORD00408"/>
    <x v="192"/>
    <s v="Fitri Iskandar"/>
    <x v="1"/>
    <x v="0"/>
    <n v="16000"/>
    <n v="3"/>
    <n v="10"/>
    <n v="48000"/>
    <n v="4800"/>
    <n v="43200"/>
    <n v="0"/>
    <n v="43200"/>
    <x v="0"/>
    <x v="1"/>
    <x v="3"/>
    <x v="4"/>
    <x v="0"/>
    <s v="Bagus"/>
    <x v="1"/>
    <s v="sangat rendah"/>
  </r>
  <r>
    <s v="ORD01321"/>
    <x v="193"/>
    <s v="Gita Kurniawan"/>
    <x v="5"/>
    <x v="6"/>
    <n v="55000"/>
    <n v="4"/>
    <n v="5"/>
    <n v="220000"/>
    <n v="11000"/>
    <n v="209000"/>
    <n v="78000"/>
    <n v="287000"/>
    <x v="3"/>
    <x v="2"/>
    <x v="4"/>
    <x v="3"/>
    <x v="0"/>
    <s v="Bagus"/>
    <x v="2"/>
    <s v="normal"/>
  </r>
  <r>
    <s v="ORD01273"/>
    <x v="194"/>
    <s v="Hana Nugroho"/>
    <x v="12"/>
    <x v="22"/>
    <n v="18000"/>
    <n v="3"/>
    <n v="20"/>
    <n v="54000"/>
    <n v="10800"/>
    <n v="43200"/>
    <n v="74000"/>
    <n v="117200"/>
    <x v="1"/>
    <x v="1"/>
    <x v="0"/>
    <x v="2"/>
    <x v="0"/>
    <s v="Rendah"/>
    <x v="2"/>
    <s v="normal"/>
  </r>
  <r>
    <s v="ORD01742"/>
    <x v="195"/>
    <s v="Yani Rahmawati"/>
    <x v="36"/>
    <x v="5"/>
    <n v="50000"/>
    <n v="1"/>
    <n v="10"/>
    <n v="50000"/>
    <n v="5000"/>
    <n v="45000"/>
    <n v="49000"/>
    <n v="94000"/>
    <x v="2"/>
    <x v="1"/>
    <x v="1"/>
    <x v="4"/>
    <x v="0"/>
    <s v="Bagus"/>
    <x v="1"/>
    <s v="sangat rendah"/>
  </r>
  <r>
    <s v="ORD01613"/>
    <x v="196"/>
    <s v="Vina Saputra"/>
    <x v="34"/>
    <x v="24"/>
    <n v="22000"/>
    <n v="5"/>
    <n v="0"/>
    <n v="110000"/>
    <n v="0"/>
    <n v="110000"/>
    <n v="80000"/>
    <n v="190000"/>
    <x v="3"/>
    <x v="2"/>
    <x v="0"/>
    <x v="2"/>
    <x v="0"/>
    <s v="Rendah"/>
    <x v="1"/>
    <s v="sangat rendah"/>
  </r>
  <r>
    <s v="ORD01811"/>
    <x v="197"/>
    <s v="Gita Saputra"/>
    <x v="21"/>
    <x v="0"/>
    <n v="16000"/>
    <n v="1"/>
    <n v="20"/>
    <n v="16000"/>
    <n v="3200"/>
    <n v="12800"/>
    <n v="72000"/>
    <n v="84800"/>
    <x v="0"/>
    <x v="1"/>
    <x v="2"/>
    <x v="4"/>
    <x v="0"/>
    <s v="Bagus"/>
    <x v="1"/>
    <s v="sangat rendah"/>
  </r>
  <r>
    <s v="ORD00274"/>
    <x v="198"/>
    <s v="Clara Hidayat"/>
    <x v="14"/>
    <x v="25"/>
    <n v="40000"/>
    <n v="4"/>
    <n v="20"/>
    <n v="160000"/>
    <n v="32000"/>
    <n v="128000"/>
    <n v="46000"/>
    <n v="174000"/>
    <x v="1"/>
    <x v="1"/>
    <x v="0"/>
    <x v="4"/>
    <x v="0"/>
    <s v="Bagus"/>
    <x v="4"/>
    <s v="tinggi"/>
  </r>
  <r>
    <s v="ORD00880"/>
    <x v="199"/>
    <s v="Made Setiawan"/>
    <x v="22"/>
    <x v="19"/>
    <n v="35000"/>
    <n v="4"/>
    <n v="20"/>
    <n v="140000"/>
    <n v="28000"/>
    <n v="112000"/>
    <n v="80000"/>
    <n v="192000"/>
    <x v="3"/>
    <x v="1"/>
    <x v="1"/>
    <x v="4"/>
    <x v="1"/>
    <s v="Bagus"/>
    <x v="4"/>
    <s v="tinggi"/>
  </r>
  <r>
    <s v="ORD01683"/>
    <x v="200"/>
    <s v="Citra Maulana"/>
    <x v="21"/>
    <x v="20"/>
    <n v="40000"/>
    <n v="4"/>
    <n v="10"/>
    <n v="160000"/>
    <n v="16000"/>
    <n v="144000"/>
    <n v="72000"/>
    <n v="216000"/>
    <x v="1"/>
    <x v="0"/>
    <x v="0"/>
    <x v="4"/>
    <x v="0"/>
    <s v="Bagus"/>
    <x v="2"/>
    <s v="normal"/>
  </r>
  <r>
    <s v="ORD00833"/>
    <x v="201"/>
    <s v="Eka Puspita"/>
    <x v="36"/>
    <x v="21"/>
    <n v="10000"/>
    <n v="1"/>
    <n v="20"/>
    <n v="10000"/>
    <n v="2000"/>
    <n v="8000"/>
    <n v="49000"/>
    <n v="57000"/>
    <x v="1"/>
    <x v="1"/>
    <x v="2"/>
    <x v="2"/>
    <x v="0"/>
    <s v="Rendah"/>
    <x v="1"/>
    <s v="sangat rendah"/>
  </r>
  <r>
    <s v="ORD01627"/>
    <x v="202"/>
    <s v="Yani Nugroho"/>
    <x v="15"/>
    <x v="10"/>
    <n v="45000"/>
    <n v="2"/>
    <n v="0"/>
    <n v="90000"/>
    <n v="0"/>
    <n v="90000"/>
    <n v="17000"/>
    <n v="107000"/>
    <x v="2"/>
    <x v="2"/>
    <x v="0"/>
    <x v="0"/>
    <x v="0"/>
    <s v="Standar"/>
    <x v="1"/>
    <s v="sangat rendah"/>
  </r>
  <r>
    <s v="ORD01215"/>
    <x v="203"/>
    <s v="Ani Kusuma"/>
    <x v="25"/>
    <x v="25"/>
    <n v="40000"/>
    <n v="1"/>
    <n v="5"/>
    <n v="40000"/>
    <n v="2000"/>
    <n v="38000"/>
    <n v="48000"/>
    <n v="86000"/>
    <x v="1"/>
    <x v="2"/>
    <x v="3"/>
    <x v="3"/>
    <x v="0"/>
    <s v="Bagus"/>
    <x v="1"/>
    <s v="sangat rendah"/>
  </r>
  <r>
    <s v="ORD00460"/>
    <x v="204"/>
    <s v="Aulia Setiawan"/>
    <x v="23"/>
    <x v="2"/>
    <n v="5000"/>
    <n v="2"/>
    <n v="5"/>
    <n v="10000"/>
    <n v="500"/>
    <n v="9500"/>
    <n v="49000"/>
    <n v="58500"/>
    <x v="0"/>
    <x v="2"/>
    <x v="3"/>
    <x v="2"/>
    <x v="0"/>
    <s v="Rendah"/>
    <x v="1"/>
    <s v="sangat rendah"/>
  </r>
  <r>
    <s v="ORD00460"/>
    <x v="204"/>
    <s v="Aulia Setiawan"/>
    <x v="23"/>
    <x v="12"/>
    <n v="25000"/>
    <n v="5"/>
    <n v="5"/>
    <n v="125000"/>
    <n v="6250"/>
    <n v="118750"/>
    <n v="0"/>
    <n v="118750"/>
    <x v="0"/>
    <x v="2"/>
    <x v="3"/>
    <x v="2"/>
    <x v="0"/>
    <s v="Rendah"/>
    <x v="0"/>
    <s v="rendah"/>
  </r>
  <r>
    <s v="ORD01343"/>
    <x v="205"/>
    <s v="Dimas Utami"/>
    <x v="4"/>
    <x v="3"/>
    <n v="14000"/>
    <n v="2"/>
    <n v="15"/>
    <n v="28000"/>
    <n v="4200"/>
    <n v="23800"/>
    <n v="0"/>
    <n v="23800"/>
    <x v="2"/>
    <x v="2"/>
    <x v="4"/>
    <x v="2"/>
    <x v="1"/>
    <s v="Rendah"/>
    <x v="1"/>
    <s v="sangat rendah"/>
  </r>
  <r>
    <s v="ORD00652"/>
    <x v="206"/>
    <s v="Andi Utami"/>
    <x v="26"/>
    <x v="23"/>
    <n v="45000"/>
    <n v="2"/>
    <n v="5"/>
    <n v="90000"/>
    <n v="4500"/>
    <n v="85500"/>
    <n v="28000"/>
    <n v="113500"/>
    <x v="1"/>
    <x v="2"/>
    <x v="1"/>
    <x v="4"/>
    <x v="1"/>
    <s v="Bagus"/>
    <x v="1"/>
    <s v="sangat rendah"/>
  </r>
  <r>
    <s v="ORD00557"/>
    <x v="207"/>
    <s v="Eko Pradipta"/>
    <x v="18"/>
    <x v="1"/>
    <n v="17000"/>
    <n v="3"/>
    <n v="0"/>
    <n v="51000"/>
    <n v="0"/>
    <n v="51000"/>
    <n v="43000"/>
    <n v="94000"/>
    <x v="3"/>
    <x v="0"/>
    <x v="2"/>
    <x v="2"/>
    <x v="1"/>
    <s v="Rendah"/>
    <x v="1"/>
    <s v="sangat rendah"/>
  </r>
  <r>
    <s v="ORD00359"/>
    <x v="208"/>
    <s v="Yani Kusuma"/>
    <x v="1"/>
    <x v="9"/>
    <n v="35000"/>
    <n v="1"/>
    <n v="20"/>
    <n v="35000"/>
    <n v="7000"/>
    <n v="28000"/>
    <n v="59000"/>
    <n v="87000"/>
    <x v="2"/>
    <x v="0"/>
    <x v="0"/>
    <x v="3"/>
    <x v="0"/>
    <s v="Bagus"/>
    <x v="0"/>
    <s v="rendah"/>
  </r>
  <r>
    <s v="ORD00756"/>
    <x v="209"/>
    <s v="Erna Halim"/>
    <x v="18"/>
    <x v="13"/>
    <n v="17000"/>
    <n v="4"/>
    <n v="15"/>
    <n v="68000"/>
    <n v="10200"/>
    <n v="57800"/>
    <n v="43000"/>
    <n v="100800"/>
    <x v="3"/>
    <x v="0"/>
    <x v="4"/>
    <x v="4"/>
    <x v="0"/>
    <s v="Bagus"/>
    <x v="2"/>
    <s v="normal"/>
  </r>
  <r>
    <s v="ORD00125"/>
    <x v="210"/>
    <s v="Bella Setiawan"/>
    <x v="9"/>
    <x v="22"/>
    <n v="18000"/>
    <n v="2"/>
    <n v="10"/>
    <n v="36000"/>
    <n v="3600"/>
    <n v="32400"/>
    <n v="21000"/>
    <n v="53400"/>
    <x v="2"/>
    <x v="0"/>
    <x v="0"/>
    <x v="1"/>
    <x v="0"/>
    <s v="Rendah"/>
    <x v="1"/>
    <s v="sangat rendah"/>
  </r>
  <r>
    <s v="ORD00839"/>
    <x v="211"/>
    <s v="Citra Ananda"/>
    <x v="3"/>
    <x v="7"/>
    <n v="12000"/>
    <n v="2"/>
    <n v="20"/>
    <n v="24000"/>
    <n v="4800"/>
    <n v="19200"/>
    <n v="18000"/>
    <n v="37200"/>
    <x v="1"/>
    <x v="0"/>
    <x v="2"/>
    <x v="4"/>
    <x v="0"/>
    <s v="Bagus"/>
    <x v="1"/>
    <s v="sangat rendah"/>
  </r>
  <r>
    <s v="ORD01501"/>
    <x v="212"/>
    <s v="Sari Hidayat"/>
    <x v="35"/>
    <x v="15"/>
    <n v="4000"/>
    <n v="1"/>
    <n v="0"/>
    <n v="4000"/>
    <n v="0"/>
    <n v="4000"/>
    <n v="76000"/>
    <n v="80000"/>
    <x v="2"/>
    <x v="1"/>
    <x v="3"/>
    <x v="2"/>
    <x v="0"/>
    <s v="Rendah"/>
    <x v="1"/>
    <s v="sangat rendah"/>
  </r>
  <r>
    <s v="ORD00602"/>
    <x v="213"/>
    <s v="Eka Iskandar"/>
    <x v="12"/>
    <x v="5"/>
    <n v="50000"/>
    <n v="4"/>
    <n v="0"/>
    <n v="200000"/>
    <n v="0"/>
    <n v="200000"/>
    <n v="74000"/>
    <n v="274000"/>
    <x v="1"/>
    <x v="2"/>
    <x v="2"/>
    <x v="1"/>
    <x v="0"/>
    <s v="Rendah"/>
    <x v="1"/>
    <s v="sangat rendah"/>
  </r>
  <r>
    <s v="ORD00738"/>
    <x v="214"/>
    <s v="Gita Iskandar"/>
    <x v="19"/>
    <x v="10"/>
    <n v="45000"/>
    <n v="3"/>
    <n v="15"/>
    <n v="135000"/>
    <n v="20250"/>
    <n v="114750"/>
    <n v="55000"/>
    <n v="169750"/>
    <x v="2"/>
    <x v="0"/>
    <x v="3"/>
    <x v="1"/>
    <x v="0"/>
    <s v="Rendah"/>
    <x v="4"/>
    <s v="tinggi"/>
  </r>
  <r>
    <s v="ORD01718"/>
    <x v="215"/>
    <s v="Eka Maulana"/>
    <x v="35"/>
    <x v="2"/>
    <n v="5000"/>
    <n v="3"/>
    <n v="20"/>
    <n v="15000"/>
    <n v="3000"/>
    <n v="12000"/>
    <n v="76000"/>
    <n v="88000"/>
    <x v="3"/>
    <x v="1"/>
    <x v="3"/>
    <x v="0"/>
    <x v="0"/>
    <s v="Standar"/>
    <x v="1"/>
    <s v="sangat rendah"/>
  </r>
  <r>
    <s v="ORD00984"/>
    <x v="216"/>
    <s v="Galih Iskandar"/>
    <x v="36"/>
    <x v="10"/>
    <n v="45000"/>
    <n v="3"/>
    <n v="20"/>
    <n v="135000"/>
    <n v="27000"/>
    <n v="108000"/>
    <n v="49000"/>
    <n v="157000"/>
    <x v="1"/>
    <x v="1"/>
    <x v="3"/>
    <x v="0"/>
    <x v="1"/>
    <s v="Standar"/>
    <x v="4"/>
    <s v="tinggi"/>
  </r>
  <r>
    <s v="ORD00711"/>
    <x v="217"/>
    <s v="Arif Maulana"/>
    <x v="30"/>
    <x v="8"/>
    <n v="14000"/>
    <n v="4"/>
    <n v="5"/>
    <n v="56000"/>
    <n v="2800"/>
    <n v="53200"/>
    <n v="97000"/>
    <n v="150200"/>
    <x v="0"/>
    <x v="1"/>
    <x v="1"/>
    <x v="4"/>
    <x v="1"/>
    <s v="Bagus"/>
    <x v="1"/>
    <s v="sangat rendah"/>
  </r>
  <r>
    <s v="ORD00454"/>
    <x v="218"/>
    <s v="Ani Fauziah"/>
    <x v="30"/>
    <x v="2"/>
    <n v="5000"/>
    <n v="3"/>
    <n v="10"/>
    <n v="15000"/>
    <n v="1500"/>
    <n v="13500"/>
    <n v="97000"/>
    <n v="110500"/>
    <x v="1"/>
    <x v="2"/>
    <x v="0"/>
    <x v="4"/>
    <x v="0"/>
    <s v="Bagus"/>
    <x v="1"/>
    <s v="sangat rendah"/>
  </r>
  <r>
    <s v="ORD00454"/>
    <x v="218"/>
    <s v="Ani Fauziah"/>
    <x v="30"/>
    <x v="7"/>
    <n v="12000"/>
    <n v="4"/>
    <n v="0"/>
    <n v="48000"/>
    <n v="0"/>
    <n v="48000"/>
    <n v="0"/>
    <n v="48000"/>
    <x v="1"/>
    <x v="2"/>
    <x v="0"/>
    <x v="4"/>
    <x v="0"/>
    <s v="Bagus"/>
    <x v="1"/>
    <s v="sangat rendah"/>
  </r>
  <r>
    <s v="ORD01440"/>
    <x v="219"/>
    <s v="Bella Halim"/>
    <x v="35"/>
    <x v="9"/>
    <n v="35000"/>
    <n v="5"/>
    <n v="5"/>
    <n v="175000"/>
    <n v="8750"/>
    <n v="166250"/>
    <n v="76000"/>
    <n v="242250"/>
    <x v="3"/>
    <x v="0"/>
    <x v="2"/>
    <x v="4"/>
    <x v="0"/>
    <s v="Bagus"/>
    <x v="0"/>
    <s v="rendah"/>
  </r>
  <r>
    <s v="ORD00631"/>
    <x v="220"/>
    <s v="Eka Saputra"/>
    <x v="25"/>
    <x v="23"/>
    <n v="45000"/>
    <n v="4"/>
    <n v="15"/>
    <n v="180000"/>
    <n v="27000"/>
    <n v="153000"/>
    <n v="48000"/>
    <n v="201000"/>
    <x v="3"/>
    <x v="2"/>
    <x v="0"/>
    <x v="4"/>
    <x v="0"/>
    <s v="Bagus"/>
    <x v="4"/>
    <s v="tinggi"/>
  </r>
  <r>
    <s v="ORD00285"/>
    <x v="221"/>
    <s v="Bella Saputra"/>
    <x v="27"/>
    <x v="19"/>
    <n v="35000"/>
    <n v="4"/>
    <n v="20"/>
    <n v="140000"/>
    <n v="28000"/>
    <n v="112000"/>
    <n v="18000"/>
    <n v="130000"/>
    <x v="3"/>
    <x v="2"/>
    <x v="2"/>
    <x v="4"/>
    <x v="0"/>
    <s v="Bagus"/>
    <x v="4"/>
    <s v="tinggi"/>
  </r>
  <r>
    <s v="ORD00338"/>
    <x v="222"/>
    <s v="Vina Maulana"/>
    <x v="7"/>
    <x v="22"/>
    <n v="18000"/>
    <n v="4"/>
    <n v="15"/>
    <n v="72000"/>
    <n v="10800"/>
    <n v="61200"/>
    <n v="15000"/>
    <n v="76200"/>
    <x v="0"/>
    <x v="2"/>
    <x v="0"/>
    <x v="2"/>
    <x v="0"/>
    <s v="Rendah"/>
    <x v="2"/>
    <s v="normal"/>
  </r>
  <r>
    <s v="ORD00898"/>
    <x v="223"/>
    <s v="Dewi Setiawan"/>
    <x v="30"/>
    <x v="0"/>
    <n v="16000"/>
    <n v="1"/>
    <n v="5"/>
    <n v="16000"/>
    <n v="800"/>
    <n v="15200"/>
    <n v="97000"/>
    <n v="112200"/>
    <x v="3"/>
    <x v="2"/>
    <x v="1"/>
    <x v="1"/>
    <x v="0"/>
    <s v="Rendah"/>
    <x v="1"/>
    <s v="sangat rendah"/>
  </r>
  <r>
    <s v="ORD01690"/>
    <x v="224"/>
    <s v="Sari Hidayat"/>
    <x v="35"/>
    <x v="3"/>
    <n v="14000"/>
    <n v="2"/>
    <n v="0"/>
    <n v="28000"/>
    <n v="0"/>
    <n v="28000"/>
    <n v="76000"/>
    <n v="104000"/>
    <x v="0"/>
    <x v="1"/>
    <x v="0"/>
    <x v="3"/>
    <x v="0"/>
    <s v="Bagus"/>
    <x v="1"/>
    <s v="sangat rendah"/>
  </r>
  <r>
    <s v="ORD00558"/>
    <x v="225"/>
    <s v="Bella Iskandar"/>
    <x v="1"/>
    <x v="17"/>
    <n v="15000"/>
    <n v="3"/>
    <n v="15"/>
    <n v="45000"/>
    <n v="6750"/>
    <n v="38250"/>
    <n v="59000"/>
    <n v="97250"/>
    <x v="0"/>
    <x v="2"/>
    <x v="3"/>
    <x v="1"/>
    <x v="0"/>
    <s v="Rendah"/>
    <x v="0"/>
    <s v="rendah"/>
  </r>
  <r>
    <s v="ORD00572"/>
    <x v="226"/>
    <s v="Eka Kurniawan"/>
    <x v="0"/>
    <x v="7"/>
    <n v="12000"/>
    <n v="4"/>
    <n v="20"/>
    <n v="48000"/>
    <n v="9600"/>
    <n v="38400"/>
    <n v="67000"/>
    <n v="105400"/>
    <x v="2"/>
    <x v="2"/>
    <x v="4"/>
    <x v="2"/>
    <x v="0"/>
    <s v="Rendah"/>
    <x v="0"/>
    <s v="rendah"/>
  </r>
  <r>
    <s v="ORD00499"/>
    <x v="227"/>
    <s v="Hana Nugroho"/>
    <x v="12"/>
    <x v="15"/>
    <n v="4000"/>
    <n v="2"/>
    <n v="0"/>
    <n v="8000"/>
    <n v="0"/>
    <n v="8000"/>
    <n v="0"/>
    <n v="8000"/>
    <x v="2"/>
    <x v="0"/>
    <x v="1"/>
    <x v="4"/>
    <x v="0"/>
    <s v="Bagus"/>
    <x v="1"/>
    <s v="sangat rendah"/>
  </r>
  <r>
    <s v="ORD00499"/>
    <x v="227"/>
    <s v="Hana Nugroho"/>
    <x v="12"/>
    <x v="5"/>
    <n v="50000"/>
    <n v="5"/>
    <n v="10"/>
    <n v="250000"/>
    <n v="25000"/>
    <n v="225000"/>
    <n v="74000"/>
    <n v="299000"/>
    <x v="2"/>
    <x v="0"/>
    <x v="1"/>
    <x v="4"/>
    <x v="0"/>
    <s v="Bagus"/>
    <x v="4"/>
    <s v="tinggi"/>
  </r>
  <r>
    <s v="ORD01114"/>
    <x v="228"/>
    <s v="Budi Fauziah"/>
    <x v="24"/>
    <x v="3"/>
    <n v="14000"/>
    <n v="1"/>
    <n v="5"/>
    <n v="14000"/>
    <n v="700"/>
    <n v="13300"/>
    <n v="93000"/>
    <n v="106300"/>
    <x v="0"/>
    <x v="4"/>
    <x v="2"/>
    <x v="1"/>
    <x v="1"/>
    <s v="Rendah"/>
    <x v="1"/>
    <s v="sangat rendah"/>
  </r>
  <r>
    <s v="ORD00020"/>
    <x v="229"/>
    <s v="Rizky Saputra"/>
    <x v="19"/>
    <x v="23"/>
    <n v="45000"/>
    <n v="1"/>
    <n v="5"/>
    <n v="45000"/>
    <n v="2250"/>
    <n v="42750"/>
    <n v="55000"/>
    <n v="97750"/>
    <x v="1"/>
    <x v="2"/>
    <x v="3"/>
    <x v="2"/>
    <x v="1"/>
    <s v="Rendah"/>
    <x v="1"/>
    <s v="sangat rendah"/>
  </r>
  <r>
    <s v="ORD00583"/>
    <x v="230"/>
    <s v="Lestari Wijaya"/>
    <x v="4"/>
    <x v="22"/>
    <n v="18000"/>
    <n v="4"/>
    <n v="5"/>
    <n v="72000"/>
    <n v="3600"/>
    <n v="68400"/>
    <n v="0"/>
    <n v="68400"/>
    <x v="3"/>
    <x v="2"/>
    <x v="3"/>
    <x v="0"/>
    <x v="0"/>
    <s v="Standar"/>
    <x v="1"/>
    <s v="sangat rendah"/>
  </r>
  <r>
    <s v="ORD01625"/>
    <x v="231"/>
    <s v="Citra Maulana"/>
    <x v="21"/>
    <x v="10"/>
    <n v="45000"/>
    <n v="5"/>
    <n v="0"/>
    <n v="225000"/>
    <n v="0"/>
    <n v="225000"/>
    <n v="72000"/>
    <n v="297000"/>
    <x v="3"/>
    <x v="4"/>
    <x v="1"/>
    <x v="0"/>
    <x v="0"/>
    <s v="Standar"/>
    <x v="1"/>
    <s v="sangat rendah"/>
  </r>
  <r>
    <s v="ORD00720"/>
    <x v="232"/>
    <s v="Dina Syahputra"/>
    <x v="11"/>
    <x v="12"/>
    <n v="25000"/>
    <n v="1"/>
    <n v="20"/>
    <n v="25000"/>
    <n v="5000"/>
    <n v="20000"/>
    <n v="56000"/>
    <n v="76000"/>
    <x v="1"/>
    <x v="1"/>
    <x v="3"/>
    <x v="4"/>
    <x v="0"/>
    <s v="Bagus"/>
    <x v="1"/>
    <s v="sangat rendah"/>
  </r>
  <r>
    <s v="ORD00669"/>
    <x v="233"/>
    <s v="Yani Hidayat"/>
    <x v="34"/>
    <x v="11"/>
    <n v="30000"/>
    <n v="4"/>
    <n v="0"/>
    <n v="120000"/>
    <n v="0"/>
    <n v="120000"/>
    <n v="80000"/>
    <n v="200000"/>
    <x v="2"/>
    <x v="1"/>
    <x v="1"/>
    <x v="4"/>
    <x v="0"/>
    <s v="Bagus"/>
    <x v="1"/>
    <s v="sangat rendah"/>
  </r>
  <r>
    <s v="ORD01858"/>
    <x v="234"/>
    <s v="Galih Budiman"/>
    <x v="15"/>
    <x v="22"/>
    <n v="18000"/>
    <n v="3"/>
    <n v="0"/>
    <n v="54000"/>
    <n v="0"/>
    <n v="54000"/>
    <n v="17000"/>
    <n v="71000"/>
    <x v="1"/>
    <x v="1"/>
    <x v="2"/>
    <x v="3"/>
    <x v="1"/>
    <s v="Bagus"/>
    <x v="1"/>
    <s v="sangat rendah"/>
  </r>
  <r>
    <s v="ORD00004"/>
    <x v="235"/>
    <s v="Oka Santoso"/>
    <x v="3"/>
    <x v="26"/>
    <n v="16000"/>
    <n v="4"/>
    <n v="5"/>
    <n v="64000"/>
    <n v="3200"/>
    <n v="60800"/>
    <n v="18000"/>
    <n v="78800"/>
    <x v="0"/>
    <x v="0"/>
    <x v="1"/>
    <x v="4"/>
    <x v="1"/>
    <s v="Bagus"/>
    <x v="1"/>
    <s v="sangat rendah"/>
  </r>
  <r>
    <s v="ORD01546"/>
    <x v="236"/>
    <s v="Qori Maulana"/>
    <x v="27"/>
    <x v="5"/>
    <n v="50000"/>
    <n v="3"/>
    <n v="20"/>
    <n v="150000"/>
    <n v="30000"/>
    <n v="120000"/>
    <n v="18000"/>
    <n v="138000"/>
    <x v="0"/>
    <x v="0"/>
    <x v="1"/>
    <x v="0"/>
    <x v="0"/>
    <s v="Standar"/>
    <x v="4"/>
    <s v="tinggi"/>
  </r>
  <r>
    <s v="ORD00333"/>
    <x v="237"/>
    <s v="Hana Santoso"/>
    <x v="7"/>
    <x v="22"/>
    <n v="18000"/>
    <n v="3"/>
    <n v="10"/>
    <n v="54000"/>
    <n v="5400"/>
    <n v="48600"/>
    <n v="15000"/>
    <n v="63600"/>
    <x v="1"/>
    <x v="2"/>
    <x v="0"/>
    <x v="1"/>
    <x v="0"/>
    <s v="Rendah"/>
    <x v="0"/>
    <s v="rendah"/>
  </r>
  <r>
    <s v="ORD00913"/>
    <x v="238"/>
    <s v="Oka Kurniawan"/>
    <x v="13"/>
    <x v="11"/>
    <n v="30000"/>
    <n v="2"/>
    <n v="10"/>
    <n v="60000"/>
    <n v="6000"/>
    <n v="54000"/>
    <n v="87000"/>
    <n v="141000"/>
    <x v="2"/>
    <x v="2"/>
    <x v="4"/>
    <x v="3"/>
    <x v="1"/>
    <s v="Bagus"/>
    <x v="0"/>
    <s v="rendah"/>
  </r>
  <r>
    <s v="ORD00295"/>
    <x v="239"/>
    <s v="Dewi Rahmawati"/>
    <x v="2"/>
    <x v="23"/>
    <n v="45000"/>
    <n v="4"/>
    <n v="15"/>
    <n v="180000"/>
    <n v="27000"/>
    <n v="153000"/>
    <n v="26000"/>
    <n v="179000"/>
    <x v="2"/>
    <x v="2"/>
    <x v="0"/>
    <x v="4"/>
    <x v="0"/>
    <s v="Bagus"/>
    <x v="4"/>
    <s v="tinggi"/>
  </r>
  <r>
    <s v="ORD00717"/>
    <x v="240"/>
    <s v="Ani Wijaya"/>
    <x v="25"/>
    <x v="24"/>
    <n v="22000"/>
    <n v="3"/>
    <n v="5"/>
    <n v="66000"/>
    <n v="3300"/>
    <n v="62700"/>
    <n v="48000"/>
    <n v="110700"/>
    <x v="0"/>
    <x v="2"/>
    <x v="0"/>
    <x v="1"/>
    <x v="0"/>
    <s v="Rendah"/>
    <x v="1"/>
    <s v="sangat rendah"/>
  </r>
  <r>
    <s v="ORD01037"/>
    <x v="241"/>
    <s v="Zahra Kurniawan"/>
    <x v="7"/>
    <x v="9"/>
    <n v="35000"/>
    <n v="3"/>
    <n v="5"/>
    <n v="105000"/>
    <n v="5250"/>
    <n v="99750"/>
    <n v="15000"/>
    <n v="114750"/>
    <x v="3"/>
    <x v="2"/>
    <x v="1"/>
    <x v="1"/>
    <x v="0"/>
    <s v="Rendah"/>
    <x v="0"/>
    <s v="rendah"/>
  </r>
  <r>
    <s v="ORD00920"/>
    <x v="242"/>
    <s v="Eka Maulana"/>
    <x v="35"/>
    <x v="8"/>
    <n v="14000"/>
    <n v="3"/>
    <n v="0"/>
    <n v="42000"/>
    <n v="0"/>
    <n v="42000"/>
    <n v="76000"/>
    <n v="118000"/>
    <x v="2"/>
    <x v="4"/>
    <x v="0"/>
    <x v="0"/>
    <x v="0"/>
    <s v="Standar"/>
    <x v="1"/>
    <s v="sangat rendah"/>
  </r>
  <r>
    <s v="ORD00381"/>
    <x v="243"/>
    <s v="Zahra Nugroho"/>
    <x v="5"/>
    <x v="0"/>
    <n v="16000"/>
    <n v="2"/>
    <n v="15"/>
    <n v="32000"/>
    <n v="4800"/>
    <n v="27200"/>
    <n v="78000"/>
    <n v="105200"/>
    <x v="1"/>
    <x v="4"/>
    <x v="0"/>
    <x v="4"/>
    <x v="0"/>
    <s v="Bagus"/>
    <x v="1"/>
    <s v="sangat rendah"/>
  </r>
  <r>
    <s v="ORD01771"/>
    <x v="244"/>
    <s v="Indra Ananda"/>
    <x v="10"/>
    <x v="0"/>
    <n v="16000"/>
    <n v="5"/>
    <n v="5"/>
    <n v="80000"/>
    <n v="4000"/>
    <n v="76000"/>
    <n v="84000"/>
    <n v="160000"/>
    <x v="1"/>
    <x v="4"/>
    <x v="4"/>
    <x v="4"/>
    <x v="1"/>
    <s v="Bagus"/>
    <x v="1"/>
    <s v="sangat rendah"/>
  </r>
  <r>
    <s v="ORD01405"/>
    <x v="245"/>
    <s v="Sari Puspita"/>
    <x v="30"/>
    <x v="6"/>
    <n v="55000"/>
    <n v="3"/>
    <n v="0"/>
    <n v="165000"/>
    <n v="0"/>
    <n v="165000"/>
    <n v="97000"/>
    <n v="262000"/>
    <x v="1"/>
    <x v="2"/>
    <x v="3"/>
    <x v="2"/>
    <x v="0"/>
    <s v="Rendah"/>
    <x v="1"/>
    <s v="sangat rendah"/>
  </r>
  <r>
    <s v="ORD01268"/>
    <x v="246"/>
    <s v="Dina Kusuma"/>
    <x v="25"/>
    <x v="7"/>
    <n v="12000"/>
    <n v="3"/>
    <n v="0"/>
    <n v="36000"/>
    <n v="0"/>
    <n v="36000"/>
    <n v="48000"/>
    <n v="84000"/>
    <x v="0"/>
    <x v="4"/>
    <x v="3"/>
    <x v="4"/>
    <x v="0"/>
    <s v="Bagus"/>
    <x v="1"/>
    <s v="sangat rendah"/>
  </r>
  <r>
    <s v="ORD00938"/>
    <x v="247"/>
    <s v="Sari Fauziah"/>
    <x v="26"/>
    <x v="7"/>
    <n v="12000"/>
    <n v="2"/>
    <n v="0"/>
    <n v="24000"/>
    <n v="0"/>
    <n v="24000"/>
    <n v="28000"/>
    <n v="52000"/>
    <x v="3"/>
    <x v="2"/>
    <x v="1"/>
    <x v="2"/>
    <x v="0"/>
    <s v="Rendah"/>
    <x v="1"/>
    <s v="sangat rendah"/>
  </r>
  <r>
    <s v="ORD01400"/>
    <x v="248"/>
    <s v="Tono Saputra"/>
    <x v="37"/>
    <x v="13"/>
    <n v="17000"/>
    <n v="3"/>
    <n v="5"/>
    <n v="51000"/>
    <n v="2550"/>
    <n v="48450"/>
    <n v="57000"/>
    <n v="105450"/>
    <x v="2"/>
    <x v="4"/>
    <x v="1"/>
    <x v="3"/>
    <x v="1"/>
    <s v="Bagus"/>
    <x v="1"/>
    <s v="sangat rendah"/>
  </r>
  <r>
    <s v="ORD00123"/>
    <x v="249"/>
    <s v="Kartika Kusuma"/>
    <x v="20"/>
    <x v="4"/>
    <n v="6000"/>
    <n v="1"/>
    <n v="20"/>
    <n v="6000"/>
    <n v="1200"/>
    <n v="4800"/>
    <n v="85000"/>
    <n v="89800"/>
    <x v="0"/>
    <x v="2"/>
    <x v="1"/>
    <x v="2"/>
    <x v="0"/>
    <s v="Rendah"/>
    <x v="1"/>
    <s v="sangat rendah"/>
  </r>
  <r>
    <s v="ORD01412"/>
    <x v="250"/>
    <s v="Putri Wijaya"/>
    <x v="6"/>
    <x v="2"/>
    <n v="5000"/>
    <n v="2"/>
    <n v="15"/>
    <n v="10000"/>
    <n v="1500"/>
    <n v="8500"/>
    <n v="30000"/>
    <n v="38500"/>
    <x v="1"/>
    <x v="2"/>
    <x v="0"/>
    <x v="1"/>
    <x v="0"/>
    <s v="Rendah"/>
    <x v="1"/>
    <s v="sangat rendah"/>
  </r>
  <r>
    <s v="ORD00360"/>
    <x v="251"/>
    <s v="Dina Halim"/>
    <x v="7"/>
    <x v="0"/>
    <n v="16000"/>
    <n v="3"/>
    <n v="15"/>
    <n v="48000"/>
    <n v="7200"/>
    <n v="40800"/>
    <n v="15000"/>
    <n v="55800"/>
    <x v="1"/>
    <x v="2"/>
    <x v="2"/>
    <x v="0"/>
    <x v="0"/>
    <s v="Standar"/>
    <x v="0"/>
    <s v="rendah"/>
  </r>
  <r>
    <s v="ORD00561"/>
    <x v="252"/>
    <s v="Erna Rahmawati"/>
    <x v="27"/>
    <x v="12"/>
    <n v="25000"/>
    <n v="1"/>
    <n v="20"/>
    <n v="25000"/>
    <n v="5000"/>
    <n v="20000"/>
    <n v="18000"/>
    <n v="38000"/>
    <x v="2"/>
    <x v="2"/>
    <x v="4"/>
    <x v="3"/>
    <x v="0"/>
    <s v="Bagus"/>
    <x v="1"/>
    <s v="sangat rendah"/>
  </r>
  <r>
    <s v="ORD00399"/>
    <x v="253"/>
    <s v="Vina Hidayat"/>
    <x v="29"/>
    <x v="17"/>
    <n v="15000"/>
    <n v="1"/>
    <n v="0"/>
    <n v="15000"/>
    <n v="0"/>
    <n v="15000"/>
    <n v="89000"/>
    <n v="104000"/>
    <x v="1"/>
    <x v="2"/>
    <x v="1"/>
    <x v="0"/>
    <x v="0"/>
    <s v="Standar"/>
    <x v="1"/>
    <s v="sangat rendah"/>
  </r>
  <r>
    <s v="ORD00842"/>
    <x v="254"/>
    <s v="Zahra Budiman"/>
    <x v="36"/>
    <x v="5"/>
    <n v="50000"/>
    <n v="1"/>
    <n v="5"/>
    <n v="50000"/>
    <n v="2500"/>
    <n v="47500"/>
    <n v="49000"/>
    <n v="96500"/>
    <x v="1"/>
    <x v="2"/>
    <x v="2"/>
    <x v="3"/>
    <x v="0"/>
    <s v="Bagus"/>
    <x v="1"/>
    <s v="sangat rendah"/>
  </r>
  <r>
    <s v="ORD00183"/>
    <x v="255"/>
    <s v="Aulia Nugroho"/>
    <x v="27"/>
    <x v="13"/>
    <n v="17000"/>
    <n v="2"/>
    <n v="10"/>
    <n v="34000"/>
    <n v="3400"/>
    <n v="30600"/>
    <n v="18000"/>
    <n v="48600"/>
    <x v="3"/>
    <x v="2"/>
    <x v="1"/>
    <x v="3"/>
    <x v="0"/>
    <s v="Bagus"/>
    <x v="1"/>
    <s v="sangat rendah"/>
  </r>
  <r>
    <s v="ORD00046"/>
    <x v="256"/>
    <s v="Rizky Ramadhani"/>
    <x v="31"/>
    <x v="12"/>
    <n v="25000"/>
    <n v="4"/>
    <n v="10"/>
    <n v="100000"/>
    <n v="10000"/>
    <n v="90000"/>
    <n v="18000"/>
    <n v="108000"/>
    <x v="3"/>
    <x v="2"/>
    <x v="0"/>
    <x v="0"/>
    <x v="1"/>
    <s v="Standar"/>
    <x v="0"/>
    <s v="rendah"/>
  </r>
  <r>
    <s v="ORD01783"/>
    <x v="257"/>
    <s v="Yani Rahmawati"/>
    <x v="36"/>
    <x v="21"/>
    <n v="10000"/>
    <n v="2"/>
    <n v="10"/>
    <n v="20000"/>
    <n v="2000"/>
    <n v="18000"/>
    <n v="49000"/>
    <n v="67000"/>
    <x v="2"/>
    <x v="2"/>
    <x v="0"/>
    <x v="1"/>
    <x v="0"/>
    <s v="Rendah"/>
    <x v="1"/>
    <s v="sangat rendah"/>
  </r>
  <r>
    <s v="ORD00745"/>
    <x v="258"/>
    <s v="Kartika Nugroho"/>
    <x v="18"/>
    <x v="12"/>
    <n v="25000"/>
    <n v="4"/>
    <n v="10"/>
    <n v="100000"/>
    <n v="10000"/>
    <n v="90000"/>
    <n v="43000"/>
    <n v="133000"/>
    <x v="3"/>
    <x v="3"/>
    <x v="4"/>
    <x v="3"/>
    <x v="0"/>
    <s v="Bagus"/>
    <x v="0"/>
    <s v="rendah"/>
  </r>
  <r>
    <s v="ORD01808"/>
    <x v="259"/>
    <s v="Clara Puspita"/>
    <x v="28"/>
    <x v="15"/>
    <n v="4000"/>
    <n v="2"/>
    <n v="20"/>
    <n v="8000"/>
    <n v="1600"/>
    <n v="6400"/>
    <n v="79000"/>
    <n v="85400"/>
    <x v="1"/>
    <x v="2"/>
    <x v="0"/>
    <x v="1"/>
    <x v="0"/>
    <s v="Rendah"/>
    <x v="1"/>
    <s v="sangat rendah"/>
  </r>
  <r>
    <s v="ORD00767"/>
    <x v="260"/>
    <s v="Eka Maulana"/>
    <x v="35"/>
    <x v="23"/>
    <n v="45000"/>
    <n v="1"/>
    <n v="10"/>
    <n v="45000"/>
    <n v="4500"/>
    <n v="40500"/>
    <n v="76000"/>
    <n v="116500"/>
    <x v="1"/>
    <x v="4"/>
    <x v="1"/>
    <x v="2"/>
    <x v="0"/>
    <s v="Rendah"/>
    <x v="1"/>
    <s v="sangat rendah"/>
  </r>
  <r>
    <s v="ORD01098"/>
    <x v="261"/>
    <s v="Made Budiman"/>
    <x v="6"/>
    <x v="23"/>
    <n v="45000"/>
    <n v="5"/>
    <n v="5"/>
    <n v="225000"/>
    <n v="11250"/>
    <n v="213750"/>
    <n v="30000"/>
    <n v="243750"/>
    <x v="1"/>
    <x v="2"/>
    <x v="1"/>
    <x v="3"/>
    <x v="1"/>
    <s v="Bagus"/>
    <x v="2"/>
    <s v="normal"/>
  </r>
  <r>
    <s v="ORD00113"/>
    <x v="262"/>
    <s v="Lestari Hidayat"/>
    <x v="12"/>
    <x v="9"/>
    <n v="35000"/>
    <n v="1"/>
    <n v="15"/>
    <n v="35000"/>
    <n v="5250"/>
    <n v="29750"/>
    <n v="74000"/>
    <n v="103750"/>
    <x v="2"/>
    <x v="2"/>
    <x v="0"/>
    <x v="2"/>
    <x v="0"/>
    <s v="Rendah"/>
    <x v="0"/>
    <s v="rendah"/>
  </r>
  <r>
    <s v="ORD00113"/>
    <x v="262"/>
    <s v="Lestari Hidayat"/>
    <x v="12"/>
    <x v="11"/>
    <n v="30000"/>
    <n v="4"/>
    <n v="0"/>
    <n v="120000"/>
    <n v="0"/>
    <n v="120000"/>
    <n v="0"/>
    <n v="120000"/>
    <x v="2"/>
    <x v="2"/>
    <x v="0"/>
    <x v="2"/>
    <x v="0"/>
    <s v="Rendah"/>
    <x v="1"/>
    <s v="sangat rendah"/>
  </r>
  <r>
    <s v="ORD01510"/>
    <x v="263"/>
    <s v="Citra Iskandar"/>
    <x v="17"/>
    <x v="4"/>
    <n v="6000"/>
    <n v="5"/>
    <n v="15"/>
    <n v="30000"/>
    <n v="4500"/>
    <n v="25500"/>
    <n v="50000"/>
    <n v="75500"/>
    <x v="0"/>
    <x v="2"/>
    <x v="3"/>
    <x v="1"/>
    <x v="0"/>
    <s v="Rendah"/>
    <x v="1"/>
    <s v="sangat rendah"/>
  </r>
  <r>
    <s v="ORD00617"/>
    <x v="264"/>
    <s v="Indra Halim"/>
    <x v="2"/>
    <x v="12"/>
    <n v="25000"/>
    <n v="5"/>
    <n v="5"/>
    <n v="125000"/>
    <n v="6250"/>
    <n v="118750"/>
    <n v="26000"/>
    <n v="144750"/>
    <x v="2"/>
    <x v="2"/>
    <x v="4"/>
    <x v="1"/>
    <x v="1"/>
    <s v="Rendah"/>
    <x v="0"/>
    <s v="rendah"/>
  </r>
  <r>
    <s v="ORD00597"/>
    <x v="265"/>
    <s v="Ani Budiman"/>
    <x v="21"/>
    <x v="19"/>
    <n v="35000"/>
    <n v="4"/>
    <n v="10"/>
    <n v="140000"/>
    <n v="14000"/>
    <n v="126000"/>
    <n v="72000"/>
    <n v="198000"/>
    <x v="0"/>
    <x v="2"/>
    <x v="0"/>
    <x v="0"/>
    <x v="0"/>
    <s v="Standar"/>
    <x v="2"/>
    <s v="normal"/>
  </r>
  <r>
    <s v="ORD00506"/>
    <x v="266"/>
    <s v="Clara Ramadhani"/>
    <x v="25"/>
    <x v="14"/>
    <n v="18000"/>
    <n v="2"/>
    <n v="15"/>
    <n v="36000"/>
    <n v="5400"/>
    <n v="30600"/>
    <n v="48000"/>
    <n v="78600"/>
    <x v="1"/>
    <x v="2"/>
    <x v="2"/>
    <x v="4"/>
    <x v="0"/>
    <s v="Bagus"/>
    <x v="0"/>
    <s v="rendah"/>
  </r>
  <r>
    <s v="ORD01745"/>
    <x v="267"/>
    <s v="Aulia Ramadhani"/>
    <x v="35"/>
    <x v="10"/>
    <n v="45000"/>
    <n v="2"/>
    <n v="0"/>
    <n v="90000"/>
    <n v="0"/>
    <n v="90000"/>
    <n v="76000"/>
    <n v="166000"/>
    <x v="0"/>
    <x v="2"/>
    <x v="2"/>
    <x v="3"/>
    <x v="0"/>
    <s v="Bagus"/>
    <x v="1"/>
    <s v="sangat rendah"/>
  </r>
  <r>
    <s v="ORD01162"/>
    <x v="268"/>
    <s v="Galih Iskandar"/>
    <x v="36"/>
    <x v="21"/>
    <n v="10000"/>
    <n v="5"/>
    <n v="20"/>
    <n v="50000"/>
    <n v="10000"/>
    <n v="40000"/>
    <n v="49000"/>
    <n v="89000"/>
    <x v="3"/>
    <x v="2"/>
    <x v="2"/>
    <x v="2"/>
    <x v="1"/>
    <s v="Rendah"/>
    <x v="0"/>
    <s v="rendah"/>
  </r>
  <r>
    <s v="ORD01094"/>
    <x v="269"/>
    <s v="Qori Santoso"/>
    <x v="7"/>
    <x v="17"/>
    <n v="15000"/>
    <n v="4"/>
    <n v="15"/>
    <n v="60000"/>
    <n v="9000"/>
    <n v="51000"/>
    <n v="15000"/>
    <n v="66000"/>
    <x v="2"/>
    <x v="2"/>
    <x v="3"/>
    <x v="0"/>
    <x v="0"/>
    <s v="Standar"/>
    <x v="0"/>
    <s v="rendah"/>
  </r>
  <r>
    <s v="ORD01436"/>
    <x v="270"/>
    <s v="Made Fauziah"/>
    <x v="1"/>
    <x v="11"/>
    <n v="30000"/>
    <n v="2"/>
    <n v="10"/>
    <n v="60000"/>
    <n v="6000"/>
    <n v="54000"/>
    <n v="59000"/>
    <n v="113000"/>
    <x v="2"/>
    <x v="2"/>
    <x v="3"/>
    <x v="0"/>
    <x v="1"/>
    <s v="Standar"/>
    <x v="0"/>
    <s v="rendah"/>
  </r>
  <r>
    <s v="ORD00293"/>
    <x v="271"/>
    <s v="Sari Ananda"/>
    <x v="31"/>
    <x v="9"/>
    <n v="35000"/>
    <n v="3"/>
    <n v="15"/>
    <n v="105000"/>
    <n v="15750"/>
    <n v="89250"/>
    <n v="0"/>
    <n v="89250"/>
    <x v="0"/>
    <x v="2"/>
    <x v="3"/>
    <x v="1"/>
    <x v="0"/>
    <s v="Rendah"/>
    <x v="2"/>
    <s v="normal"/>
  </r>
  <r>
    <s v="ORD00293"/>
    <x v="271"/>
    <s v="Sari Ananda"/>
    <x v="31"/>
    <x v="6"/>
    <n v="55000"/>
    <n v="4"/>
    <n v="15"/>
    <n v="220000"/>
    <n v="33000"/>
    <n v="187000"/>
    <n v="18000"/>
    <n v="205000"/>
    <x v="0"/>
    <x v="2"/>
    <x v="3"/>
    <x v="1"/>
    <x v="0"/>
    <s v="Rendah"/>
    <x v="4"/>
    <s v="tinggi"/>
  </r>
  <r>
    <s v="ORD01837"/>
    <x v="272"/>
    <s v="Hana Wijaya"/>
    <x v="13"/>
    <x v="7"/>
    <n v="12000"/>
    <n v="2"/>
    <n v="10"/>
    <n v="24000"/>
    <n v="2400"/>
    <n v="21600"/>
    <n v="87000"/>
    <n v="108600"/>
    <x v="1"/>
    <x v="3"/>
    <x v="2"/>
    <x v="1"/>
    <x v="0"/>
    <s v="Rendah"/>
    <x v="1"/>
    <s v="sangat rendah"/>
  </r>
  <r>
    <s v="ORD01785"/>
    <x v="273"/>
    <s v="Lestari Santoso"/>
    <x v="31"/>
    <x v="0"/>
    <n v="16000"/>
    <n v="4"/>
    <n v="15"/>
    <n v="64000"/>
    <n v="9600"/>
    <n v="54400"/>
    <n v="18000"/>
    <n v="72400"/>
    <x v="2"/>
    <x v="2"/>
    <x v="2"/>
    <x v="4"/>
    <x v="0"/>
    <s v="Bagus"/>
    <x v="0"/>
    <s v="rendah"/>
  </r>
  <r>
    <s v="ORD00418"/>
    <x v="274"/>
    <s v="Sari Ramadhani"/>
    <x v="14"/>
    <x v="7"/>
    <n v="12000"/>
    <n v="5"/>
    <n v="10"/>
    <n v="60000"/>
    <n v="6000"/>
    <n v="54000"/>
    <n v="46000"/>
    <n v="100000"/>
    <x v="0"/>
    <x v="2"/>
    <x v="2"/>
    <x v="0"/>
    <x v="0"/>
    <s v="Standar"/>
    <x v="0"/>
    <s v="rendah"/>
  </r>
  <r>
    <s v="ORD00722"/>
    <x v="275"/>
    <s v="Wahyu Santoso"/>
    <x v="31"/>
    <x v="16"/>
    <n v="28000"/>
    <n v="4"/>
    <n v="10"/>
    <n v="112000"/>
    <n v="11200"/>
    <n v="100800"/>
    <n v="18000"/>
    <n v="118800"/>
    <x v="2"/>
    <x v="2"/>
    <x v="4"/>
    <x v="1"/>
    <x v="1"/>
    <s v="Rendah"/>
    <x v="2"/>
    <s v="normal"/>
  </r>
  <r>
    <s v="ORD00665"/>
    <x v="276"/>
    <s v="Clara Santoso"/>
    <x v="0"/>
    <x v="14"/>
    <n v="18000"/>
    <n v="2"/>
    <n v="0"/>
    <n v="36000"/>
    <n v="0"/>
    <n v="36000"/>
    <n v="67000"/>
    <n v="103000"/>
    <x v="0"/>
    <x v="2"/>
    <x v="2"/>
    <x v="4"/>
    <x v="0"/>
    <s v="Bagus"/>
    <x v="1"/>
    <s v="sangat rendah"/>
  </r>
  <r>
    <s v="ORD01070"/>
    <x v="277"/>
    <s v="Eka Pradipta"/>
    <x v="4"/>
    <x v="13"/>
    <n v="17000"/>
    <n v="4"/>
    <n v="0"/>
    <n v="68000"/>
    <n v="0"/>
    <n v="68000"/>
    <n v="0"/>
    <n v="68000"/>
    <x v="0"/>
    <x v="4"/>
    <x v="3"/>
    <x v="3"/>
    <x v="0"/>
    <s v="Bagus"/>
    <x v="1"/>
    <s v="sangat rendah"/>
  </r>
  <r>
    <s v="ORD00052"/>
    <x v="278"/>
    <s v="Made Budiman"/>
    <x v="6"/>
    <x v="25"/>
    <n v="40000"/>
    <n v="1"/>
    <n v="5"/>
    <n v="40000"/>
    <n v="2000"/>
    <n v="38000"/>
    <n v="30000"/>
    <n v="68000"/>
    <x v="2"/>
    <x v="4"/>
    <x v="2"/>
    <x v="2"/>
    <x v="1"/>
    <s v="Rendah"/>
    <x v="1"/>
    <s v="sangat rendah"/>
  </r>
  <r>
    <s v="ORD00054"/>
    <x v="279"/>
    <s v="Wahyu Hidayat"/>
    <x v="7"/>
    <x v="14"/>
    <n v="18000"/>
    <n v="5"/>
    <n v="20"/>
    <n v="90000"/>
    <n v="18000"/>
    <n v="72000"/>
    <n v="15000"/>
    <n v="87000"/>
    <x v="2"/>
    <x v="2"/>
    <x v="3"/>
    <x v="1"/>
    <x v="1"/>
    <s v="Rendah"/>
    <x v="2"/>
    <s v="normal"/>
  </r>
  <r>
    <s v="ORD00054"/>
    <x v="279"/>
    <s v="Wahyu Hidayat"/>
    <x v="7"/>
    <x v="9"/>
    <n v="35000"/>
    <n v="5"/>
    <n v="10"/>
    <n v="175000"/>
    <n v="17500"/>
    <n v="157500"/>
    <n v="0"/>
    <n v="157500"/>
    <x v="2"/>
    <x v="2"/>
    <x v="3"/>
    <x v="1"/>
    <x v="1"/>
    <s v="Rendah"/>
    <x v="2"/>
    <s v="normal"/>
  </r>
  <r>
    <s v="ORD01305"/>
    <x v="280"/>
    <s v="Yani Ananda"/>
    <x v="11"/>
    <x v="19"/>
    <n v="35000"/>
    <n v="4"/>
    <n v="10"/>
    <n v="140000"/>
    <n v="14000"/>
    <n v="126000"/>
    <n v="56000"/>
    <n v="182000"/>
    <x v="3"/>
    <x v="2"/>
    <x v="3"/>
    <x v="3"/>
    <x v="0"/>
    <s v="Bagus"/>
    <x v="2"/>
    <s v="normal"/>
  </r>
  <r>
    <s v="ORD00577"/>
    <x v="281"/>
    <s v="Dewi Pradipta"/>
    <x v="20"/>
    <x v="11"/>
    <n v="30000"/>
    <n v="4"/>
    <n v="10"/>
    <n v="120000"/>
    <n v="12000"/>
    <n v="108000"/>
    <n v="85000"/>
    <n v="193000"/>
    <x v="0"/>
    <x v="2"/>
    <x v="0"/>
    <x v="0"/>
    <x v="0"/>
    <s v="Standar"/>
    <x v="2"/>
    <s v="normal"/>
  </r>
  <r>
    <s v="ORD01637"/>
    <x v="282"/>
    <s v="Fitri Budiman"/>
    <x v="3"/>
    <x v="5"/>
    <n v="50000"/>
    <n v="2"/>
    <n v="10"/>
    <n v="100000"/>
    <n v="10000"/>
    <n v="90000"/>
    <n v="18000"/>
    <n v="108000"/>
    <x v="1"/>
    <x v="2"/>
    <x v="2"/>
    <x v="1"/>
    <x v="0"/>
    <s v="Rendah"/>
    <x v="0"/>
    <s v="rendah"/>
  </r>
  <r>
    <s v="ORD00721"/>
    <x v="283"/>
    <s v="Citra Rahmawati"/>
    <x v="16"/>
    <x v="26"/>
    <n v="16000"/>
    <n v="1"/>
    <n v="0"/>
    <n v="16000"/>
    <n v="0"/>
    <n v="16000"/>
    <n v="50000"/>
    <n v="66000"/>
    <x v="1"/>
    <x v="2"/>
    <x v="1"/>
    <x v="1"/>
    <x v="0"/>
    <s v="Rendah"/>
    <x v="1"/>
    <s v="sangat rendah"/>
  </r>
  <r>
    <s v="ORD01860"/>
    <x v="284"/>
    <s v="Dina Rahmawati"/>
    <x v="32"/>
    <x v="0"/>
    <n v="16000"/>
    <n v="4"/>
    <n v="15"/>
    <n v="64000"/>
    <n v="9600"/>
    <n v="54400"/>
    <n v="59000"/>
    <n v="113400"/>
    <x v="0"/>
    <x v="2"/>
    <x v="3"/>
    <x v="3"/>
    <x v="0"/>
    <s v="Bagus"/>
    <x v="0"/>
    <s v="rendah"/>
  </r>
  <r>
    <s v="ORD01093"/>
    <x v="285"/>
    <s v="Joko Halim"/>
    <x v="1"/>
    <x v="6"/>
    <n v="55000"/>
    <n v="5"/>
    <n v="15"/>
    <n v="275000"/>
    <n v="41250"/>
    <n v="233750"/>
    <n v="59000"/>
    <n v="292750"/>
    <x v="2"/>
    <x v="2"/>
    <x v="4"/>
    <x v="1"/>
    <x v="1"/>
    <s v="Rendah"/>
    <x v="3"/>
    <s v="sangat tinggi"/>
  </r>
  <r>
    <s v="ORD01390"/>
    <x v="286"/>
    <s v="Kartika Ananda"/>
    <x v="23"/>
    <x v="15"/>
    <n v="4000"/>
    <n v="2"/>
    <n v="10"/>
    <n v="8000"/>
    <n v="800"/>
    <n v="7200"/>
    <n v="49000"/>
    <n v="56200"/>
    <x v="1"/>
    <x v="2"/>
    <x v="4"/>
    <x v="0"/>
    <x v="0"/>
    <s v="Standar"/>
    <x v="1"/>
    <s v="sangat rendah"/>
  </r>
  <r>
    <s v="ORD00792"/>
    <x v="287"/>
    <s v="Dewi Iskandar"/>
    <x v="27"/>
    <x v="23"/>
    <n v="45000"/>
    <n v="1"/>
    <n v="15"/>
    <n v="45000"/>
    <n v="6750"/>
    <n v="38250"/>
    <n v="18000"/>
    <n v="56250"/>
    <x v="3"/>
    <x v="2"/>
    <x v="2"/>
    <x v="4"/>
    <x v="0"/>
    <s v="Bagus"/>
    <x v="0"/>
    <s v="rendah"/>
  </r>
  <r>
    <s v="ORD00884"/>
    <x v="288"/>
    <s v="Sari Ramadhani"/>
    <x v="14"/>
    <x v="4"/>
    <n v="6000"/>
    <n v="2"/>
    <n v="0"/>
    <n v="12000"/>
    <n v="0"/>
    <n v="12000"/>
    <n v="46000"/>
    <n v="58000"/>
    <x v="2"/>
    <x v="2"/>
    <x v="3"/>
    <x v="4"/>
    <x v="0"/>
    <s v="Bagus"/>
    <x v="1"/>
    <s v="sangat rendah"/>
  </r>
  <r>
    <s v="ORD01381"/>
    <x v="289"/>
    <s v="Tono Syahputra"/>
    <x v="7"/>
    <x v="23"/>
    <n v="45000"/>
    <n v="3"/>
    <n v="10"/>
    <n v="135000"/>
    <n v="13500"/>
    <n v="121500"/>
    <n v="15000"/>
    <n v="136500"/>
    <x v="3"/>
    <x v="2"/>
    <x v="0"/>
    <x v="4"/>
    <x v="1"/>
    <s v="Bagus"/>
    <x v="2"/>
    <s v="normal"/>
  </r>
  <r>
    <s v="ORD01508"/>
    <x v="290"/>
    <s v="Clara Utami"/>
    <x v="31"/>
    <x v="20"/>
    <n v="40000"/>
    <n v="1"/>
    <n v="0"/>
    <n v="40000"/>
    <n v="0"/>
    <n v="40000"/>
    <n v="18000"/>
    <n v="58000"/>
    <x v="2"/>
    <x v="2"/>
    <x v="1"/>
    <x v="4"/>
    <x v="0"/>
    <s v="Bagus"/>
    <x v="1"/>
    <s v="sangat rendah"/>
  </r>
  <r>
    <s v="ORD00776"/>
    <x v="291"/>
    <s v="Dina Budiman"/>
    <x v="32"/>
    <x v="12"/>
    <n v="25000"/>
    <n v="4"/>
    <n v="0"/>
    <n v="100000"/>
    <n v="0"/>
    <n v="100000"/>
    <n v="59000"/>
    <n v="159000"/>
    <x v="1"/>
    <x v="3"/>
    <x v="4"/>
    <x v="2"/>
    <x v="0"/>
    <s v="Rendah"/>
    <x v="1"/>
    <s v="sangat rendah"/>
  </r>
  <r>
    <s v="ORD01642"/>
    <x v="292"/>
    <s v="Qori Ramadhani"/>
    <x v="32"/>
    <x v="19"/>
    <n v="35000"/>
    <n v="1"/>
    <n v="0"/>
    <n v="35000"/>
    <n v="0"/>
    <n v="35000"/>
    <n v="59000"/>
    <n v="94000"/>
    <x v="2"/>
    <x v="2"/>
    <x v="2"/>
    <x v="0"/>
    <x v="0"/>
    <s v="Standar"/>
    <x v="1"/>
    <s v="sangat rendah"/>
  </r>
  <r>
    <s v="ORD00568"/>
    <x v="293"/>
    <s v="Putri Ananda"/>
    <x v="2"/>
    <x v="5"/>
    <n v="50000"/>
    <n v="1"/>
    <n v="0"/>
    <n v="50000"/>
    <n v="0"/>
    <n v="50000"/>
    <n v="26000"/>
    <n v="76000"/>
    <x v="2"/>
    <x v="2"/>
    <x v="0"/>
    <x v="4"/>
    <x v="0"/>
    <s v="Bagus"/>
    <x v="1"/>
    <s v="sangat rendah"/>
  </r>
  <r>
    <s v="ORD00765"/>
    <x v="294"/>
    <s v="Citra Maulana"/>
    <x v="21"/>
    <x v="7"/>
    <n v="12000"/>
    <n v="5"/>
    <n v="10"/>
    <n v="60000"/>
    <n v="6000"/>
    <n v="54000"/>
    <n v="72000"/>
    <n v="126000"/>
    <x v="0"/>
    <x v="4"/>
    <x v="3"/>
    <x v="3"/>
    <x v="0"/>
    <s v="Bagus"/>
    <x v="0"/>
    <s v="rendah"/>
  </r>
  <r>
    <s v="ORD01765"/>
    <x v="295"/>
    <s v="Ani Budiman"/>
    <x v="21"/>
    <x v="14"/>
    <n v="18000"/>
    <n v="2"/>
    <n v="5"/>
    <n v="36000"/>
    <n v="1800"/>
    <n v="34200"/>
    <n v="72000"/>
    <n v="106200"/>
    <x v="0"/>
    <x v="2"/>
    <x v="2"/>
    <x v="2"/>
    <x v="0"/>
    <s v="Rendah"/>
    <x v="1"/>
    <s v="sangat rendah"/>
  </r>
  <r>
    <s v="ORD00067"/>
    <x v="296"/>
    <s v="Nanda Iskandar"/>
    <x v="20"/>
    <x v="0"/>
    <n v="16000"/>
    <n v="5"/>
    <n v="20"/>
    <n v="80000"/>
    <n v="16000"/>
    <n v="64000"/>
    <n v="85000"/>
    <n v="149000"/>
    <x v="3"/>
    <x v="2"/>
    <x v="3"/>
    <x v="0"/>
    <x v="1"/>
    <s v="Standar"/>
    <x v="2"/>
    <s v="normal"/>
  </r>
  <r>
    <s v="ORD00067"/>
    <x v="296"/>
    <s v="Nanda Iskandar"/>
    <x v="20"/>
    <x v="10"/>
    <n v="45000"/>
    <n v="1"/>
    <n v="20"/>
    <n v="45000"/>
    <n v="9000"/>
    <n v="36000"/>
    <n v="0"/>
    <n v="36000"/>
    <x v="3"/>
    <x v="2"/>
    <x v="3"/>
    <x v="0"/>
    <x v="1"/>
    <s v="Standar"/>
    <x v="0"/>
    <s v="rendah"/>
  </r>
  <r>
    <s v="ORD00324"/>
    <x v="297"/>
    <s v="Zahra Budiman"/>
    <x v="36"/>
    <x v="18"/>
    <n v="16000"/>
    <n v="4"/>
    <n v="10"/>
    <n v="64000"/>
    <n v="6400"/>
    <n v="57600"/>
    <n v="49000"/>
    <n v="106600"/>
    <x v="0"/>
    <x v="2"/>
    <x v="1"/>
    <x v="3"/>
    <x v="0"/>
    <s v="Bagus"/>
    <x v="0"/>
    <s v="rendah"/>
  </r>
  <r>
    <s v="ORD01528"/>
    <x v="298"/>
    <s v="Hana Kusuma"/>
    <x v="22"/>
    <x v="25"/>
    <n v="40000"/>
    <n v="4"/>
    <n v="20"/>
    <n v="160000"/>
    <n v="32000"/>
    <n v="128000"/>
    <n v="80000"/>
    <n v="208000"/>
    <x v="0"/>
    <x v="2"/>
    <x v="3"/>
    <x v="3"/>
    <x v="0"/>
    <s v="Bagus"/>
    <x v="4"/>
    <s v="tinggi"/>
  </r>
  <r>
    <s v="ORD01056"/>
    <x v="299"/>
    <s v="Qori Fauziah"/>
    <x v="12"/>
    <x v="4"/>
    <n v="6000"/>
    <n v="4"/>
    <n v="20"/>
    <n v="24000"/>
    <n v="4800"/>
    <n v="19200"/>
    <n v="74000"/>
    <n v="93200"/>
    <x v="1"/>
    <x v="2"/>
    <x v="0"/>
    <x v="3"/>
    <x v="0"/>
    <s v="Bagus"/>
    <x v="1"/>
    <s v="sangat rendah"/>
  </r>
  <r>
    <s v="ORD01284"/>
    <x v="300"/>
    <s v="Galih Budiman"/>
    <x v="15"/>
    <x v="11"/>
    <n v="30000"/>
    <n v="4"/>
    <n v="5"/>
    <n v="120000"/>
    <n v="6000"/>
    <n v="114000"/>
    <n v="17000"/>
    <n v="131000"/>
    <x v="2"/>
    <x v="2"/>
    <x v="0"/>
    <x v="1"/>
    <x v="1"/>
    <s v="Rendah"/>
    <x v="0"/>
    <s v="rendah"/>
  </r>
  <r>
    <s v="ORD00858"/>
    <x v="301"/>
    <s v="Aulia Pradipta"/>
    <x v="5"/>
    <x v="20"/>
    <n v="40000"/>
    <n v="1"/>
    <n v="20"/>
    <n v="40000"/>
    <n v="8000"/>
    <n v="32000"/>
    <n v="78000"/>
    <n v="110000"/>
    <x v="1"/>
    <x v="2"/>
    <x v="0"/>
    <x v="2"/>
    <x v="0"/>
    <s v="Rendah"/>
    <x v="0"/>
    <s v="rendah"/>
  </r>
  <r>
    <s v="ORD01262"/>
    <x v="302"/>
    <s v="Lestari Wijaya"/>
    <x v="4"/>
    <x v="6"/>
    <n v="55000"/>
    <n v="3"/>
    <n v="5"/>
    <n v="165000"/>
    <n v="8250"/>
    <n v="156750"/>
    <n v="0"/>
    <n v="156750"/>
    <x v="3"/>
    <x v="2"/>
    <x v="2"/>
    <x v="3"/>
    <x v="0"/>
    <s v="Bagus"/>
    <x v="0"/>
    <s v="rendah"/>
  </r>
  <r>
    <s v="ORD00103"/>
    <x v="303"/>
    <s v="Gita Budiman"/>
    <x v="33"/>
    <x v="24"/>
    <n v="22000"/>
    <n v="4"/>
    <n v="0"/>
    <n v="88000"/>
    <n v="0"/>
    <n v="88000"/>
    <n v="68000"/>
    <n v="156000"/>
    <x v="2"/>
    <x v="4"/>
    <x v="4"/>
    <x v="4"/>
    <x v="0"/>
    <s v="Bagus"/>
    <x v="1"/>
    <s v="sangat rendah"/>
  </r>
  <r>
    <s v="ORD00485"/>
    <x v="304"/>
    <s v="Gita Utami"/>
    <x v="31"/>
    <x v="1"/>
    <n v="17000"/>
    <n v="5"/>
    <n v="10"/>
    <n v="85000"/>
    <n v="8500"/>
    <n v="76500"/>
    <n v="18000"/>
    <n v="94500"/>
    <x v="1"/>
    <x v="2"/>
    <x v="2"/>
    <x v="1"/>
    <x v="0"/>
    <s v="Rendah"/>
    <x v="0"/>
    <s v="rendah"/>
  </r>
  <r>
    <s v="ORD00033"/>
    <x v="305"/>
    <s v="Arif Maulana"/>
    <x v="30"/>
    <x v="3"/>
    <n v="14000"/>
    <n v="2"/>
    <n v="5"/>
    <n v="28000"/>
    <n v="1400"/>
    <n v="26600"/>
    <n v="97000"/>
    <n v="123600"/>
    <x v="0"/>
    <x v="2"/>
    <x v="4"/>
    <x v="1"/>
    <x v="1"/>
    <s v="Rendah"/>
    <x v="1"/>
    <s v="sangat rendah"/>
  </r>
  <r>
    <s v="ORD00033"/>
    <x v="305"/>
    <s v="Arif Maulana"/>
    <x v="30"/>
    <x v="2"/>
    <n v="5000"/>
    <n v="4"/>
    <n v="0"/>
    <n v="20000"/>
    <n v="0"/>
    <n v="20000"/>
    <n v="0"/>
    <n v="20000"/>
    <x v="0"/>
    <x v="2"/>
    <x v="4"/>
    <x v="1"/>
    <x v="1"/>
    <s v="Rendah"/>
    <x v="1"/>
    <s v="sangat rendah"/>
  </r>
  <r>
    <s v="ORD00429"/>
    <x v="306"/>
    <s v="Ani Budiman"/>
    <x v="21"/>
    <x v="0"/>
    <n v="16000"/>
    <n v="3"/>
    <n v="10"/>
    <n v="48000"/>
    <n v="4800"/>
    <n v="43200"/>
    <n v="72000"/>
    <n v="115200"/>
    <x v="2"/>
    <x v="2"/>
    <x v="3"/>
    <x v="3"/>
    <x v="0"/>
    <s v="Bagus"/>
    <x v="1"/>
    <s v="sangat rendah"/>
  </r>
  <r>
    <s v="ORD00087"/>
    <x v="307"/>
    <s v="Wahyu Santoso"/>
    <x v="31"/>
    <x v="18"/>
    <n v="16000"/>
    <n v="2"/>
    <n v="5"/>
    <n v="32000"/>
    <n v="1600"/>
    <n v="30400"/>
    <n v="18000"/>
    <n v="48400"/>
    <x v="3"/>
    <x v="2"/>
    <x v="2"/>
    <x v="1"/>
    <x v="1"/>
    <s v="Rendah"/>
    <x v="1"/>
    <s v="sangat rendah"/>
  </r>
  <r>
    <s v="ORD00087"/>
    <x v="307"/>
    <s v="Wahyu Santoso"/>
    <x v="31"/>
    <x v="22"/>
    <n v="18000"/>
    <n v="4"/>
    <n v="10"/>
    <n v="72000"/>
    <n v="7200"/>
    <n v="64800"/>
    <n v="0"/>
    <n v="64800"/>
    <x v="3"/>
    <x v="2"/>
    <x v="2"/>
    <x v="1"/>
    <x v="1"/>
    <s v="Rendah"/>
    <x v="0"/>
    <s v="rendah"/>
  </r>
  <r>
    <s v="ORD01344"/>
    <x v="308"/>
    <s v="Erna Budiman"/>
    <x v="13"/>
    <x v="12"/>
    <n v="25000"/>
    <n v="3"/>
    <n v="5"/>
    <n v="75000"/>
    <n v="3750"/>
    <n v="71250"/>
    <n v="87000"/>
    <n v="158250"/>
    <x v="0"/>
    <x v="2"/>
    <x v="2"/>
    <x v="0"/>
    <x v="0"/>
    <s v="Standar"/>
    <x v="1"/>
    <s v="sangat rendah"/>
  </r>
  <r>
    <s v="ORD01250"/>
    <x v="309"/>
    <s v="Arif Santoso"/>
    <x v="3"/>
    <x v="7"/>
    <n v="12000"/>
    <n v="4"/>
    <n v="5"/>
    <n v="48000"/>
    <n v="2400"/>
    <n v="45600"/>
    <n v="18000"/>
    <n v="63600"/>
    <x v="0"/>
    <x v="2"/>
    <x v="4"/>
    <x v="2"/>
    <x v="1"/>
    <s v="Rendah"/>
    <x v="1"/>
    <s v="sangat rendah"/>
  </r>
  <r>
    <s v="ORD01368"/>
    <x v="310"/>
    <s v="Bella Maulana"/>
    <x v="23"/>
    <x v="3"/>
    <n v="14000"/>
    <n v="5"/>
    <n v="15"/>
    <n v="70000"/>
    <n v="10500"/>
    <n v="59500"/>
    <n v="49000"/>
    <n v="108500"/>
    <x v="1"/>
    <x v="4"/>
    <x v="2"/>
    <x v="3"/>
    <x v="0"/>
    <s v="Bagus"/>
    <x v="2"/>
    <s v="normal"/>
  </r>
  <r>
    <s v="ORD00914"/>
    <x v="311"/>
    <s v="Putri Puspita"/>
    <x v="1"/>
    <x v="5"/>
    <n v="50000"/>
    <n v="5"/>
    <n v="20"/>
    <n v="250000"/>
    <n v="50000"/>
    <n v="200000"/>
    <n v="59000"/>
    <n v="259000"/>
    <x v="1"/>
    <x v="2"/>
    <x v="3"/>
    <x v="3"/>
    <x v="0"/>
    <s v="Bagus"/>
    <x v="3"/>
    <s v="sangat tinggi"/>
  </r>
  <r>
    <s v="ORD00703"/>
    <x v="312"/>
    <s v="Lestari Fauziah"/>
    <x v="19"/>
    <x v="13"/>
    <n v="17000"/>
    <n v="3"/>
    <n v="20"/>
    <n v="51000"/>
    <n v="10200"/>
    <n v="40800"/>
    <n v="55000"/>
    <n v="95800"/>
    <x v="0"/>
    <x v="2"/>
    <x v="3"/>
    <x v="1"/>
    <x v="0"/>
    <s v="Rendah"/>
    <x v="2"/>
    <s v="normal"/>
  </r>
  <r>
    <s v="ORD00416"/>
    <x v="313"/>
    <s v="Gita Halim"/>
    <x v="27"/>
    <x v="3"/>
    <n v="14000"/>
    <n v="5"/>
    <n v="0"/>
    <n v="70000"/>
    <n v="0"/>
    <n v="70000"/>
    <n v="18000"/>
    <n v="88000"/>
    <x v="3"/>
    <x v="2"/>
    <x v="4"/>
    <x v="0"/>
    <x v="0"/>
    <s v="Standar"/>
    <x v="1"/>
    <s v="sangat rendah"/>
  </r>
  <r>
    <s v="ORD00416"/>
    <x v="313"/>
    <s v="Gita Halim"/>
    <x v="27"/>
    <x v="26"/>
    <n v="16000"/>
    <n v="2"/>
    <n v="5"/>
    <n v="32000"/>
    <n v="1600"/>
    <n v="30400"/>
    <n v="0"/>
    <n v="30400"/>
    <x v="3"/>
    <x v="2"/>
    <x v="4"/>
    <x v="0"/>
    <x v="0"/>
    <s v="Standar"/>
    <x v="1"/>
    <s v="sangat rendah"/>
  </r>
  <r>
    <s v="ORD00064"/>
    <x v="314"/>
    <s v="Indra Setiawan"/>
    <x v="11"/>
    <x v="7"/>
    <n v="12000"/>
    <n v="1"/>
    <n v="15"/>
    <n v="12000"/>
    <n v="1800"/>
    <n v="10200"/>
    <n v="56000"/>
    <n v="66200"/>
    <x v="2"/>
    <x v="2"/>
    <x v="1"/>
    <x v="0"/>
    <x v="1"/>
    <s v="Standar"/>
    <x v="1"/>
    <s v="sangat rendah"/>
  </r>
  <r>
    <s v="ORD01467"/>
    <x v="315"/>
    <s v="Andi Wijaya"/>
    <x v="9"/>
    <x v="15"/>
    <n v="4000"/>
    <n v="1"/>
    <n v="0"/>
    <n v="4000"/>
    <n v="0"/>
    <n v="4000"/>
    <n v="21000"/>
    <n v="25000"/>
    <x v="2"/>
    <x v="2"/>
    <x v="1"/>
    <x v="0"/>
    <x v="1"/>
    <s v="Standar"/>
    <x v="1"/>
    <s v="sangat rendah"/>
  </r>
  <r>
    <s v="ORD00476"/>
    <x v="316"/>
    <s v="Yani Budiman"/>
    <x v="16"/>
    <x v="4"/>
    <n v="6000"/>
    <n v="2"/>
    <n v="15"/>
    <n v="12000"/>
    <n v="1800"/>
    <n v="10200"/>
    <n v="50000"/>
    <n v="60200"/>
    <x v="0"/>
    <x v="2"/>
    <x v="0"/>
    <x v="1"/>
    <x v="0"/>
    <s v="Rendah"/>
    <x v="1"/>
    <s v="sangat rendah"/>
  </r>
  <r>
    <s v="ORD00476"/>
    <x v="316"/>
    <s v="Yani Budiman"/>
    <x v="16"/>
    <x v="5"/>
    <n v="50000"/>
    <n v="5"/>
    <n v="10"/>
    <n v="250000"/>
    <n v="25000"/>
    <n v="225000"/>
    <n v="0"/>
    <n v="225000"/>
    <x v="0"/>
    <x v="2"/>
    <x v="0"/>
    <x v="1"/>
    <x v="0"/>
    <s v="Rendah"/>
    <x v="4"/>
    <s v="tinggi"/>
  </r>
  <r>
    <s v="ORD01856"/>
    <x v="317"/>
    <s v="Kartika Santoso"/>
    <x v="8"/>
    <x v="18"/>
    <n v="16000"/>
    <n v="5"/>
    <n v="20"/>
    <n v="80000"/>
    <n v="16000"/>
    <n v="64000"/>
    <n v="87000"/>
    <n v="151000"/>
    <x v="3"/>
    <x v="2"/>
    <x v="4"/>
    <x v="0"/>
    <x v="0"/>
    <s v="Standar"/>
    <x v="2"/>
    <s v="normal"/>
  </r>
  <r>
    <s v="ORD00986"/>
    <x v="318"/>
    <s v="Clara Halim"/>
    <x v="13"/>
    <x v="12"/>
    <n v="25000"/>
    <n v="3"/>
    <n v="10"/>
    <n v="75000"/>
    <n v="7500"/>
    <n v="67500"/>
    <n v="87000"/>
    <n v="154500"/>
    <x v="3"/>
    <x v="3"/>
    <x v="2"/>
    <x v="1"/>
    <x v="0"/>
    <s v="Rendah"/>
    <x v="0"/>
    <s v="rendah"/>
  </r>
  <r>
    <s v="ORD01007"/>
    <x v="319"/>
    <s v="Yani Kusuma"/>
    <x v="1"/>
    <x v="4"/>
    <n v="6000"/>
    <n v="2"/>
    <n v="0"/>
    <n v="12000"/>
    <n v="0"/>
    <n v="12000"/>
    <n v="59000"/>
    <n v="71000"/>
    <x v="1"/>
    <x v="2"/>
    <x v="3"/>
    <x v="1"/>
    <x v="0"/>
    <s v="Rendah"/>
    <x v="1"/>
    <s v="sangat rendah"/>
  </r>
  <r>
    <s v="ORD01367"/>
    <x v="320"/>
    <s v="Nanda Setiawan"/>
    <x v="13"/>
    <x v="5"/>
    <n v="50000"/>
    <n v="3"/>
    <n v="20"/>
    <n v="150000"/>
    <n v="30000"/>
    <n v="120000"/>
    <n v="87000"/>
    <n v="207000"/>
    <x v="3"/>
    <x v="2"/>
    <x v="4"/>
    <x v="3"/>
    <x v="1"/>
    <s v="Bagus"/>
    <x v="4"/>
    <s v="tinggi"/>
  </r>
  <r>
    <s v="ORD00018"/>
    <x v="321"/>
    <s v="Tono Puspita"/>
    <x v="5"/>
    <x v="14"/>
    <n v="18000"/>
    <n v="5"/>
    <n v="20"/>
    <n v="90000"/>
    <n v="18000"/>
    <n v="72000"/>
    <n v="78000"/>
    <n v="150000"/>
    <x v="0"/>
    <x v="2"/>
    <x v="3"/>
    <x v="3"/>
    <x v="1"/>
    <s v="Bagus"/>
    <x v="2"/>
    <s v="normal"/>
  </r>
  <r>
    <s v="ORD00282"/>
    <x v="322"/>
    <s v="Eka Ramadhani"/>
    <x v="13"/>
    <x v="1"/>
    <n v="17000"/>
    <n v="3"/>
    <n v="15"/>
    <n v="51000"/>
    <n v="7650"/>
    <n v="43350"/>
    <n v="87000"/>
    <n v="130350"/>
    <x v="2"/>
    <x v="2"/>
    <x v="4"/>
    <x v="1"/>
    <x v="0"/>
    <s v="Rendah"/>
    <x v="0"/>
    <s v="rendah"/>
  </r>
  <r>
    <s v="ORD00604"/>
    <x v="323"/>
    <s v="Lestari Fauziah"/>
    <x v="19"/>
    <x v="8"/>
    <n v="14000"/>
    <n v="1"/>
    <n v="15"/>
    <n v="14000"/>
    <n v="2100"/>
    <n v="11900"/>
    <n v="55000"/>
    <n v="66900"/>
    <x v="3"/>
    <x v="2"/>
    <x v="1"/>
    <x v="0"/>
    <x v="0"/>
    <s v="Standar"/>
    <x v="1"/>
    <s v="sangat rendah"/>
  </r>
  <r>
    <s v="ORD01724"/>
    <x v="324"/>
    <s v="Sari Kurniawan"/>
    <x v="28"/>
    <x v="21"/>
    <n v="10000"/>
    <n v="1"/>
    <n v="0"/>
    <n v="10000"/>
    <n v="0"/>
    <n v="10000"/>
    <n v="79000"/>
    <n v="89000"/>
    <x v="0"/>
    <x v="2"/>
    <x v="0"/>
    <x v="2"/>
    <x v="0"/>
    <s v="Rendah"/>
    <x v="1"/>
    <s v="sangat rendah"/>
  </r>
  <r>
    <s v="ORD00263"/>
    <x v="325"/>
    <s v="Citra Utami"/>
    <x v="25"/>
    <x v="4"/>
    <n v="6000"/>
    <n v="1"/>
    <n v="20"/>
    <n v="6000"/>
    <n v="1200"/>
    <n v="4800"/>
    <n v="48000"/>
    <n v="52800"/>
    <x v="2"/>
    <x v="4"/>
    <x v="4"/>
    <x v="2"/>
    <x v="0"/>
    <s v="Rendah"/>
    <x v="1"/>
    <s v="sangat rendah"/>
  </r>
  <r>
    <s v="ORD00263"/>
    <x v="325"/>
    <s v="Citra Utami"/>
    <x v="25"/>
    <x v="25"/>
    <n v="40000"/>
    <n v="4"/>
    <n v="15"/>
    <n v="160000"/>
    <n v="24000"/>
    <n v="136000"/>
    <n v="0"/>
    <n v="136000"/>
    <x v="2"/>
    <x v="4"/>
    <x v="4"/>
    <x v="2"/>
    <x v="0"/>
    <s v="Rendah"/>
    <x v="4"/>
    <s v="tinggi"/>
  </r>
  <r>
    <s v="ORD00654"/>
    <x v="326"/>
    <s v="Fajar Puspita"/>
    <x v="22"/>
    <x v="17"/>
    <n v="15000"/>
    <n v="5"/>
    <n v="10"/>
    <n v="75000"/>
    <n v="7500"/>
    <n v="67500"/>
    <n v="80000"/>
    <n v="147500"/>
    <x v="0"/>
    <x v="2"/>
    <x v="1"/>
    <x v="0"/>
    <x v="1"/>
    <s v="Standar"/>
    <x v="0"/>
    <s v="rendah"/>
  </r>
  <r>
    <s v="ORD00786"/>
    <x v="327"/>
    <s v="Erna Budiman"/>
    <x v="13"/>
    <x v="9"/>
    <n v="35000"/>
    <n v="4"/>
    <n v="0"/>
    <n v="140000"/>
    <n v="0"/>
    <n v="140000"/>
    <n v="87000"/>
    <n v="227000"/>
    <x v="1"/>
    <x v="3"/>
    <x v="0"/>
    <x v="3"/>
    <x v="0"/>
    <s v="Bagus"/>
    <x v="1"/>
    <s v="sangat rendah"/>
  </r>
  <r>
    <s v="ORD00270"/>
    <x v="328"/>
    <s v="Zahra Saputra"/>
    <x v="15"/>
    <x v="13"/>
    <n v="17000"/>
    <n v="3"/>
    <n v="0"/>
    <n v="51000"/>
    <n v="0"/>
    <n v="51000"/>
    <n v="17000"/>
    <n v="68000"/>
    <x v="2"/>
    <x v="2"/>
    <x v="1"/>
    <x v="4"/>
    <x v="0"/>
    <s v="Bagus"/>
    <x v="1"/>
    <s v="sangat rendah"/>
  </r>
  <r>
    <s v="ORD00047"/>
    <x v="329"/>
    <s v="Joko Maulana"/>
    <x v="36"/>
    <x v="21"/>
    <n v="10000"/>
    <n v="5"/>
    <n v="0"/>
    <n v="50000"/>
    <n v="0"/>
    <n v="50000"/>
    <n v="49000"/>
    <n v="99000"/>
    <x v="2"/>
    <x v="2"/>
    <x v="1"/>
    <x v="2"/>
    <x v="1"/>
    <s v="Rendah"/>
    <x v="1"/>
    <s v="sangat rendah"/>
  </r>
  <r>
    <s v="ORD01117"/>
    <x v="330"/>
    <s v="Hana Saputra"/>
    <x v="21"/>
    <x v="4"/>
    <n v="6000"/>
    <n v="2"/>
    <n v="0"/>
    <n v="12000"/>
    <n v="0"/>
    <n v="12000"/>
    <n v="72000"/>
    <n v="84000"/>
    <x v="1"/>
    <x v="2"/>
    <x v="3"/>
    <x v="0"/>
    <x v="0"/>
    <s v="Standar"/>
    <x v="1"/>
    <s v="sangat rendah"/>
  </r>
  <r>
    <s v="ORD00481"/>
    <x v="331"/>
    <s v="Citra Iskandar"/>
    <x v="17"/>
    <x v="2"/>
    <n v="5000"/>
    <n v="1"/>
    <n v="10"/>
    <n v="5000"/>
    <n v="500"/>
    <n v="4500"/>
    <n v="50000"/>
    <n v="54500"/>
    <x v="1"/>
    <x v="4"/>
    <x v="0"/>
    <x v="0"/>
    <x v="0"/>
    <s v="Standar"/>
    <x v="1"/>
    <s v="sangat rendah"/>
  </r>
  <r>
    <s v="ORD01736"/>
    <x v="332"/>
    <s v="Zahra Budiman"/>
    <x v="36"/>
    <x v="17"/>
    <n v="15000"/>
    <n v="2"/>
    <n v="20"/>
    <n v="30000"/>
    <n v="6000"/>
    <n v="24000"/>
    <n v="49000"/>
    <n v="73000"/>
    <x v="1"/>
    <x v="2"/>
    <x v="3"/>
    <x v="4"/>
    <x v="0"/>
    <s v="Bagus"/>
    <x v="0"/>
    <s v="rendah"/>
  </r>
  <r>
    <s v="ORD01329"/>
    <x v="333"/>
    <s v="Aulia Syahputra"/>
    <x v="28"/>
    <x v="17"/>
    <n v="15000"/>
    <n v="2"/>
    <n v="5"/>
    <n v="30000"/>
    <n v="1500"/>
    <n v="28500"/>
    <n v="79000"/>
    <n v="107500"/>
    <x v="0"/>
    <x v="2"/>
    <x v="2"/>
    <x v="4"/>
    <x v="0"/>
    <s v="Bagus"/>
    <x v="1"/>
    <s v="sangat rendah"/>
  </r>
  <r>
    <s v="ORD00963"/>
    <x v="334"/>
    <s v="Oka Kurniawan"/>
    <x v="13"/>
    <x v="14"/>
    <n v="18000"/>
    <n v="5"/>
    <n v="5"/>
    <n v="90000"/>
    <n v="4500"/>
    <n v="85500"/>
    <n v="87000"/>
    <n v="172500"/>
    <x v="2"/>
    <x v="2"/>
    <x v="0"/>
    <x v="4"/>
    <x v="1"/>
    <s v="Bagus"/>
    <x v="1"/>
    <s v="sangat rendah"/>
  </r>
  <r>
    <s v="ORD01096"/>
    <x v="335"/>
    <s v="Yoga Utami"/>
    <x v="19"/>
    <x v="13"/>
    <n v="17000"/>
    <n v="3"/>
    <n v="5"/>
    <n v="51000"/>
    <n v="2550"/>
    <n v="48450"/>
    <n v="55000"/>
    <n v="103450"/>
    <x v="1"/>
    <x v="2"/>
    <x v="2"/>
    <x v="2"/>
    <x v="1"/>
    <s v="Rendah"/>
    <x v="1"/>
    <s v="sangat rendah"/>
  </r>
  <r>
    <s v="ORD00298"/>
    <x v="336"/>
    <s v="Citra Iskandar"/>
    <x v="17"/>
    <x v="15"/>
    <n v="4000"/>
    <n v="1"/>
    <n v="20"/>
    <n v="4000"/>
    <n v="800"/>
    <n v="3200"/>
    <n v="50000"/>
    <n v="53200"/>
    <x v="3"/>
    <x v="2"/>
    <x v="3"/>
    <x v="0"/>
    <x v="0"/>
    <s v="Standar"/>
    <x v="1"/>
    <s v="sangat rendah"/>
  </r>
  <r>
    <s v="ORD00284"/>
    <x v="337"/>
    <s v="Putri Wijaya"/>
    <x v="6"/>
    <x v="5"/>
    <n v="50000"/>
    <n v="5"/>
    <n v="10"/>
    <n v="250000"/>
    <n v="25000"/>
    <n v="225000"/>
    <n v="30000"/>
    <n v="255000"/>
    <x v="0"/>
    <x v="4"/>
    <x v="1"/>
    <x v="4"/>
    <x v="0"/>
    <s v="Bagus"/>
    <x v="4"/>
    <s v="tinggi"/>
  </r>
  <r>
    <s v="ORD01597"/>
    <x v="338"/>
    <s v="Qori Syahputra"/>
    <x v="6"/>
    <x v="15"/>
    <n v="4000"/>
    <n v="3"/>
    <n v="5"/>
    <n v="12000"/>
    <n v="600"/>
    <n v="11400"/>
    <n v="30000"/>
    <n v="41400"/>
    <x v="0"/>
    <x v="2"/>
    <x v="3"/>
    <x v="4"/>
    <x v="0"/>
    <s v="Bagus"/>
    <x v="1"/>
    <s v="sangat rendah"/>
  </r>
  <r>
    <s v="ORD00201"/>
    <x v="339"/>
    <s v="Qori Wijaya"/>
    <x v="18"/>
    <x v="16"/>
    <n v="28000"/>
    <n v="2"/>
    <n v="15"/>
    <n v="56000"/>
    <n v="8400"/>
    <n v="47600"/>
    <n v="43000"/>
    <n v="90600"/>
    <x v="3"/>
    <x v="2"/>
    <x v="4"/>
    <x v="4"/>
    <x v="0"/>
    <s v="Bagus"/>
    <x v="0"/>
    <s v="rendah"/>
  </r>
  <r>
    <s v="ORD01612"/>
    <x v="340"/>
    <s v="Iwan Maulana"/>
    <x v="20"/>
    <x v="10"/>
    <n v="45000"/>
    <n v="5"/>
    <n v="5"/>
    <n v="225000"/>
    <n v="11250"/>
    <n v="213750"/>
    <n v="85000"/>
    <n v="298750"/>
    <x v="3"/>
    <x v="2"/>
    <x v="2"/>
    <x v="0"/>
    <x v="1"/>
    <s v="Standar"/>
    <x v="2"/>
    <s v="normal"/>
  </r>
  <r>
    <s v="ORD00279"/>
    <x v="341"/>
    <s v="Clara Kusuma"/>
    <x v="30"/>
    <x v="14"/>
    <n v="18000"/>
    <n v="5"/>
    <n v="5"/>
    <n v="90000"/>
    <n v="4500"/>
    <n v="85500"/>
    <n v="97000"/>
    <n v="182500"/>
    <x v="3"/>
    <x v="2"/>
    <x v="3"/>
    <x v="1"/>
    <x v="0"/>
    <s v="Rendah"/>
    <x v="1"/>
    <s v="sangat rendah"/>
  </r>
  <r>
    <s v="ORD01628"/>
    <x v="342"/>
    <s v="Yoga Utami"/>
    <x v="19"/>
    <x v="25"/>
    <n v="40000"/>
    <n v="3"/>
    <n v="10"/>
    <n v="120000"/>
    <n v="12000"/>
    <n v="108000"/>
    <n v="55000"/>
    <n v="163000"/>
    <x v="1"/>
    <x v="2"/>
    <x v="4"/>
    <x v="1"/>
    <x v="1"/>
    <s v="Rendah"/>
    <x v="2"/>
    <s v="normal"/>
  </r>
  <r>
    <s v="ORD01092"/>
    <x v="343"/>
    <s v="Indra Puspita"/>
    <x v="36"/>
    <x v="15"/>
    <n v="4000"/>
    <n v="3"/>
    <n v="15"/>
    <n v="12000"/>
    <n v="1800"/>
    <n v="10200"/>
    <n v="49000"/>
    <n v="59200"/>
    <x v="3"/>
    <x v="2"/>
    <x v="2"/>
    <x v="2"/>
    <x v="1"/>
    <s v="Rendah"/>
    <x v="1"/>
    <s v="sangat rendah"/>
  </r>
  <r>
    <s v="ORD01399"/>
    <x v="344"/>
    <s v="Clara Kusuma"/>
    <x v="30"/>
    <x v="25"/>
    <n v="40000"/>
    <n v="5"/>
    <n v="5"/>
    <n v="200000"/>
    <n v="10000"/>
    <n v="190000"/>
    <n v="97000"/>
    <n v="287000"/>
    <x v="2"/>
    <x v="2"/>
    <x v="1"/>
    <x v="4"/>
    <x v="0"/>
    <s v="Bagus"/>
    <x v="0"/>
    <s v="rendah"/>
  </r>
  <r>
    <s v="ORD01676"/>
    <x v="345"/>
    <s v="Erna Wijaya"/>
    <x v="26"/>
    <x v="17"/>
    <n v="15000"/>
    <n v="4"/>
    <n v="5"/>
    <n v="60000"/>
    <n v="3000"/>
    <n v="57000"/>
    <n v="28000"/>
    <n v="85000"/>
    <x v="1"/>
    <x v="2"/>
    <x v="3"/>
    <x v="1"/>
    <x v="0"/>
    <s v="Rendah"/>
    <x v="1"/>
    <s v="sangat rendah"/>
  </r>
  <r>
    <s v="ORD01863"/>
    <x v="346"/>
    <s v="Erna Setiawan"/>
    <x v="22"/>
    <x v="11"/>
    <n v="30000"/>
    <n v="2"/>
    <n v="15"/>
    <n v="60000"/>
    <n v="9000"/>
    <n v="51000"/>
    <n v="80000"/>
    <n v="131000"/>
    <x v="2"/>
    <x v="2"/>
    <x v="3"/>
    <x v="3"/>
    <x v="0"/>
    <s v="Bagus"/>
    <x v="0"/>
    <s v="rendah"/>
  </r>
  <r>
    <s v="ORD01136"/>
    <x v="347"/>
    <s v="Dewi Wijaya"/>
    <x v="6"/>
    <x v="22"/>
    <n v="18000"/>
    <n v="4"/>
    <n v="15"/>
    <n v="72000"/>
    <n v="10800"/>
    <n v="61200"/>
    <n v="30000"/>
    <n v="91200"/>
    <x v="1"/>
    <x v="2"/>
    <x v="0"/>
    <x v="3"/>
    <x v="0"/>
    <s v="Bagus"/>
    <x v="2"/>
    <s v="normal"/>
  </r>
  <r>
    <s v="ORD00203"/>
    <x v="348"/>
    <s v="Erna Maulana"/>
    <x v="13"/>
    <x v="18"/>
    <n v="16000"/>
    <n v="3"/>
    <n v="5"/>
    <n v="48000"/>
    <n v="2400"/>
    <n v="45600"/>
    <n v="87000"/>
    <n v="132600"/>
    <x v="0"/>
    <x v="2"/>
    <x v="1"/>
    <x v="2"/>
    <x v="0"/>
    <s v="Rendah"/>
    <x v="1"/>
    <s v="sangat rendah"/>
  </r>
  <r>
    <s v="ORD00547"/>
    <x v="349"/>
    <s v="Arif Maulana"/>
    <x v="30"/>
    <x v="14"/>
    <n v="18000"/>
    <n v="4"/>
    <n v="5"/>
    <n v="72000"/>
    <n v="3600"/>
    <n v="68400"/>
    <n v="97000"/>
    <n v="165400"/>
    <x v="3"/>
    <x v="4"/>
    <x v="1"/>
    <x v="1"/>
    <x v="1"/>
    <s v="Rendah"/>
    <x v="1"/>
    <s v="sangat rendah"/>
  </r>
  <r>
    <s v="ORD00268"/>
    <x v="350"/>
    <s v="Kartika Ananda"/>
    <x v="23"/>
    <x v="19"/>
    <n v="35000"/>
    <n v="2"/>
    <n v="10"/>
    <n v="70000"/>
    <n v="7000"/>
    <n v="63000"/>
    <n v="49000"/>
    <n v="112000"/>
    <x v="1"/>
    <x v="2"/>
    <x v="4"/>
    <x v="1"/>
    <x v="0"/>
    <s v="Rendah"/>
    <x v="0"/>
    <s v="rendah"/>
  </r>
  <r>
    <s v="ORD00268"/>
    <x v="350"/>
    <s v="Kartika Ananda"/>
    <x v="23"/>
    <x v="24"/>
    <n v="22000"/>
    <n v="1"/>
    <n v="15"/>
    <n v="22000"/>
    <n v="3300"/>
    <n v="18700"/>
    <n v="0"/>
    <n v="18700"/>
    <x v="1"/>
    <x v="2"/>
    <x v="4"/>
    <x v="1"/>
    <x v="0"/>
    <s v="Rendah"/>
    <x v="1"/>
    <s v="sangat rendah"/>
  </r>
  <r>
    <s v="ORD01257"/>
    <x v="351"/>
    <s v="Sari Puspita"/>
    <x v="30"/>
    <x v="1"/>
    <n v="17000"/>
    <n v="4"/>
    <n v="20"/>
    <n v="68000"/>
    <n v="13600"/>
    <n v="54400"/>
    <n v="97000"/>
    <n v="151400"/>
    <x v="3"/>
    <x v="2"/>
    <x v="0"/>
    <x v="2"/>
    <x v="0"/>
    <s v="Rendah"/>
    <x v="2"/>
    <s v="normal"/>
  </r>
  <r>
    <s v="ORD00205"/>
    <x v="352"/>
    <s v="Dewi Kurniawan"/>
    <x v="35"/>
    <x v="17"/>
    <n v="15000"/>
    <n v="1"/>
    <n v="10"/>
    <n v="15000"/>
    <n v="1500"/>
    <n v="13500"/>
    <n v="76000"/>
    <n v="89500"/>
    <x v="2"/>
    <x v="4"/>
    <x v="2"/>
    <x v="3"/>
    <x v="0"/>
    <s v="Bagus"/>
    <x v="1"/>
    <s v="sangat rendah"/>
  </r>
  <r>
    <s v="ORD00340"/>
    <x v="353"/>
    <s v="Sari Pradipta"/>
    <x v="27"/>
    <x v="18"/>
    <n v="16000"/>
    <n v="1"/>
    <n v="15"/>
    <n v="16000"/>
    <n v="2400"/>
    <n v="13600"/>
    <n v="18000"/>
    <n v="31600"/>
    <x v="0"/>
    <x v="2"/>
    <x v="2"/>
    <x v="1"/>
    <x v="0"/>
    <s v="Rendah"/>
    <x v="1"/>
    <s v="sangat rendah"/>
  </r>
  <r>
    <s v="ORD01694"/>
    <x v="354"/>
    <s v="Qori Utami"/>
    <x v="37"/>
    <x v="26"/>
    <n v="16000"/>
    <n v="3"/>
    <n v="5"/>
    <n v="48000"/>
    <n v="2400"/>
    <n v="45600"/>
    <n v="57000"/>
    <n v="102600"/>
    <x v="2"/>
    <x v="2"/>
    <x v="2"/>
    <x v="3"/>
    <x v="0"/>
    <s v="Bagus"/>
    <x v="1"/>
    <s v="sangat rendah"/>
  </r>
  <r>
    <s v="ORD01564"/>
    <x v="355"/>
    <s v="Gita Halim"/>
    <x v="27"/>
    <x v="2"/>
    <n v="5000"/>
    <n v="4"/>
    <n v="0"/>
    <n v="20000"/>
    <n v="0"/>
    <n v="20000"/>
    <n v="18000"/>
    <n v="38000"/>
    <x v="3"/>
    <x v="2"/>
    <x v="1"/>
    <x v="2"/>
    <x v="0"/>
    <s v="Rendah"/>
    <x v="1"/>
    <s v="sangat rendah"/>
  </r>
  <r>
    <s v="ORD00010"/>
    <x v="356"/>
    <s v="Budi Hidayat"/>
    <x v="7"/>
    <x v="6"/>
    <n v="55000"/>
    <n v="5"/>
    <n v="10"/>
    <n v="275000"/>
    <n v="27500"/>
    <n v="247500"/>
    <n v="15000"/>
    <n v="262500"/>
    <x v="1"/>
    <x v="2"/>
    <x v="2"/>
    <x v="1"/>
    <x v="1"/>
    <s v="Rendah"/>
    <x v="4"/>
    <s v="tinggi"/>
  </r>
  <r>
    <s v="ORD00321"/>
    <x v="357"/>
    <s v="Dewi Kusuma"/>
    <x v="12"/>
    <x v="4"/>
    <n v="6000"/>
    <n v="2"/>
    <n v="10"/>
    <n v="12000"/>
    <n v="1200"/>
    <n v="10800"/>
    <n v="74000"/>
    <n v="84800"/>
    <x v="3"/>
    <x v="4"/>
    <x v="4"/>
    <x v="3"/>
    <x v="0"/>
    <s v="Bagus"/>
    <x v="1"/>
    <s v="sangat rendah"/>
  </r>
  <r>
    <s v="ORD01143"/>
    <x v="358"/>
    <s v="Kartika Saputra"/>
    <x v="0"/>
    <x v="24"/>
    <n v="22000"/>
    <n v="2"/>
    <n v="5"/>
    <n v="44000"/>
    <n v="2200"/>
    <n v="41800"/>
    <n v="67000"/>
    <n v="108800"/>
    <x v="0"/>
    <x v="2"/>
    <x v="4"/>
    <x v="0"/>
    <x v="0"/>
    <s v="Standar"/>
    <x v="1"/>
    <s v="sangat rendah"/>
  </r>
  <r>
    <s v="ORD00550"/>
    <x v="359"/>
    <s v="Lestari Puspita"/>
    <x v="5"/>
    <x v="11"/>
    <n v="30000"/>
    <n v="4"/>
    <n v="0"/>
    <n v="120000"/>
    <n v="0"/>
    <n v="120000"/>
    <n v="78000"/>
    <n v="198000"/>
    <x v="0"/>
    <x v="2"/>
    <x v="4"/>
    <x v="0"/>
    <x v="0"/>
    <s v="Standar"/>
    <x v="1"/>
    <s v="sangat rendah"/>
  </r>
  <r>
    <s v="ORD00089"/>
    <x v="360"/>
    <s v="Fajar Fauziah"/>
    <x v="33"/>
    <x v="10"/>
    <n v="45000"/>
    <n v="3"/>
    <n v="10"/>
    <n v="135000"/>
    <n v="13500"/>
    <n v="121500"/>
    <n v="68000"/>
    <n v="189500"/>
    <x v="3"/>
    <x v="2"/>
    <x v="3"/>
    <x v="1"/>
    <x v="1"/>
    <s v="Rendah"/>
    <x v="2"/>
    <s v="normal"/>
  </r>
  <r>
    <s v="ORD01253"/>
    <x v="361"/>
    <s v="Ani Maulana"/>
    <x v="29"/>
    <x v="4"/>
    <n v="6000"/>
    <n v="2"/>
    <n v="0"/>
    <n v="12000"/>
    <n v="0"/>
    <n v="12000"/>
    <n v="89000"/>
    <n v="101000"/>
    <x v="0"/>
    <x v="2"/>
    <x v="0"/>
    <x v="0"/>
    <x v="0"/>
    <s v="Standar"/>
    <x v="1"/>
    <s v="sangat rendah"/>
  </r>
  <r>
    <s v="ORD01019"/>
    <x v="362"/>
    <s v="Hana Santoso"/>
    <x v="7"/>
    <x v="17"/>
    <n v="15000"/>
    <n v="5"/>
    <n v="5"/>
    <n v="75000"/>
    <n v="3750"/>
    <n v="71250"/>
    <n v="15000"/>
    <n v="86250"/>
    <x v="1"/>
    <x v="2"/>
    <x v="0"/>
    <x v="3"/>
    <x v="0"/>
    <s v="Bagus"/>
    <x v="1"/>
    <s v="sangat rendah"/>
  </r>
  <r>
    <s v="ORD00424"/>
    <x v="363"/>
    <s v="Erna Santoso"/>
    <x v="18"/>
    <x v="4"/>
    <n v="6000"/>
    <n v="4"/>
    <n v="0"/>
    <n v="24000"/>
    <n v="0"/>
    <n v="24000"/>
    <n v="43000"/>
    <n v="67000"/>
    <x v="1"/>
    <x v="2"/>
    <x v="2"/>
    <x v="3"/>
    <x v="0"/>
    <s v="Bagus"/>
    <x v="1"/>
    <s v="sangat rendah"/>
  </r>
  <r>
    <s v="ORD01825"/>
    <x v="364"/>
    <s v="Sari Kurniawan"/>
    <x v="28"/>
    <x v="15"/>
    <n v="4000"/>
    <n v="5"/>
    <n v="15"/>
    <n v="20000"/>
    <n v="3000"/>
    <n v="17000"/>
    <n v="79000"/>
    <n v="96000"/>
    <x v="2"/>
    <x v="2"/>
    <x v="3"/>
    <x v="1"/>
    <x v="0"/>
    <s v="Rendah"/>
    <x v="1"/>
    <s v="sangat rendah"/>
  </r>
  <r>
    <s v="ORD00587"/>
    <x v="365"/>
    <s v="Gita Halim"/>
    <x v="27"/>
    <x v="21"/>
    <n v="10000"/>
    <n v="1"/>
    <n v="5"/>
    <n v="10000"/>
    <n v="500"/>
    <n v="9500"/>
    <n v="18000"/>
    <n v="27500"/>
    <x v="2"/>
    <x v="2"/>
    <x v="1"/>
    <x v="0"/>
    <x v="0"/>
    <s v="Standar"/>
    <x v="1"/>
    <s v="sangat rendah"/>
  </r>
  <r>
    <s v="ORD00370"/>
    <x v="366"/>
    <s v="Eka Kusuma"/>
    <x v="20"/>
    <x v="26"/>
    <n v="16000"/>
    <n v="5"/>
    <n v="5"/>
    <n v="80000"/>
    <n v="4000"/>
    <n v="76000"/>
    <n v="85000"/>
    <n v="161000"/>
    <x v="2"/>
    <x v="4"/>
    <x v="2"/>
    <x v="4"/>
    <x v="0"/>
    <s v="Bagus"/>
    <x v="1"/>
    <s v="sangat rendah"/>
  </r>
  <r>
    <s v="ORD01129"/>
    <x v="367"/>
    <s v="Wahyu Fauziah"/>
    <x v="28"/>
    <x v="11"/>
    <n v="30000"/>
    <n v="2"/>
    <n v="15"/>
    <n v="60000"/>
    <n v="9000"/>
    <n v="51000"/>
    <n v="79000"/>
    <n v="130000"/>
    <x v="2"/>
    <x v="4"/>
    <x v="2"/>
    <x v="3"/>
    <x v="1"/>
    <s v="Bagus"/>
    <x v="0"/>
    <s v="rendah"/>
  </r>
  <r>
    <s v="ORD01365"/>
    <x v="368"/>
    <s v="Clara Ramadhani"/>
    <x v="25"/>
    <x v="11"/>
    <n v="30000"/>
    <n v="4"/>
    <n v="0"/>
    <n v="120000"/>
    <n v="0"/>
    <n v="120000"/>
    <n v="48000"/>
    <n v="168000"/>
    <x v="1"/>
    <x v="2"/>
    <x v="3"/>
    <x v="0"/>
    <x v="0"/>
    <s v="Standar"/>
    <x v="1"/>
    <s v="sangat rendah"/>
  </r>
  <r>
    <s v="ORD01615"/>
    <x v="369"/>
    <s v="Dewi Santoso"/>
    <x v="14"/>
    <x v="4"/>
    <n v="6000"/>
    <n v="4"/>
    <n v="15"/>
    <n v="24000"/>
    <n v="3600"/>
    <n v="20400"/>
    <n v="46000"/>
    <n v="66400"/>
    <x v="2"/>
    <x v="2"/>
    <x v="4"/>
    <x v="3"/>
    <x v="0"/>
    <s v="Bagus"/>
    <x v="1"/>
    <s v="sangat rendah"/>
  </r>
  <r>
    <s v="ORD01031"/>
    <x v="370"/>
    <s v="Dina Setiawan"/>
    <x v="14"/>
    <x v="6"/>
    <n v="55000"/>
    <n v="4"/>
    <n v="15"/>
    <n v="220000"/>
    <n v="33000"/>
    <n v="187000"/>
    <n v="46000"/>
    <n v="233000"/>
    <x v="3"/>
    <x v="2"/>
    <x v="3"/>
    <x v="4"/>
    <x v="0"/>
    <s v="Bagus"/>
    <x v="4"/>
    <s v="tinggi"/>
  </r>
  <r>
    <s v="ORD01631"/>
    <x v="371"/>
    <s v="Ani Utami"/>
    <x v="19"/>
    <x v="10"/>
    <n v="45000"/>
    <n v="3"/>
    <n v="5"/>
    <n v="135000"/>
    <n v="6750"/>
    <n v="128250"/>
    <n v="55000"/>
    <n v="183250"/>
    <x v="1"/>
    <x v="4"/>
    <x v="1"/>
    <x v="0"/>
    <x v="0"/>
    <s v="Standar"/>
    <x v="0"/>
    <s v="rendah"/>
  </r>
  <r>
    <s v="ORD01836"/>
    <x v="372"/>
    <s v="Dewi Fauziah"/>
    <x v="18"/>
    <x v="4"/>
    <n v="6000"/>
    <n v="4"/>
    <n v="20"/>
    <n v="24000"/>
    <n v="4800"/>
    <n v="19200"/>
    <n v="43000"/>
    <n v="62200"/>
    <x v="0"/>
    <x v="2"/>
    <x v="2"/>
    <x v="0"/>
    <x v="0"/>
    <s v="Standar"/>
    <x v="1"/>
    <s v="sangat rendah"/>
  </r>
  <r>
    <s v="ORD00978"/>
    <x v="373"/>
    <s v="Sari Halim"/>
    <x v="19"/>
    <x v="3"/>
    <n v="14000"/>
    <n v="3"/>
    <n v="15"/>
    <n v="42000"/>
    <n v="6300"/>
    <n v="35700"/>
    <n v="55000"/>
    <n v="90700"/>
    <x v="3"/>
    <x v="2"/>
    <x v="4"/>
    <x v="2"/>
    <x v="0"/>
    <s v="Rendah"/>
    <x v="0"/>
    <s v="rendah"/>
  </r>
  <r>
    <s v="ORD00312"/>
    <x v="374"/>
    <s v="Zahra Hidayat"/>
    <x v="29"/>
    <x v="23"/>
    <n v="45000"/>
    <n v="4"/>
    <n v="5"/>
    <n v="180000"/>
    <n v="9000"/>
    <n v="171000"/>
    <n v="89000"/>
    <n v="260000"/>
    <x v="3"/>
    <x v="4"/>
    <x v="3"/>
    <x v="3"/>
    <x v="0"/>
    <s v="Bagus"/>
    <x v="0"/>
    <s v="rendah"/>
  </r>
  <r>
    <s v="ORD00312"/>
    <x v="374"/>
    <s v="Zahra Hidayat"/>
    <x v="29"/>
    <x v="5"/>
    <n v="50000"/>
    <n v="3"/>
    <n v="15"/>
    <n v="150000"/>
    <n v="22500"/>
    <n v="127500"/>
    <n v="0"/>
    <n v="127500"/>
    <x v="3"/>
    <x v="4"/>
    <x v="3"/>
    <x v="3"/>
    <x v="0"/>
    <s v="Bagus"/>
    <x v="4"/>
    <s v="tinggi"/>
  </r>
  <r>
    <s v="ORD01624"/>
    <x v="375"/>
    <s v="Vina Budiman"/>
    <x v="18"/>
    <x v="5"/>
    <n v="50000"/>
    <n v="4"/>
    <n v="15"/>
    <n v="200000"/>
    <n v="30000"/>
    <n v="170000"/>
    <n v="43000"/>
    <n v="213000"/>
    <x v="0"/>
    <x v="4"/>
    <x v="2"/>
    <x v="2"/>
    <x v="0"/>
    <s v="Rendah"/>
    <x v="4"/>
    <s v="tinggi"/>
  </r>
  <r>
    <s v="ORD01787"/>
    <x v="376"/>
    <s v="Hendra Syahputra"/>
    <x v="7"/>
    <x v="16"/>
    <n v="28000"/>
    <n v="3"/>
    <n v="0"/>
    <n v="84000"/>
    <n v="0"/>
    <n v="84000"/>
    <n v="15000"/>
    <n v="99000"/>
    <x v="1"/>
    <x v="2"/>
    <x v="3"/>
    <x v="4"/>
    <x v="1"/>
    <s v="Bagus"/>
    <x v="1"/>
    <s v="sangat rendah"/>
  </r>
  <r>
    <s v="ORD01222"/>
    <x v="377"/>
    <s v="Clara Utami"/>
    <x v="31"/>
    <x v="19"/>
    <n v="35000"/>
    <n v="1"/>
    <n v="0"/>
    <n v="35000"/>
    <n v="0"/>
    <n v="35000"/>
    <n v="18000"/>
    <n v="53000"/>
    <x v="3"/>
    <x v="4"/>
    <x v="3"/>
    <x v="2"/>
    <x v="0"/>
    <s v="Rendah"/>
    <x v="1"/>
    <s v="sangat rendah"/>
  </r>
  <r>
    <s v="ORD01216"/>
    <x v="378"/>
    <s v="Erna Kurniawan"/>
    <x v="2"/>
    <x v="25"/>
    <n v="40000"/>
    <n v="2"/>
    <n v="15"/>
    <n v="80000"/>
    <n v="12000"/>
    <n v="68000"/>
    <n v="26000"/>
    <n v="94000"/>
    <x v="0"/>
    <x v="2"/>
    <x v="0"/>
    <x v="3"/>
    <x v="0"/>
    <s v="Bagus"/>
    <x v="2"/>
    <s v="normal"/>
  </r>
  <r>
    <s v="ORD00448"/>
    <x v="379"/>
    <s v="Fitri Budiman"/>
    <x v="3"/>
    <x v="26"/>
    <n v="16000"/>
    <n v="3"/>
    <n v="20"/>
    <n v="48000"/>
    <n v="9600"/>
    <n v="38400"/>
    <n v="18000"/>
    <n v="56400"/>
    <x v="1"/>
    <x v="2"/>
    <x v="4"/>
    <x v="4"/>
    <x v="0"/>
    <s v="Bagus"/>
    <x v="0"/>
    <s v="rendah"/>
  </r>
  <r>
    <s v="ORD00448"/>
    <x v="379"/>
    <s v="Fitri Budiman"/>
    <x v="3"/>
    <x v="14"/>
    <n v="18000"/>
    <n v="5"/>
    <n v="10"/>
    <n v="90000"/>
    <n v="9000"/>
    <n v="81000"/>
    <n v="0"/>
    <n v="81000"/>
    <x v="1"/>
    <x v="2"/>
    <x v="4"/>
    <x v="4"/>
    <x v="0"/>
    <s v="Bagus"/>
    <x v="0"/>
    <s v="rendah"/>
  </r>
  <r>
    <s v="ORD01261"/>
    <x v="380"/>
    <s v="Yani Saputra"/>
    <x v="6"/>
    <x v="23"/>
    <n v="45000"/>
    <n v="1"/>
    <n v="15"/>
    <n v="45000"/>
    <n v="6750"/>
    <n v="38250"/>
    <n v="30000"/>
    <n v="68250"/>
    <x v="0"/>
    <x v="2"/>
    <x v="4"/>
    <x v="0"/>
    <x v="0"/>
    <s v="Standar"/>
    <x v="0"/>
    <s v="rendah"/>
  </r>
  <r>
    <s v="ORD01012"/>
    <x v="381"/>
    <s v="Ani Fauziah"/>
    <x v="30"/>
    <x v="16"/>
    <n v="28000"/>
    <n v="5"/>
    <n v="15"/>
    <n v="140000"/>
    <n v="21000"/>
    <n v="119000"/>
    <n v="97000"/>
    <n v="216000"/>
    <x v="3"/>
    <x v="2"/>
    <x v="0"/>
    <x v="1"/>
    <x v="0"/>
    <s v="Rendah"/>
    <x v="4"/>
    <s v="tinggi"/>
  </r>
  <r>
    <s v="ORD01035"/>
    <x v="382"/>
    <s v="Zahra Maulana"/>
    <x v="7"/>
    <x v="20"/>
    <n v="40000"/>
    <n v="1"/>
    <n v="0"/>
    <n v="40000"/>
    <n v="0"/>
    <n v="40000"/>
    <n v="15000"/>
    <n v="55000"/>
    <x v="2"/>
    <x v="2"/>
    <x v="2"/>
    <x v="2"/>
    <x v="0"/>
    <s v="Rendah"/>
    <x v="1"/>
    <s v="sangat rendah"/>
  </r>
  <r>
    <s v="ORD00516"/>
    <x v="383"/>
    <s v="Clara Hidayat"/>
    <x v="14"/>
    <x v="4"/>
    <n v="6000"/>
    <n v="1"/>
    <n v="15"/>
    <n v="6000"/>
    <n v="900"/>
    <n v="5100"/>
    <n v="46000"/>
    <n v="51100"/>
    <x v="1"/>
    <x v="2"/>
    <x v="0"/>
    <x v="4"/>
    <x v="0"/>
    <s v="Bagus"/>
    <x v="1"/>
    <s v="sangat rendah"/>
  </r>
  <r>
    <s v="ORD00469"/>
    <x v="384"/>
    <s v="Erna Utami"/>
    <x v="8"/>
    <x v="20"/>
    <n v="40000"/>
    <n v="5"/>
    <n v="15"/>
    <n v="200000"/>
    <n v="30000"/>
    <n v="170000"/>
    <n v="87000"/>
    <n v="257000"/>
    <x v="1"/>
    <x v="4"/>
    <x v="2"/>
    <x v="3"/>
    <x v="0"/>
    <s v="Bagus"/>
    <x v="4"/>
    <s v="tinggi"/>
  </r>
  <r>
    <s v="ORD01645"/>
    <x v="385"/>
    <s v="Andi Iskandar"/>
    <x v="8"/>
    <x v="26"/>
    <n v="16000"/>
    <n v="2"/>
    <n v="0"/>
    <n v="32000"/>
    <n v="0"/>
    <n v="32000"/>
    <n v="87000"/>
    <n v="119000"/>
    <x v="1"/>
    <x v="4"/>
    <x v="2"/>
    <x v="3"/>
    <x v="1"/>
    <s v="Bagus"/>
    <x v="1"/>
    <s v="sangat rendah"/>
  </r>
  <r>
    <s v="ORD00308"/>
    <x v="386"/>
    <s v="Vina Hidayat"/>
    <x v="29"/>
    <x v="24"/>
    <n v="22000"/>
    <n v="5"/>
    <n v="0"/>
    <n v="110000"/>
    <n v="0"/>
    <n v="110000"/>
    <n v="89000"/>
    <n v="199000"/>
    <x v="1"/>
    <x v="4"/>
    <x v="0"/>
    <x v="1"/>
    <x v="0"/>
    <s v="Rendah"/>
    <x v="1"/>
    <s v="sangat rendah"/>
  </r>
  <r>
    <s v="ORD01061"/>
    <x v="387"/>
    <s v="Vina Kurniawan"/>
    <x v="5"/>
    <x v="6"/>
    <n v="55000"/>
    <n v="2"/>
    <n v="0"/>
    <n v="110000"/>
    <n v="0"/>
    <n v="110000"/>
    <n v="78000"/>
    <n v="188000"/>
    <x v="3"/>
    <x v="2"/>
    <x v="0"/>
    <x v="2"/>
    <x v="0"/>
    <s v="Rendah"/>
    <x v="1"/>
    <s v="sangat rendah"/>
  </r>
  <r>
    <s v="ORD00126"/>
    <x v="388"/>
    <s v="Clara Puspita"/>
    <x v="28"/>
    <x v="21"/>
    <n v="10000"/>
    <n v="3"/>
    <n v="0"/>
    <n v="30000"/>
    <n v="0"/>
    <n v="30000"/>
    <n v="79000"/>
    <n v="109000"/>
    <x v="0"/>
    <x v="2"/>
    <x v="1"/>
    <x v="2"/>
    <x v="0"/>
    <s v="Rendah"/>
    <x v="1"/>
    <s v="sangat rendah"/>
  </r>
  <r>
    <s v="ORD00134"/>
    <x v="389"/>
    <s v="Lestari Kusuma"/>
    <x v="17"/>
    <x v="3"/>
    <n v="14000"/>
    <n v="2"/>
    <n v="10"/>
    <n v="28000"/>
    <n v="2800"/>
    <n v="25200"/>
    <n v="50000"/>
    <n v="75200"/>
    <x v="1"/>
    <x v="2"/>
    <x v="0"/>
    <x v="4"/>
    <x v="0"/>
    <s v="Bagus"/>
    <x v="1"/>
    <s v="sangat rendah"/>
  </r>
  <r>
    <s v="ORD00118"/>
    <x v="390"/>
    <s v="Erna Hidayat"/>
    <x v="26"/>
    <x v="8"/>
    <n v="14000"/>
    <n v="2"/>
    <n v="15"/>
    <n v="28000"/>
    <n v="4200"/>
    <n v="23800"/>
    <n v="28000"/>
    <n v="51800"/>
    <x v="0"/>
    <x v="2"/>
    <x v="1"/>
    <x v="4"/>
    <x v="0"/>
    <s v="Bagus"/>
    <x v="1"/>
    <s v="sangat rendah"/>
  </r>
  <r>
    <s v="ORD00621"/>
    <x v="391"/>
    <s v="Citra Hidayat"/>
    <x v="32"/>
    <x v="26"/>
    <n v="16000"/>
    <n v="3"/>
    <n v="0"/>
    <n v="48000"/>
    <n v="0"/>
    <n v="48000"/>
    <n v="59000"/>
    <n v="107000"/>
    <x v="2"/>
    <x v="2"/>
    <x v="4"/>
    <x v="3"/>
    <x v="0"/>
    <s v="Bagus"/>
    <x v="1"/>
    <s v="sangat rendah"/>
  </r>
  <r>
    <s v="ORD01013"/>
    <x v="392"/>
    <s v="Joko Nugroho"/>
    <x v="26"/>
    <x v="24"/>
    <n v="22000"/>
    <n v="3"/>
    <n v="15"/>
    <n v="66000"/>
    <n v="9900"/>
    <n v="56100"/>
    <n v="28000"/>
    <n v="84100"/>
    <x v="0"/>
    <x v="2"/>
    <x v="0"/>
    <x v="4"/>
    <x v="1"/>
    <s v="Bagus"/>
    <x v="0"/>
    <s v="rendah"/>
  </r>
  <r>
    <s v="ORD00344"/>
    <x v="393"/>
    <s v="Dina Ananda"/>
    <x v="35"/>
    <x v="13"/>
    <n v="17000"/>
    <n v="5"/>
    <n v="20"/>
    <n v="85000"/>
    <n v="17000"/>
    <n v="68000"/>
    <n v="76000"/>
    <n v="144000"/>
    <x v="1"/>
    <x v="4"/>
    <x v="2"/>
    <x v="1"/>
    <x v="0"/>
    <s v="Rendah"/>
    <x v="2"/>
    <s v="normal"/>
  </r>
  <r>
    <s v="ORD01103"/>
    <x v="394"/>
    <s v="Erna Santoso"/>
    <x v="18"/>
    <x v="17"/>
    <n v="15000"/>
    <n v="3"/>
    <n v="15"/>
    <n v="45000"/>
    <n v="6750"/>
    <n v="38250"/>
    <n v="43000"/>
    <n v="81250"/>
    <x v="2"/>
    <x v="4"/>
    <x v="1"/>
    <x v="2"/>
    <x v="0"/>
    <s v="Rendah"/>
    <x v="0"/>
    <s v="rendah"/>
  </r>
  <r>
    <s v="ORD00736"/>
    <x v="395"/>
    <s v="Nanda Utami"/>
    <x v="24"/>
    <x v="12"/>
    <n v="25000"/>
    <n v="4"/>
    <n v="0"/>
    <n v="100000"/>
    <n v="0"/>
    <n v="100000"/>
    <n v="93000"/>
    <n v="193000"/>
    <x v="0"/>
    <x v="2"/>
    <x v="1"/>
    <x v="1"/>
    <x v="1"/>
    <s v="Rendah"/>
    <x v="1"/>
    <s v="sangat rendah"/>
  </r>
  <r>
    <s v="ORD00472"/>
    <x v="396"/>
    <s v="Erna Hidayat"/>
    <x v="26"/>
    <x v="3"/>
    <n v="14000"/>
    <n v="4"/>
    <n v="5"/>
    <n v="56000"/>
    <n v="2800"/>
    <n v="53200"/>
    <n v="28000"/>
    <n v="81200"/>
    <x v="0"/>
    <x v="2"/>
    <x v="2"/>
    <x v="4"/>
    <x v="0"/>
    <s v="Bagus"/>
    <x v="1"/>
    <s v="sangat rendah"/>
  </r>
  <r>
    <s v="ORD01366"/>
    <x v="397"/>
    <s v="Dewi Halim"/>
    <x v="25"/>
    <x v="3"/>
    <n v="14000"/>
    <n v="3"/>
    <n v="0"/>
    <n v="42000"/>
    <n v="0"/>
    <n v="42000"/>
    <n v="48000"/>
    <n v="90000"/>
    <x v="0"/>
    <x v="2"/>
    <x v="2"/>
    <x v="2"/>
    <x v="0"/>
    <s v="Rendah"/>
    <x v="1"/>
    <s v="sangat rendah"/>
  </r>
  <r>
    <s v="ORD00923"/>
    <x v="398"/>
    <s v="Yani Hidayat"/>
    <x v="34"/>
    <x v="14"/>
    <n v="18000"/>
    <n v="1"/>
    <n v="20"/>
    <n v="18000"/>
    <n v="3600"/>
    <n v="14400"/>
    <n v="80000"/>
    <n v="94400"/>
    <x v="2"/>
    <x v="2"/>
    <x v="1"/>
    <x v="2"/>
    <x v="0"/>
    <s v="Rendah"/>
    <x v="1"/>
    <s v="sangat rendah"/>
  </r>
  <r>
    <s v="ORD00041"/>
    <x v="399"/>
    <s v="Wahyu Santoso"/>
    <x v="31"/>
    <x v="21"/>
    <n v="10000"/>
    <n v="4"/>
    <n v="5"/>
    <n v="40000"/>
    <n v="2000"/>
    <n v="38000"/>
    <n v="18000"/>
    <n v="56000"/>
    <x v="1"/>
    <x v="2"/>
    <x v="2"/>
    <x v="3"/>
    <x v="1"/>
    <s v="Bagus"/>
    <x v="1"/>
    <s v="sangat rendah"/>
  </r>
  <r>
    <s v="ORD00041"/>
    <x v="399"/>
    <s v="Wahyu Santoso"/>
    <x v="31"/>
    <x v="12"/>
    <n v="25000"/>
    <n v="5"/>
    <n v="0"/>
    <n v="125000"/>
    <n v="0"/>
    <n v="125000"/>
    <n v="0"/>
    <n v="125000"/>
    <x v="1"/>
    <x v="2"/>
    <x v="2"/>
    <x v="3"/>
    <x v="1"/>
    <s v="Bagus"/>
    <x v="1"/>
    <s v="sangat rendah"/>
  </r>
  <r>
    <s v="ORD01648"/>
    <x v="400"/>
    <s v="Putri Hidayat"/>
    <x v="33"/>
    <x v="2"/>
    <n v="5000"/>
    <n v="4"/>
    <n v="20"/>
    <n v="20000"/>
    <n v="4000"/>
    <n v="16000"/>
    <n v="68000"/>
    <n v="84000"/>
    <x v="3"/>
    <x v="2"/>
    <x v="0"/>
    <x v="2"/>
    <x v="0"/>
    <s v="Rendah"/>
    <x v="1"/>
    <s v="sangat rendah"/>
  </r>
  <r>
    <s v="ORD01228"/>
    <x v="401"/>
    <s v="Aulia Budiman"/>
    <x v="30"/>
    <x v="9"/>
    <n v="35000"/>
    <n v="1"/>
    <n v="5"/>
    <n v="35000"/>
    <n v="1750"/>
    <n v="33250"/>
    <n v="97000"/>
    <n v="130250"/>
    <x v="1"/>
    <x v="4"/>
    <x v="2"/>
    <x v="3"/>
    <x v="0"/>
    <s v="Bagus"/>
    <x v="1"/>
    <s v="sangat rendah"/>
  </r>
  <r>
    <s v="ORD00446"/>
    <x v="402"/>
    <s v="Yani Hidayat"/>
    <x v="34"/>
    <x v="4"/>
    <n v="6000"/>
    <n v="3"/>
    <n v="10"/>
    <n v="18000"/>
    <n v="1800"/>
    <n v="16200"/>
    <n v="80000"/>
    <n v="96200"/>
    <x v="2"/>
    <x v="2"/>
    <x v="1"/>
    <x v="4"/>
    <x v="0"/>
    <s v="Bagus"/>
    <x v="1"/>
    <s v="sangat rendah"/>
  </r>
  <r>
    <s v="ORD01786"/>
    <x v="403"/>
    <s v="Qori Utami"/>
    <x v="37"/>
    <x v="19"/>
    <n v="35000"/>
    <n v="3"/>
    <n v="0"/>
    <n v="105000"/>
    <n v="0"/>
    <n v="105000"/>
    <n v="57000"/>
    <n v="162000"/>
    <x v="0"/>
    <x v="2"/>
    <x v="0"/>
    <x v="1"/>
    <x v="0"/>
    <s v="Rendah"/>
    <x v="1"/>
    <s v="sangat rendah"/>
  </r>
  <r>
    <s v="ORD00387"/>
    <x v="404"/>
    <s v="Vina Kurniawan"/>
    <x v="5"/>
    <x v="13"/>
    <n v="17000"/>
    <n v="3"/>
    <n v="15"/>
    <n v="51000"/>
    <n v="7650"/>
    <n v="43350"/>
    <n v="78000"/>
    <n v="121350"/>
    <x v="1"/>
    <x v="2"/>
    <x v="3"/>
    <x v="1"/>
    <x v="0"/>
    <s v="Rendah"/>
    <x v="0"/>
    <s v="rendah"/>
  </r>
  <r>
    <s v="ORD01315"/>
    <x v="405"/>
    <s v="Vina Kurniawan"/>
    <x v="5"/>
    <x v="23"/>
    <n v="45000"/>
    <n v="3"/>
    <n v="5"/>
    <n v="135000"/>
    <n v="6750"/>
    <n v="128250"/>
    <n v="78000"/>
    <n v="206250"/>
    <x v="1"/>
    <x v="2"/>
    <x v="2"/>
    <x v="2"/>
    <x v="0"/>
    <s v="Rendah"/>
    <x v="0"/>
    <s v="rendah"/>
  </r>
  <r>
    <s v="ORD01360"/>
    <x v="406"/>
    <s v="Made Setiawan"/>
    <x v="22"/>
    <x v="18"/>
    <n v="16000"/>
    <n v="5"/>
    <n v="10"/>
    <n v="80000"/>
    <n v="8000"/>
    <n v="72000"/>
    <n v="80000"/>
    <n v="152000"/>
    <x v="1"/>
    <x v="4"/>
    <x v="3"/>
    <x v="4"/>
    <x v="1"/>
    <s v="Bagus"/>
    <x v="0"/>
    <s v="rendah"/>
  </r>
  <r>
    <s v="ORD01809"/>
    <x v="407"/>
    <s v="Rizky Ananda"/>
    <x v="8"/>
    <x v="6"/>
    <n v="55000"/>
    <n v="2"/>
    <n v="10"/>
    <n v="110000"/>
    <n v="11000"/>
    <n v="99000"/>
    <n v="87000"/>
    <n v="186000"/>
    <x v="1"/>
    <x v="2"/>
    <x v="0"/>
    <x v="1"/>
    <x v="1"/>
    <s v="Rendah"/>
    <x v="2"/>
    <s v="normal"/>
  </r>
  <r>
    <s v="ORD01684"/>
    <x v="408"/>
    <s v="Hana Nugroho"/>
    <x v="12"/>
    <x v="16"/>
    <n v="28000"/>
    <n v="2"/>
    <n v="20"/>
    <n v="56000"/>
    <n v="11200"/>
    <n v="44800"/>
    <n v="74000"/>
    <n v="118800"/>
    <x v="3"/>
    <x v="4"/>
    <x v="4"/>
    <x v="3"/>
    <x v="0"/>
    <s v="Bagus"/>
    <x v="2"/>
    <s v="normal"/>
  </r>
  <r>
    <s v="ORD00164"/>
    <x v="409"/>
    <s v="Vina Budiman"/>
    <x v="18"/>
    <x v="13"/>
    <n v="17000"/>
    <n v="1"/>
    <n v="15"/>
    <n v="17000"/>
    <n v="2550"/>
    <n v="14450"/>
    <n v="43000"/>
    <n v="57450"/>
    <x v="3"/>
    <x v="2"/>
    <x v="0"/>
    <x v="3"/>
    <x v="0"/>
    <s v="Bagus"/>
    <x v="1"/>
    <s v="sangat rendah"/>
  </r>
  <r>
    <s v="ORD00164"/>
    <x v="409"/>
    <s v="Vina Budiman"/>
    <x v="18"/>
    <x v="14"/>
    <n v="18000"/>
    <n v="3"/>
    <n v="10"/>
    <n v="54000"/>
    <n v="5400"/>
    <n v="48600"/>
    <n v="0"/>
    <n v="48600"/>
    <x v="3"/>
    <x v="2"/>
    <x v="0"/>
    <x v="3"/>
    <x v="0"/>
    <s v="Bagus"/>
    <x v="0"/>
    <s v="rendah"/>
  </r>
  <r>
    <s v="ORD01297"/>
    <x v="410"/>
    <s v="Citra Ananda"/>
    <x v="3"/>
    <x v="7"/>
    <n v="12000"/>
    <n v="3"/>
    <n v="20"/>
    <n v="36000"/>
    <n v="7200"/>
    <n v="28800"/>
    <n v="18000"/>
    <n v="46800"/>
    <x v="3"/>
    <x v="2"/>
    <x v="3"/>
    <x v="4"/>
    <x v="0"/>
    <s v="Bagus"/>
    <x v="0"/>
    <s v="rendah"/>
  </r>
  <r>
    <s v="ORD01533"/>
    <x v="411"/>
    <s v="Ani Maulana"/>
    <x v="29"/>
    <x v="14"/>
    <n v="18000"/>
    <n v="2"/>
    <n v="5"/>
    <n v="36000"/>
    <n v="1800"/>
    <n v="34200"/>
    <n v="89000"/>
    <n v="123200"/>
    <x v="3"/>
    <x v="2"/>
    <x v="2"/>
    <x v="3"/>
    <x v="0"/>
    <s v="Bagus"/>
    <x v="1"/>
    <s v="sangat rendah"/>
  </r>
  <r>
    <s v="ORD00962"/>
    <x v="412"/>
    <s v="Zahra Pradipta"/>
    <x v="29"/>
    <x v="1"/>
    <n v="17000"/>
    <n v="3"/>
    <n v="10"/>
    <n v="51000"/>
    <n v="5100"/>
    <n v="45900"/>
    <n v="89000"/>
    <n v="134900"/>
    <x v="0"/>
    <x v="3"/>
    <x v="3"/>
    <x v="2"/>
    <x v="0"/>
    <s v="Rendah"/>
    <x v="0"/>
    <s v="rendah"/>
  </r>
  <r>
    <s v="ORD01845"/>
    <x v="413"/>
    <s v="Aulia Iskandar"/>
    <x v="12"/>
    <x v="7"/>
    <n v="12000"/>
    <n v="2"/>
    <n v="15"/>
    <n v="24000"/>
    <n v="3600"/>
    <n v="20400"/>
    <n v="74000"/>
    <n v="94400"/>
    <x v="1"/>
    <x v="4"/>
    <x v="0"/>
    <x v="3"/>
    <x v="0"/>
    <s v="Bagus"/>
    <x v="1"/>
    <s v="sangat rendah"/>
  </r>
  <r>
    <s v="ORD00301"/>
    <x v="414"/>
    <s v="Eka Pradipta"/>
    <x v="4"/>
    <x v="22"/>
    <n v="18000"/>
    <n v="2"/>
    <n v="10"/>
    <n v="36000"/>
    <n v="3600"/>
    <n v="32400"/>
    <n v="0"/>
    <n v="32400"/>
    <x v="3"/>
    <x v="2"/>
    <x v="0"/>
    <x v="1"/>
    <x v="0"/>
    <s v="Rendah"/>
    <x v="1"/>
    <s v="sangat rendah"/>
  </r>
  <r>
    <s v="ORD00301"/>
    <x v="414"/>
    <s v="Eka Pradipta"/>
    <x v="4"/>
    <x v="0"/>
    <n v="16000"/>
    <n v="1"/>
    <n v="10"/>
    <n v="16000"/>
    <n v="1600"/>
    <n v="14400"/>
    <n v="0"/>
    <n v="14400"/>
    <x v="3"/>
    <x v="2"/>
    <x v="0"/>
    <x v="1"/>
    <x v="0"/>
    <s v="Rendah"/>
    <x v="1"/>
    <s v="sangat rendah"/>
  </r>
  <r>
    <s v="ORD01470"/>
    <x v="415"/>
    <s v="Bella Rahmawati"/>
    <x v="1"/>
    <x v="25"/>
    <n v="40000"/>
    <n v="4"/>
    <n v="20"/>
    <n v="160000"/>
    <n v="32000"/>
    <n v="128000"/>
    <n v="59000"/>
    <n v="187000"/>
    <x v="1"/>
    <x v="2"/>
    <x v="3"/>
    <x v="0"/>
    <x v="0"/>
    <s v="Standar"/>
    <x v="4"/>
    <s v="tinggi"/>
  </r>
  <r>
    <s v="ORD01458"/>
    <x v="416"/>
    <s v="Nanda Setiawan"/>
    <x v="13"/>
    <x v="15"/>
    <n v="4000"/>
    <n v="4"/>
    <n v="15"/>
    <n v="16000"/>
    <n v="2400"/>
    <n v="13600"/>
    <n v="87000"/>
    <n v="100600"/>
    <x v="3"/>
    <x v="2"/>
    <x v="2"/>
    <x v="1"/>
    <x v="1"/>
    <s v="Rendah"/>
    <x v="1"/>
    <s v="sangat rendah"/>
  </r>
  <r>
    <s v="ORD01245"/>
    <x v="417"/>
    <s v="Zahra Puspita"/>
    <x v="5"/>
    <x v="1"/>
    <n v="17000"/>
    <n v="4"/>
    <n v="0"/>
    <n v="68000"/>
    <n v="0"/>
    <n v="68000"/>
    <n v="78000"/>
    <n v="146000"/>
    <x v="0"/>
    <x v="2"/>
    <x v="0"/>
    <x v="2"/>
    <x v="0"/>
    <s v="Rendah"/>
    <x v="1"/>
    <s v="sangat rendah"/>
  </r>
  <r>
    <s v="ORD00425"/>
    <x v="418"/>
    <s v="Dewi Hidayat"/>
    <x v="3"/>
    <x v="3"/>
    <n v="14000"/>
    <n v="5"/>
    <n v="0"/>
    <n v="70000"/>
    <n v="0"/>
    <n v="70000"/>
    <n v="18000"/>
    <n v="88000"/>
    <x v="1"/>
    <x v="4"/>
    <x v="3"/>
    <x v="0"/>
    <x v="0"/>
    <s v="Standar"/>
    <x v="1"/>
    <s v="sangat rendah"/>
  </r>
  <r>
    <s v="ORD00425"/>
    <x v="418"/>
    <s v="Dewi Hidayat"/>
    <x v="3"/>
    <x v="11"/>
    <n v="30000"/>
    <n v="3"/>
    <n v="15"/>
    <n v="90000"/>
    <n v="13500"/>
    <n v="76500"/>
    <n v="0"/>
    <n v="76500"/>
    <x v="1"/>
    <x v="4"/>
    <x v="3"/>
    <x v="0"/>
    <x v="0"/>
    <s v="Standar"/>
    <x v="2"/>
    <s v="normal"/>
  </r>
  <r>
    <s v="ORD00292"/>
    <x v="419"/>
    <s v="Aulia Santoso"/>
    <x v="26"/>
    <x v="12"/>
    <n v="25000"/>
    <n v="4"/>
    <n v="15"/>
    <n v="100000"/>
    <n v="15000"/>
    <n v="85000"/>
    <n v="28000"/>
    <n v="113000"/>
    <x v="1"/>
    <x v="2"/>
    <x v="3"/>
    <x v="0"/>
    <x v="0"/>
    <s v="Standar"/>
    <x v="2"/>
    <s v="normal"/>
  </r>
  <r>
    <s v="ORD00080"/>
    <x v="420"/>
    <s v="Fajar Budiman"/>
    <x v="29"/>
    <x v="16"/>
    <n v="28000"/>
    <n v="3"/>
    <n v="10"/>
    <n v="84000"/>
    <n v="8400"/>
    <n v="75600"/>
    <n v="89000"/>
    <n v="164600"/>
    <x v="2"/>
    <x v="2"/>
    <x v="0"/>
    <x v="3"/>
    <x v="1"/>
    <s v="Bagus"/>
    <x v="0"/>
    <s v="rendah"/>
  </r>
  <r>
    <s v="ORD01749"/>
    <x v="421"/>
    <s v="Indra Syahputra"/>
    <x v="35"/>
    <x v="16"/>
    <n v="28000"/>
    <n v="5"/>
    <n v="15"/>
    <n v="140000"/>
    <n v="21000"/>
    <n v="119000"/>
    <n v="76000"/>
    <n v="195000"/>
    <x v="1"/>
    <x v="3"/>
    <x v="4"/>
    <x v="3"/>
    <x v="1"/>
    <s v="Bagus"/>
    <x v="4"/>
    <s v="tinggi"/>
  </r>
  <r>
    <s v="ORD00121"/>
    <x v="422"/>
    <s v="Dewi Iskandar"/>
    <x v="27"/>
    <x v="3"/>
    <n v="14000"/>
    <n v="2"/>
    <n v="15"/>
    <n v="28000"/>
    <n v="4200"/>
    <n v="23800"/>
    <n v="18000"/>
    <n v="41800"/>
    <x v="1"/>
    <x v="2"/>
    <x v="3"/>
    <x v="1"/>
    <x v="0"/>
    <s v="Rendah"/>
    <x v="1"/>
    <s v="sangat rendah"/>
  </r>
  <r>
    <s v="ORD01196"/>
    <x v="423"/>
    <s v="Hendra Ramadhani"/>
    <x v="6"/>
    <x v="9"/>
    <n v="35000"/>
    <n v="3"/>
    <n v="5"/>
    <n v="105000"/>
    <n v="5250"/>
    <n v="99750"/>
    <n v="30000"/>
    <n v="129750"/>
    <x v="1"/>
    <x v="2"/>
    <x v="0"/>
    <x v="2"/>
    <x v="1"/>
    <s v="Rendah"/>
    <x v="0"/>
    <s v="rendah"/>
  </r>
  <r>
    <s v="ORD01142"/>
    <x v="424"/>
    <s v="Indra Rahmawati"/>
    <x v="3"/>
    <x v="18"/>
    <n v="16000"/>
    <n v="3"/>
    <n v="5"/>
    <n v="48000"/>
    <n v="2400"/>
    <n v="45600"/>
    <n v="18000"/>
    <n v="63600"/>
    <x v="1"/>
    <x v="2"/>
    <x v="3"/>
    <x v="1"/>
    <x v="1"/>
    <s v="Rendah"/>
    <x v="1"/>
    <s v="sangat rendah"/>
  </r>
  <r>
    <s v="ORD01852"/>
    <x v="425"/>
    <s v="Yani Nugroho"/>
    <x v="15"/>
    <x v="6"/>
    <n v="55000"/>
    <n v="2"/>
    <n v="20"/>
    <n v="110000"/>
    <n v="22000"/>
    <n v="88000"/>
    <n v="17000"/>
    <n v="105000"/>
    <x v="2"/>
    <x v="2"/>
    <x v="1"/>
    <x v="2"/>
    <x v="0"/>
    <s v="Rendah"/>
    <x v="4"/>
    <s v="tinggi"/>
  </r>
  <r>
    <s v="ORD00482"/>
    <x v="426"/>
    <s v="Lestari Budiman"/>
    <x v="20"/>
    <x v="15"/>
    <n v="4000"/>
    <n v="3"/>
    <n v="0"/>
    <n v="12000"/>
    <n v="0"/>
    <n v="12000"/>
    <n v="85000"/>
    <n v="97000"/>
    <x v="0"/>
    <x v="4"/>
    <x v="3"/>
    <x v="1"/>
    <x v="0"/>
    <s v="Rendah"/>
    <x v="1"/>
    <s v="sangat rendah"/>
  </r>
  <r>
    <s v="ORD01184"/>
    <x v="427"/>
    <s v="Vina Puspita"/>
    <x v="3"/>
    <x v="8"/>
    <n v="14000"/>
    <n v="1"/>
    <n v="10"/>
    <n v="14000"/>
    <n v="1400"/>
    <n v="12600"/>
    <n v="18000"/>
    <n v="30600"/>
    <x v="2"/>
    <x v="2"/>
    <x v="2"/>
    <x v="4"/>
    <x v="0"/>
    <s v="Bagus"/>
    <x v="1"/>
    <s v="sangat rendah"/>
  </r>
  <r>
    <s v="ORD00335"/>
    <x v="428"/>
    <s v="Zahra Nugroho"/>
    <x v="5"/>
    <x v="10"/>
    <n v="45000"/>
    <n v="3"/>
    <n v="0"/>
    <n v="135000"/>
    <n v="0"/>
    <n v="135000"/>
    <n v="78000"/>
    <n v="213000"/>
    <x v="3"/>
    <x v="2"/>
    <x v="2"/>
    <x v="3"/>
    <x v="0"/>
    <s v="Bagus"/>
    <x v="1"/>
    <s v="sangat rendah"/>
  </r>
  <r>
    <s v="ORD00342"/>
    <x v="429"/>
    <s v="Lestari Santoso"/>
    <x v="31"/>
    <x v="22"/>
    <n v="18000"/>
    <n v="1"/>
    <n v="10"/>
    <n v="18000"/>
    <n v="1800"/>
    <n v="16200"/>
    <n v="18000"/>
    <n v="34200"/>
    <x v="3"/>
    <x v="2"/>
    <x v="2"/>
    <x v="1"/>
    <x v="0"/>
    <s v="Rendah"/>
    <x v="1"/>
    <s v="sangat rendah"/>
  </r>
  <r>
    <s v="ORD00560"/>
    <x v="430"/>
    <s v="Clara Ramadhani"/>
    <x v="25"/>
    <x v="3"/>
    <n v="14000"/>
    <n v="2"/>
    <n v="5"/>
    <n v="28000"/>
    <n v="1400"/>
    <n v="26600"/>
    <n v="48000"/>
    <n v="74600"/>
    <x v="2"/>
    <x v="2"/>
    <x v="3"/>
    <x v="2"/>
    <x v="0"/>
    <s v="Rendah"/>
    <x v="1"/>
    <s v="sangat rendah"/>
  </r>
  <r>
    <s v="ORD01442"/>
    <x v="431"/>
    <s v="Budi Wijaya"/>
    <x v="34"/>
    <x v="22"/>
    <n v="18000"/>
    <n v="5"/>
    <n v="0"/>
    <n v="90000"/>
    <n v="0"/>
    <n v="90000"/>
    <n v="80000"/>
    <n v="170000"/>
    <x v="0"/>
    <x v="4"/>
    <x v="0"/>
    <x v="3"/>
    <x v="1"/>
    <s v="Bagus"/>
    <x v="1"/>
    <s v="sangat rendah"/>
  </r>
  <r>
    <s v="ORD01359"/>
    <x v="432"/>
    <s v="Hana Budiman"/>
    <x v="30"/>
    <x v="7"/>
    <n v="12000"/>
    <n v="1"/>
    <n v="10"/>
    <n v="12000"/>
    <n v="1200"/>
    <n v="10800"/>
    <n v="97000"/>
    <n v="107800"/>
    <x v="2"/>
    <x v="2"/>
    <x v="0"/>
    <x v="1"/>
    <x v="0"/>
    <s v="Rendah"/>
    <x v="1"/>
    <s v="sangat rendah"/>
  </r>
  <r>
    <s v="ORD01788"/>
    <x v="433"/>
    <s v="Lestari Wijaya"/>
    <x v="4"/>
    <x v="6"/>
    <n v="55000"/>
    <n v="3"/>
    <n v="5"/>
    <n v="165000"/>
    <n v="8250"/>
    <n v="156750"/>
    <n v="0"/>
    <n v="156750"/>
    <x v="0"/>
    <x v="3"/>
    <x v="4"/>
    <x v="2"/>
    <x v="0"/>
    <s v="Rendah"/>
    <x v="0"/>
    <s v="rendah"/>
  </r>
  <r>
    <s v="ORD00668"/>
    <x v="434"/>
    <s v="Qori Pradipta"/>
    <x v="2"/>
    <x v="1"/>
    <n v="17000"/>
    <n v="4"/>
    <n v="15"/>
    <n v="68000"/>
    <n v="10200"/>
    <n v="57800"/>
    <n v="26000"/>
    <n v="83800"/>
    <x v="2"/>
    <x v="2"/>
    <x v="3"/>
    <x v="1"/>
    <x v="0"/>
    <s v="Rendah"/>
    <x v="2"/>
    <s v="normal"/>
  </r>
  <r>
    <s v="ORD01522"/>
    <x v="435"/>
    <s v="Made Kusuma"/>
    <x v="10"/>
    <x v="6"/>
    <n v="55000"/>
    <n v="1"/>
    <n v="10"/>
    <n v="55000"/>
    <n v="5500"/>
    <n v="49500"/>
    <n v="84000"/>
    <n v="133500"/>
    <x v="0"/>
    <x v="2"/>
    <x v="0"/>
    <x v="0"/>
    <x v="1"/>
    <s v="Standar"/>
    <x v="0"/>
    <s v="rendah"/>
  </r>
  <r>
    <s v="ORD01824"/>
    <x v="436"/>
    <s v="Eka Hidayat"/>
    <x v="18"/>
    <x v="19"/>
    <n v="35000"/>
    <n v="3"/>
    <n v="10"/>
    <n v="105000"/>
    <n v="10500"/>
    <n v="94500"/>
    <n v="43000"/>
    <n v="137500"/>
    <x v="3"/>
    <x v="2"/>
    <x v="3"/>
    <x v="0"/>
    <x v="0"/>
    <s v="Standar"/>
    <x v="2"/>
    <s v="normal"/>
  </r>
  <r>
    <s v="ORD00997"/>
    <x v="437"/>
    <s v="Andi Iskandar"/>
    <x v="8"/>
    <x v="2"/>
    <n v="5000"/>
    <n v="3"/>
    <n v="0"/>
    <n v="15000"/>
    <n v="0"/>
    <n v="15000"/>
    <n v="87000"/>
    <n v="102000"/>
    <x v="1"/>
    <x v="2"/>
    <x v="2"/>
    <x v="1"/>
    <x v="1"/>
    <s v="Rendah"/>
    <x v="1"/>
    <s v="sangat rendah"/>
  </r>
  <r>
    <s v="ORD01186"/>
    <x v="438"/>
    <s v="Lestari Syahputra"/>
    <x v="27"/>
    <x v="18"/>
    <n v="16000"/>
    <n v="2"/>
    <n v="10"/>
    <n v="32000"/>
    <n v="3200"/>
    <n v="28800"/>
    <n v="18000"/>
    <n v="46800"/>
    <x v="2"/>
    <x v="4"/>
    <x v="4"/>
    <x v="4"/>
    <x v="0"/>
    <s v="Bagus"/>
    <x v="1"/>
    <s v="sangat rendah"/>
  </r>
  <r>
    <s v="ORD00770"/>
    <x v="439"/>
    <s v="Vina Fauziah"/>
    <x v="32"/>
    <x v="19"/>
    <n v="35000"/>
    <n v="4"/>
    <n v="15"/>
    <n v="140000"/>
    <n v="21000"/>
    <n v="119000"/>
    <n v="59000"/>
    <n v="178000"/>
    <x v="2"/>
    <x v="2"/>
    <x v="4"/>
    <x v="3"/>
    <x v="0"/>
    <s v="Bagus"/>
    <x v="4"/>
    <s v="tinggi"/>
  </r>
  <r>
    <s v="ORD00737"/>
    <x v="440"/>
    <s v="Gita Syahputra"/>
    <x v="32"/>
    <x v="14"/>
    <n v="18000"/>
    <n v="5"/>
    <n v="0"/>
    <n v="90000"/>
    <n v="0"/>
    <n v="90000"/>
    <n v="59000"/>
    <n v="149000"/>
    <x v="3"/>
    <x v="2"/>
    <x v="4"/>
    <x v="4"/>
    <x v="0"/>
    <s v="Bagus"/>
    <x v="1"/>
    <s v="sangat rendah"/>
  </r>
  <r>
    <s v="ORD01593"/>
    <x v="441"/>
    <s v="Putri Hidayat"/>
    <x v="33"/>
    <x v="16"/>
    <n v="28000"/>
    <n v="3"/>
    <n v="5"/>
    <n v="84000"/>
    <n v="4200"/>
    <n v="79800"/>
    <n v="68000"/>
    <n v="147800"/>
    <x v="0"/>
    <x v="2"/>
    <x v="0"/>
    <x v="0"/>
    <x v="0"/>
    <s v="Standar"/>
    <x v="1"/>
    <s v="sangat rendah"/>
  </r>
  <r>
    <s v="ORD01840"/>
    <x v="442"/>
    <s v="Kartika Pradipta"/>
    <x v="9"/>
    <x v="24"/>
    <n v="22000"/>
    <n v="2"/>
    <n v="20"/>
    <n v="44000"/>
    <n v="8800"/>
    <n v="35200"/>
    <n v="21000"/>
    <n v="56200"/>
    <x v="1"/>
    <x v="2"/>
    <x v="2"/>
    <x v="2"/>
    <x v="0"/>
    <s v="Rendah"/>
    <x v="0"/>
    <s v="rendah"/>
  </r>
  <r>
    <s v="ORD00878"/>
    <x v="443"/>
    <s v="Rizky Fauziah"/>
    <x v="13"/>
    <x v="13"/>
    <n v="17000"/>
    <n v="2"/>
    <n v="15"/>
    <n v="34000"/>
    <n v="5100"/>
    <n v="28900"/>
    <n v="87000"/>
    <n v="115900"/>
    <x v="0"/>
    <x v="2"/>
    <x v="1"/>
    <x v="4"/>
    <x v="1"/>
    <s v="Bagus"/>
    <x v="0"/>
    <s v="rendah"/>
  </r>
  <r>
    <s v="ORD01737"/>
    <x v="444"/>
    <s v="Bella Ananda"/>
    <x v="18"/>
    <x v="19"/>
    <n v="35000"/>
    <n v="1"/>
    <n v="0"/>
    <n v="35000"/>
    <n v="0"/>
    <n v="35000"/>
    <n v="43000"/>
    <n v="78000"/>
    <x v="0"/>
    <x v="2"/>
    <x v="4"/>
    <x v="2"/>
    <x v="0"/>
    <s v="Rendah"/>
    <x v="1"/>
    <s v="sangat rendah"/>
  </r>
  <r>
    <s v="ORD00594"/>
    <x v="445"/>
    <s v="Rizky Ramadhani"/>
    <x v="31"/>
    <x v="2"/>
    <n v="5000"/>
    <n v="1"/>
    <n v="20"/>
    <n v="5000"/>
    <n v="1000"/>
    <n v="4000"/>
    <n v="18000"/>
    <n v="22000"/>
    <x v="1"/>
    <x v="2"/>
    <x v="0"/>
    <x v="3"/>
    <x v="1"/>
    <s v="Bagus"/>
    <x v="1"/>
    <s v="sangat rendah"/>
  </r>
  <r>
    <s v="ORD01864"/>
    <x v="446"/>
    <s v="Dewi Hidayat"/>
    <x v="3"/>
    <x v="25"/>
    <n v="40000"/>
    <n v="1"/>
    <n v="5"/>
    <n v="40000"/>
    <n v="2000"/>
    <n v="38000"/>
    <n v="18000"/>
    <n v="56000"/>
    <x v="2"/>
    <x v="2"/>
    <x v="4"/>
    <x v="1"/>
    <x v="0"/>
    <s v="Rendah"/>
    <x v="1"/>
    <s v="sangat rendah"/>
  </r>
  <r>
    <s v="ORD01331"/>
    <x v="447"/>
    <s v="Vina Ananda"/>
    <x v="6"/>
    <x v="1"/>
    <n v="17000"/>
    <n v="5"/>
    <n v="0"/>
    <n v="85000"/>
    <n v="0"/>
    <n v="85000"/>
    <n v="30000"/>
    <n v="115000"/>
    <x v="1"/>
    <x v="2"/>
    <x v="4"/>
    <x v="3"/>
    <x v="0"/>
    <s v="Bagus"/>
    <x v="1"/>
    <s v="sangat rendah"/>
  </r>
  <r>
    <s v="ORD00849"/>
    <x v="448"/>
    <s v="Fitri Iskandar"/>
    <x v="1"/>
    <x v="5"/>
    <n v="50000"/>
    <n v="2"/>
    <n v="15"/>
    <n v="100000"/>
    <n v="15000"/>
    <n v="85000"/>
    <n v="59000"/>
    <n v="144000"/>
    <x v="1"/>
    <x v="2"/>
    <x v="3"/>
    <x v="4"/>
    <x v="0"/>
    <s v="Bagus"/>
    <x v="2"/>
    <s v="normal"/>
  </r>
  <r>
    <s v="ORD01358"/>
    <x v="449"/>
    <s v="Hana Wijaya"/>
    <x v="13"/>
    <x v="7"/>
    <n v="12000"/>
    <n v="2"/>
    <n v="0"/>
    <n v="24000"/>
    <n v="0"/>
    <n v="24000"/>
    <n v="87000"/>
    <n v="111000"/>
    <x v="0"/>
    <x v="2"/>
    <x v="1"/>
    <x v="4"/>
    <x v="0"/>
    <s v="Bagus"/>
    <x v="1"/>
    <s v="sangat rendah"/>
  </r>
  <r>
    <s v="ORD00288"/>
    <x v="450"/>
    <s v="Gita Pradipta"/>
    <x v="8"/>
    <x v="6"/>
    <n v="55000"/>
    <n v="2"/>
    <n v="20"/>
    <n v="110000"/>
    <n v="22000"/>
    <n v="88000"/>
    <n v="87000"/>
    <n v="175000"/>
    <x v="2"/>
    <x v="2"/>
    <x v="3"/>
    <x v="0"/>
    <x v="0"/>
    <s v="Standar"/>
    <x v="4"/>
    <s v="tinggi"/>
  </r>
  <r>
    <s v="ORD00894"/>
    <x v="451"/>
    <s v="Gita Ananda"/>
    <x v="12"/>
    <x v="10"/>
    <n v="45000"/>
    <n v="3"/>
    <n v="15"/>
    <n v="135000"/>
    <n v="20250"/>
    <n v="114750"/>
    <n v="74000"/>
    <n v="188750"/>
    <x v="0"/>
    <x v="4"/>
    <x v="3"/>
    <x v="1"/>
    <x v="0"/>
    <s v="Rendah"/>
    <x v="4"/>
    <s v="tinggi"/>
  </r>
  <r>
    <s v="ORD01756"/>
    <x v="452"/>
    <s v="Erna Hidayat"/>
    <x v="26"/>
    <x v="18"/>
    <n v="16000"/>
    <n v="2"/>
    <n v="15"/>
    <n v="32000"/>
    <n v="4800"/>
    <n v="27200"/>
    <n v="28000"/>
    <n v="55200"/>
    <x v="0"/>
    <x v="2"/>
    <x v="0"/>
    <x v="1"/>
    <x v="0"/>
    <s v="Rendah"/>
    <x v="1"/>
    <s v="sangat rendah"/>
  </r>
  <r>
    <s v="ORD00076"/>
    <x v="453"/>
    <s v="Bayu Maulana"/>
    <x v="29"/>
    <x v="22"/>
    <n v="18000"/>
    <n v="5"/>
    <n v="0"/>
    <n v="90000"/>
    <n v="0"/>
    <n v="90000"/>
    <n v="89000"/>
    <n v="179000"/>
    <x v="2"/>
    <x v="2"/>
    <x v="4"/>
    <x v="2"/>
    <x v="1"/>
    <s v="Rendah"/>
    <x v="1"/>
    <s v="sangat rendah"/>
  </r>
  <r>
    <s v="ORD01727"/>
    <x v="454"/>
    <s v="Erna Iskandar"/>
    <x v="21"/>
    <x v="8"/>
    <n v="14000"/>
    <n v="3"/>
    <n v="20"/>
    <n v="42000"/>
    <n v="8400"/>
    <n v="33600"/>
    <n v="72000"/>
    <n v="105600"/>
    <x v="3"/>
    <x v="2"/>
    <x v="1"/>
    <x v="2"/>
    <x v="0"/>
    <s v="Rendah"/>
    <x v="0"/>
    <s v="rendah"/>
  </r>
  <r>
    <s v="ORD01790"/>
    <x v="455"/>
    <s v="Eka Hidayat"/>
    <x v="18"/>
    <x v="16"/>
    <n v="28000"/>
    <n v="2"/>
    <n v="0"/>
    <n v="56000"/>
    <n v="0"/>
    <n v="56000"/>
    <n v="43000"/>
    <n v="99000"/>
    <x v="2"/>
    <x v="2"/>
    <x v="0"/>
    <x v="2"/>
    <x v="0"/>
    <s v="Rendah"/>
    <x v="1"/>
    <s v="sangat rendah"/>
  </r>
  <r>
    <s v="ORD00136"/>
    <x v="456"/>
    <s v="Kartika Utami"/>
    <x v="26"/>
    <x v="24"/>
    <n v="22000"/>
    <n v="5"/>
    <n v="10"/>
    <n v="110000"/>
    <n v="11000"/>
    <n v="99000"/>
    <n v="28000"/>
    <n v="127000"/>
    <x v="2"/>
    <x v="2"/>
    <x v="2"/>
    <x v="1"/>
    <x v="0"/>
    <s v="Rendah"/>
    <x v="2"/>
    <s v="normal"/>
  </r>
  <r>
    <s v="ORD00136"/>
    <x v="456"/>
    <s v="Kartika Utami"/>
    <x v="26"/>
    <x v="20"/>
    <n v="40000"/>
    <n v="2"/>
    <n v="10"/>
    <n v="80000"/>
    <n v="8000"/>
    <n v="72000"/>
    <n v="0"/>
    <n v="72000"/>
    <x v="2"/>
    <x v="2"/>
    <x v="2"/>
    <x v="1"/>
    <x v="0"/>
    <s v="Rendah"/>
    <x v="0"/>
    <s v="rendah"/>
  </r>
  <r>
    <s v="ORD01591"/>
    <x v="457"/>
    <s v="Aulia Budiman"/>
    <x v="30"/>
    <x v="10"/>
    <n v="45000"/>
    <n v="4"/>
    <n v="5"/>
    <n v="180000"/>
    <n v="9000"/>
    <n v="171000"/>
    <n v="97000"/>
    <n v="268000"/>
    <x v="0"/>
    <x v="4"/>
    <x v="1"/>
    <x v="0"/>
    <x v="0"/>
    <s v="Standar"/>
    <x v="0"/>
    <s v="rendah"/>
  </r>
  <r>
    <s v="ORD00671"/>
    <x v="458"/>
    <s v="Eka Halim"/>
    <x v="24"/>
    <x v="13"/>
    <n v="17000"/>
    <n v="3"/>
    <n v="20"/>
    <n v="51000"/>
    <n v="10200"/>
    <n v="40800"/>
    <n v="93000"/>
    <n v="133800"/>
    <x v="0"/>
    <x v="2"/>
    <x v="0"/>
    <x v="3"/>
    <x v="0"/>
    <s v="Bagus"/>
    <x v="2"/>
    <s v="normal"/>
  </r>
  <r>
    <s v="ORD00490"/>
    <x v="459"/>
    <s v="Gita Kurniawan"/>
    <x v="5"/>
    <x v="21"/>
    <n v="10000"/>
    <n v="3"/>
    <n v="5"/>
    <n v="30000"/>
    <n v="1500"/>
    <n v="28500"/>
    <n v="78000"/>
    <n v="106500"/>
    <x v="0"/>
    <x v="3"/>
    <x v="0"/>
    <x v="0"/>
    <x v="0"/>
    <s v="Standar"/>
    <x v="1"/>
    <s v="sangat rendah"/>
  </r>
  <r>
    <s v="ORD00382"/>
    <x v="460"/>
    <s v="Zahra Budiman"/>
    <x v="36"/>
    <x v="11"/>
    <n v="30000"/>
    <n v="5"/>
    <n v="10"/>
    <n v="150000"/>
    <n v="15000"/>
    <n v="135000"/>
    <n v="49000"/>
    <n v="184000"/>
    <x v="3"/>
    <x v="3"/>
    <x v="2"/>
    <x v="4"/>
    <x v="0"/>
    <s v="Bagus"/>
    <x v="2"/>
    <s v="normal"/>
  </r>
  <r>
    <s v="ORD01397"/>
    <x v="461"/>
    <s v="Vina Ananda"/>
    <x v="6"/>
    <x v="22"/>
    <n v="18000"/>
    <n v="2"/>
    <n v="15"/>
    <n v="36000"/>
    <n v="5400"/>
    <n v="30600"/>
    <n v="30000"/>
    <n v="60600"/>
    <x v="3"/>
    <x v="2"/>
    <x v="2"/>
    <x v="2"/>
    <x v="0"/>
    <s v="Rendah"/>
    <x v="0"/>
    <s v="rendah"/>
  </r>
  <r>
    <s v="ORD00691"/>
    <x v="462"/>
    <s v="Zahra Nugroho"/>
    <x v="5"/>
    <x v="20"/>
    <n v="40000"/>
    <n v="1"/>
    <n v="0"/>
    <n v="40000"/>
    <n v="0"/>
    <n v="40000"/>
    <n v="78000"/>
    <n v="118000"/>
    <x v="0"/>
    <x v="2"/>
    <x v="1"/>
    <x v="2"/>
    <x v="0"/>
    <s v="Rendah"/>
    <x v="1"/>
    <s v="sangat rendah"/>
  </r>
  <r>
    <s v="ORD00929"/>
    <x v="463"/>
    <s v="Erna Pradipta"/>
    <x v="4"/>
    <x v="9"/>
    <n v="35000"/>
    <n v="1"/>
    <n v="0"/>
    <n v="35000"/>
    <n v="0"/>
    <n v="35000"/>
    <n v="0"/>
    <n v="35000"/>
    <x v="3"/>
    <x v="2"/>
    <x v="2"/>
    <x v="1"/>
    <x v="0"/>
    <s v="Rendah"/>
    <x v="1"/>
    <s v="sangat rendah"/>
  </r>
  <r>
    <s v="ORD00310"/>
    <x v="464"/>
    <s v="Erna Budiman"/>
    <x v="13"/>
    <x v="15"/>
    <n v="4000"/>
    <n v="2"/>
    <n v="15"/>
    <n v="8000"/>
    <n v="1200"/>
    <n v="6800"/>
    <n v="87000"/>
    <n v="93800"/>
    <x v="2"/>
    <x v="2"/>
    <x v="4"/>
    <x v="0"/>
    <x v="0"/>
    <s v="Standar"/>
    <x v="1"/>
    <s v="sangat rendah"/>
  </r>
  <r>
    <s v="ORD00463"/>
    <x v="465"/>
    <s v="Erna Budiman"/>
    <x v="13"/>
    <x v="15"/>
    <n v="4000"/>
    <n v="3"/>
    <n v="5"/>
    <n v="12000"/>
    <n v="600"/>
    <n v="11400"/>
    <n v="87000"/>
    <n v="98400"/>
    <x v="0"/>
    <x v="2"/>
    <x v="1"/>
    <x v="1"/>
    <x v="0"/>
    <s v="Rendah"/>
    <x v="1"/>
    <s v="sangat rendah"/>
  </r>
  <r>
    <s v="ORD00818"/>
    <x v="466"/>
    <s v="Putri Ramadhani"/>
    <x v="31"/>
    <x v="10"/>
    <n v="45000"/>
    <n v="4"/>
    <n v="20"/>
    <n v="180000"/>
    <n v="36000"/>
    <n v="144000"/>
    <n v="18000"/>
    <n v="162000"/>
    <x v="1"/>
    <x v="2"/>
    <x v="4"/>
    <x v="2"/>
    <x v="0"/>
    <s v="Rendah"/>
    <x v="3"/>
    <s v="sangat tinggi"/>
  </r>
  <r>
    <s v="ORD01137"/>
    <x v="467"/>
    <s v="Fitri Ramadhani"/>
    <x v="12"/>
    <x v="14"/>
    <n v="18000"/>
    <n v="2"/>
    <n v="5"/>
    <n v="36000"/>
    <n v="1800"/>
    <n v="34200"/>
    <n v="74000"/>
    <n v="108200"/>
    <x v="2"/>
    <x v="2"/>
    <x v="4"/>
    <x v="0"/>
    <x v="0"/>
    <s v="Standar"/>
    <x v="1"/>
    <s v="sangat rendah"/>
  </r>
  <r>
    <s v="ORD00190"/>
    <x v="468"/>
    <s v="Dina Budiman"/>
    <x v="32"/>
    <x v="12"/>
    <n v="25000"/>
    <n v="2"/>
    <n v="5"/>
    <n v="50000"/>
    <n v="2500"/>
    <n v="47500"/>
    <n v="59000"/>
    <n v="106500"/>
    <x v="3"/>
    <x v="3"/>
    <x v="2"/>
    <x v="1"/>
    <x v="0"/>
    <s v="Rendah"/>
    <x v="1"/>
    <s v="sangat rendah"/>
  </r>
  <r>
    <s v="ORD00769"/>
    <x v="469"/>
    <s v="Budi Fauziah"/>
    <x v="24"/>
    <x v="3"/>
    <n v="14000"/>
    <n v="1"/>
    <n v="15"/>
    <n v="14000"/>
    <n v="2100"/>
    <n v="11900"/>
    <n v="93000"/>
    <n v="104900"/>
    <x v="0"/>
    <x v="2"/>
    <x v="2"/>
    <x v="4"/>
    <x v="1"/>
    <s v="Bagus"/>
    <x v="1"/>
    <s v="sangat rendah"/>
  </r>
  <r>
    <s v="ORD00578"/>
    <x v="470"/>
    <s v="Joko Maulana"/>
    <x v="36"/>
    <x v="7"/>
    <n v="12000"/>
    <n v="4"/>
    <n v="15"/>
    <n v="48000"/>
    <n v="7200"/>
    <n v="40800"/>
    <n v="49000"/>
    <n v="89800"/>
    <x v="3"/>
    <x v="2"/>
    <x v="4"/>
    <x v="3"/>
    <x v="1"/>
    <s v="Bagus"/>
    <x v="0"/>
    <s v="rendah"/>
  </r>
  <r>
    <s v="ORD01801"/>
    <x v="471"/>
    <s v="Vina Puspita"/>
    <x v="3"/>
    <x v="16"/>
    <n v="28000"/>
    <n v="3"/>
    <n v="20"/>
    <n v="84000"/>
    <n v="16800"/>
    <n v="67200"/>
    <n v="18000"/>
    <n v="85200"/>
    <x v="1"/>
    <x v="4"/>
    <x v="3"/>
    <x v="0"/>
    <x v="0"/>
    <s v="Standar"/>
    <x v="2"/>
    <s v="normal"/>
  </r>
  <r>
    <s v="ORD00944"/>
    <x v="472"/>
    <s v="Clara Utami"/>
    <x v="31"/>
    <x v="24"/>
    <n v="22000"/>
    <n v="5"/>
    <n v="0"/>
    <n v="110000"/>
    <n v="0"/>
    <n v="110000"/>
    <n v="18000"/>
    <n v="128000"/>
    <x v="3"/>
    <x v="2"/>
    <x v="1"/>
    <x v="3"/>
    <x v="0"/>
    <s v="Bagus"/>
    <x v="1"/>
    <s v="sangat rendah"/>
  </r>
  <r>
    <s v="ORD01033"/>
    <x v="473"/>
    <s v="Sari Puspita"/>
    <x v="30"/>
    <x v="26"/>
    <n v="16000"/>
    <n v="1"/>
    <n v="15"/>
    <n v="16000"/>
    <n v="2400"/>
    <n v="13600"/>
    <n v="97000"/>
    <n v="110600"/>
    <x v="2"/>
    <x v="2"/>
    <x v="1"/>
    <x v="0"/>
    <x v="0"/>
    <s v="Standar"/>
    <x v="1"/>
    <s v="sangat rendah"/>
  </r>
  <r>
    <s v="ORD00719"/>
    <x v="474"/>
    <s v="Erna Kusuma"/>
    <x v="4"/>
    <x v="16"/>
    <n v="28000"/>
    <n v="4"/>
    <n v="15"/>
    <n v="112000"/>
    <n v="16800"/>
    <n v="95200"/>
    <n v="0"/>
    <n v="95200"/>
    <x v="3"/>
    <x v="2"/>
    <x v="2"/>
    <x v="0"/>
    <x v="0"/>
    <s v="Standar"/>
    <x v="2"/>
    <s v="normal"/>
  </r>
  <r>
    <s v="ORD00146"/>
    <x v="475"/>
    <s v="Vina Syahputra"/>
    <x v="23"/>
    <x v="3"/>
    <n v="14000"/>
    <n v="5"/>
    <n v="20"/>
    <n v="70000"/>
    <n v="14000"/>
    <n v="56000"/>
    <n v="49000"/>
    <n v="105000"/>
    <x v="1"/>
    <x v="2"/>
    <x v="3"/>
    <x v="1"/>
    <x v="0"/>
    <s v="Rendah"/>
    <x v="2"/>
    <s v="normal"/>
  </r>
  <r>
    <s v="ORD00146"/>
    <x v="475"/>
    <s v="Vina Syahputra"/>
    <x v="23"/>
    <x v="4"/>
    <n v="6000"/>
    <n v="4"/>
    <n v="5"/>
    <n v="24000"/>
    <n v="1200"/>
    <n v="22800"/>
    <n v="0"/>
    <n v="22800"/>
    <x v="1"/>
    <x v="2"/>
    <x v="3"/>
    <x v="1"/>
    <x v="0"/>
    <s v="Rendah"/>
    <x v="1"/>
    <s v="sangat rendah"/>
  </r>
  <r>
    <s v="ORD01432"/>
    <x v="476"/>
    <s v="Dewi Halim"/>
    <x v="25"/>
    <x v="18"/>
    <n v="16000"/>
    <n v="4"/>
    <n v="0"/>
    <n v="64000"/>
    <n v="0"/>
    <n v="64000"/>
    <n v="48000"/>
    <n v="112000"/>
    <x v="1"/>
    <x v="2"/>
    <x v="2"/>
    <x v="3"/>
    <x v="0"/>
    <s v="Bagus"/>
    <x v="1"/>
    <s v="sangat rendah"/>
  </r>
  <r>
    <s v="ORD01443"/>
    <x v="477"/>
    <s v="Hana Ramadhani"/>
    <x v="23"/>
    <x v="18"/>
    <n v="16000"/>
    <n v="5"/>
    <n v="20"/>
    <n v="80000"/>
    <n v="16000"/>
    <n v="64000"/>
    <n v="49000"/>
    <n v="113000"/>
    <x v="2"/>
    <x v="2"/>
    <x v="1"/>
    <x v="0"/>
    <x v="0"/>
    <s v="Standar"/>
    <x v="2"/>
    <s v="normal"/>
  </r>
  <r>
    <s v="ORD00650"/>
    <x v="478"/>
    <s v="Aulia Saputra"/>
    <x v="1"/>
    <x v="0"/>
    <n v="16000"/>
    <n v="5"/>
    <n v="20"/>
    <n v="80000"/>
    <n v="16000"/>
    <n v="64000"/>
    <n v="59000"/>
    <n v="123000"/>
    <x v="2"/>
    <x v="2"/>
    <x v="1"/>
    <x v="0"/>
    <x v="0"/>
    <s v="Standar"/>
    <x v="2"/>
    <s v="normal"/>
  </r>
  <r>
    <s v="ORD01229"/>
    <x v="479"/>
    <s v="Vina Syahputra"/>
    <x v="23"/>
    <x v="4"/>
    <n v="6000"/>
    <n v="5"/>
    <n v="0"/>
    <n v="30000"/>
    <n v="0"/>
    <n v="30000"/>
    <n v="49000"/>
    <n v="79000"/>
    <x v="2"/>
    <x v="2"/>
    <x v="2"/>
    <x v="2"/>
    <x v="0"/>
    <s v="Rendah"/>
    <x v="1"/>
    <s v="sangat rendah"/>
  </r>
  <r>
    <s v="ORD00847"/>
    <x v="480"/>
    <s v="Joko Halim"/>
    <x v="1"/>
    <x v="12"/>
    <n v="25000"/>
    <n v="4"/>
    <n v="0"/>
    <n v="100000"/>
    <n v="0"/>
    <n v="100000"/>
    <n v="59000"/>
    <n v="159000"/>
    <x v="0"/>
    <x v="2"/>
    <x v="0"/>
    <x v="3"/>
    <x v="1"/>
    <s v="Bagus"/>
    <x v="1"/>
    <s v="sangat rendah"/>
  </r>
  <r>
    <s v="ORD00091"/>
    <x v="481"/>
    <s v="Budi Saputra"/>
    <x v="11"/>
    <x v="26"/>
    <n v="16000"/>
    <n v="2"/>
    <n v="0"/>
    <n v="32000"/>
    <n v="0"/>
    <n v="32000"/>
    <n v="56000"/>
    <n v="88000"/>
    <x v="0"/>
    <x v="2"/>
    <x v="2"/>
    <x v="0"/>
    <x v="1"/>
    <s v="Standar"/>
    <x v="1"/>
    <s v="sangat rendah"/>
  </r>
  <r>
    <s v="ORD00241"/>
    <x v="482"/>
    <s v="Erna Halim"/>
    <x v="18"/>
    <x v="15"/>
    <n v="4000"/>
    <n v="5"/>
    <n v="5"/>
    <n v="20000"/>
    <n v="1000"/>
    <n v="19000"/>
    <n v="43000"/>
    <n v="62000"/>
    <x v="3"/>
    <x v="2"/>
    <x v="4"/>
    <x v="0"/>
    <x v="0"/>
    <s v="Standar"/>
    <x v="1"/>
    <s v="sangat rendah"/>
  </r>
  <r>
    <s v="ORD01277"/>
    <x v="483"/>
    <s v="Aulia Rahmawati"/>
    <x v="8"/>
    <x v="11"/>
    <n v="30000"/>
    <n v="5"/>
    <n v="5"/>
    <n v="150000"/>
    <n v="7500"/>
    <n v="142500"/>
    <n v="87000"/>
    <n v="229500"/>
    <x v="2"/>
    <x v="2"/>
    <x v="1"/>
    <x v="3"/>
    <x v="0"/>
    <s v="Bagus"/>
    <x v="0"/>
    <s v="rendah"/>
  </r>
  <r>
    <s v="ORD01689"/>
    <x v="484"/>
    <s v="Tono Syahputra"/>
    <x v="7"/>
    <x v="12"/>
    <n v="25000"/>
    <n v="4"/>
    <n v="15"/>
    <n v="100000"/>
    <n v="15000"/>
    <n v="85000"/>
    <n v="15000"/>
    <n v="100000"/>
    <x v="0"/>
    <x v="2"/>
    <x v="4"/>
    <x v="1"/>
    <x v="1"/>
    <s v="Rendah"/>
    <x v="2"/>
    <s v="normal"/>
  </r>
  <r>
    <s v="ORD00613"/>
    <x v="485"/>
    <s v="Nanda Iskandar"/>
    <x v="20"/>
    <x v="14"/>
    <n v="18000"/>
    <n v="5"/>
    <n v="5"/>
    <n v="90000"/>
    <n v="4500"/>
    <n v="85500"/>
    <n v="85000"/>
    <n v="170500"/>
    <x v="3"/>
    <x v="4"/>
    <x v="4"/>
    <x v="4"/>
    <x v="1"/>
    <s v="Bagus"/>
    <x v="1"/>
    <s v="sangat rendah"/>
  </r>
  <r>
    <s v="ORD01466"/>
    <x v="486"/>
    <s v="Zahra Utami"/>
    <x v="16"/>
    <x v="0"/>
    <n v="16000"/>
    <n v="5"/>
    <n v="20"/>
    <n v="80000"/>
    <n v="16000"/>
    <n v="64000"/>
    <n v="50000"/>
    <n v="114000"/>
    <x v="0"/>
    <x v="2"/>
    <x v="1"/>
    <x v="3"/>
    <x v="0"/>
    <s v="Bagus"/>
    <x v="2"/>
    <s v="normal"/>
  </r>
  <r>
    <s v="ORD00115"/>
    <x v="487"/>
    <s v="Qori Maulana"/>
    <x v="27"/>
    <x v="23"/>
    <n v="45000"/>
    <n v="2"/>
    <n v="10"/>
    <n v="90000"/>
    <n v="9000"/>
    <n v="81000"/>
    <n v="18000"/>
    <n v="99000"/>
    <x v="1"/>
    <x v="2"/>
    <x v="3"/>
    <x v="0"/>
    <x v="0"/>
    <s v="Standar"/>
    <x v="0"/>
    <s v="rendah"/>
  </r>
  <r>
    <s v="ORD01513"/>
    <x v="488"/>
    <s v="Dewi Halim"/>
    <x v="25"/>
    <x v="12"/>
    <n v="25000"/>
    <n v="5"/>
    <n v="0"/>
    <n v="125000"/>
    <n v="0"/>
    <n v="125000"/>
    <n v="48000"/>
    <n v="173000"/>
    <x v="2"/>
    <x v="2"/>
    <x v="4"/>
    <x v="3"/>
    <x v="0"/>
    <s v="Bagus"/>
    <x v="1"/>
    <s v="sangat rendah"/>
  </r>
  <r>
    <s v="ORD01041"/>
    <x v="489"/>
    <s v="Yani Maulana"/>
    <x v="5"/>
    <x v="20"/>
    <n v="40000"/>
    <n v="5"/>
    <n v="20"/>
    <n v="200000"/>
    <n v="40000"/>
    <n v="160000"/>
    <n v="78000"/>
    <n v="238000"/>
    <x v="2"/>
    <x v="2"/>
    <x v="3"/>
    <x v="0"/>
    <x v="0"/>
    <s v="Standar"/>
    <x v="3"/>
    <s v="sangat tinggi"/>
  </r>
  <r>
    <s v="ORD00825"/>
    <x v="490"/>
    <s v="Yani Setiawan"/>
    <x v="35"/>
    <x v="18"/>
    <n v="16000"/>
    <n v="5"/>
    <n v="20"/>
    <n v="80000"/>
    <n v="16000"/>
    <n v="64000"/>
    <n v="76000"/>
    <n v="140000"/>
    <x v="3"/>
    <x v="2"/>
    <x v="4"/>
    <x v="4"/>
    <x v="0"/>
    <s v="Bagus"/>
    <x v="2"/>
    <s v="normal"/>
  </r>
  <r>
    <s v="ORD01039"/>
    <x v="491"/>
    <s v="Qori Santoso"/>
    <x v="7"/>
    <x v="7"/>
    <n v="12000"/>
    <n v="5"/>
    <n v="20"/>
    <n v="60000"/>
    <n v="12000"/>
    <n v="48000"/>
    <n v="15000"/>
    <n v="63000"/>
    <x v="1"/>
    <x v="2"/>
    <x v="2"/>
    <x v="0"/>
    <x v="0"/>
    <s v="Standar"/>
    <x v="2"/>
    <s v="normal"/>
  </r>
  <r>
    <s v="ORD00426"/>
    <x v="492"/>
    <s v="Bella Halim"/>
    <x v="35"/>
    <x v="17"/>
    <n v="15000"/>
    <n v="4"/>
    <n v="5"/>
    <n v="60000"/>
    <n v="3000"/>
    <n v="57000"/>
    <n v="76000"/>
    <n v="133000"/>
    <x v="0"/>
    <x v="2"/>
    <x v="0"/>
    <x v="4"/>
    <x v="0"/>
    <s v="Bagus"/>
    <x v="1"/>
    <s v="sangat rendah"/>
  </r>
  <r>
    <s v="ORD00426"/>
    <x v="492"/>
    <s v="Bella Halim"/>
    <x v="35"/>
    <x v="25"/>
    <n v="40000"/>
    <n v="5"/>
    <n v="10"/>
    <n v="200000"/>
    <n v="20000"/>
    <n v="180000"/>
    <n v="0"/>
    <n v="180000"/>
    <x v="0"/>
    <x v="2"/>
    <x v="0"/>
    <x v="4"/>
    <x v="0"/>
    <s v="Bagus"/>
    <x v="2"/>
    <s v="normal"/>
  </r>
  <r>
    <s v="ORD00242"/>
    <x v="493"/>
    <s v="Sari Fauziah"/>
    <x v="26"/>
    <x v="9"/>
    <n v="35000"/>
    <n v="5"/>
    <n v="5"/>
    <n v="175000"/>
    <n v="8750"/>
    <n v="166250"/>
    <n v="28000"/>
    <n v="194250"/>
    <x v="2"/>
    <x v="2"/>
    <x v="1"/>
    <x v="4"/>
    <x v="0"/>
    <s v="Bagus"/>
    <x v="0"/>
    <s v="rendah"/>
  </r>
  <r>
    <s v="ORD01621"/>
    <x v="494"/>
    <s v="Qori Fauziah"/>
    <x v="12"/>
    <x v="22"/>
    <n v="18000"/>
    <n v="1"/>
    <n v="15"/>
    <n v="18000"/>
    <n v="2700"/>
    <n v="15300"/>
    <n v="74000"/>
    <n v="89300"/>
    <x v="3"/>
    <x v="4"/>
    <x v="3"/>
    <x v="1"/>
    <x v="0"/>
    <s v="Rendah"/>
    <x v="1"/>
    <s v="sangat rendah"/>
  </r>
  <r>
    <s v="ORD01018"/>
    <x v="495"/>
    <s v="Sari Syahputra"/>
    <x v="32"/>
    <x v="4"/>
    <n v="6000"/>
    <n v="4"/>
    <n v="10"/>
    <n v="24000"/>
    <n v="2400"/>
    <n v="21600"/>
    <n v="59000"/>
    <n v="80600"/>
    <x v="2"/>
    <x v="4"/>
    <x v="2"/>
    <x v="3"/>
    <x v="0"/>
    <s v="Bagus"/>
    <x v="1"/>
    <s v="sangat rendah"/>
  </r>
  <r>
    <s v="ORD00740"/>
    <x v="496"/>
    <s v="Sari Halim"/>
    <x v="19"/>
    <x v="23"/>
    <n v="45000"/>
    <n v="3"/>
    <n v="10"/>
    <n v="135000"/>
    <n v="13500"/>
    <n v="121500"/>
    <n v="55000"/>
    <n v="176500"/>
    <x v="1"/>
    <x v="2"/>
    <x v="2"/>
    <x v="2"/>
    <x v="0"/>
    <s v="Rendah"/>
    <x v="2"/>
    <s v="normal"/>
  </r>
  <r>
    <s v="ORD01463"/>
    <x v="497"/>
    <s v="Citra Ananda"/>
    <x v="3"/>
    <x v="12"/>
    <n v="25000"/>
    <n v="4"/>
    <n v="10"/>
    <n v="100000"/>
    <n v="10000"/>
    <n v="90000"/>
    <n v="18000"/>
    <n v="108000"/>
    <x v="3"/>
    <x v="2"/>
    <x v="3"/>
    <x v="4"/>
    <x v="0"/>
    <s v="Bagus"/>
    <x v="0"/>
    <s v="rendah"/>
  </r>
  <r>
    <s v="ORD01230"/>
    <x v="498"/>
    <s v="Zahra Santoso"/>
    <x v="29"/>
    <x v="6"/>
    <n v="55000"/>
    <n v="3"/>
    <n v="5"/>
    <n v="165000"/>
    <n v="8250"/>
    <n v="156750"/>
    <n v="89000"/>
    <n v="245750"/>
    <x v="1"/>
    <x v="2"/>
    <x v="1"/>
    <x v="0"/>
    <x v="0"/>
    <s v="Standar"/>
    <x v="0"/>
    <s v="rendah"/>
  </r>
  <r>
    <s v="ORD01590"/>
    <x v="499"/>
    <s v="Citra Halim"/>
    <x v="32"/>
    <x v="1"/>
    <n v="17000"/>
    <n v="2"/>
    <n v="20"/>
    <n v="34000"/>
    <n v="6800"/>
    <n v="27200"/>
    <n v="59000"/>
    <n v="86200"/>
    <x v="2"/>
    <x v="2"/>
    <x v="2"/>
    <x v="4"/>
    <x v="0"/>
    <s v="Bagus"/>
    <x v="0"/>
    <s v="rendah"/>
  </r>
  <r>
    <s v="ORD00890"/>
    <x v="500"/>
    <s v="Lestari Ramadhani"/>
    <x v="27"/>
    <x v="3"/>
    <n v="14000"/>
    <n v="2"/>
    <n v="5"/>
    <n v="28000"/>
    <n v="1400"/>
    <n v="26600"/>
    <n v="18000"/>
    <n v="44600"/>
    <x v="0"/>
    <x v="2"/>
    <x v="4"/>
    <x v="2"/>
    <x v="0"/>
    <s v="Rendah"/>
    <x v="1"/>
    <s v="sangat rendah"/>
  </r>
  <r>
    <s v="ORD00694"/>
    <x v="501"/>
    <s v="Vina Kurniawan"/>
    <x v="5"/>
    <x v="2"/>
    <n v="5000"/>
    <n v="1"/>
    <n v="20"/>
    <n v="5000"/>
    <n v="1000"/>
    <n v="4000"/>
    <n v="78000"/>
    <n v="82000"/>
    <x v="3"/>
    <x v="2"/>
    <x v="2"/>
    <x v="2"/>
    <x v="0"/>
    <s v="Rendah"/>
    <x v="1"/>
    <s v="sangat rendah"/>
  </r>
  <r>
    <s v="ORD01148"/>
    <x v="502"/>
    <s v="Yani Hidayat"/>
    <x v="34"/>
    <x v="16"/>
    <n v="28000"/>
    <n v="2"/>
    <n v="15"/>
    <n v="56000"/>
    <n v="8400"/>
    <n v="47600"/>
    <n v="80000"/>
    <n v="127600"/>
    <x v="2"/>
    <x v="2"/>
    <x v="4"/>
    <x v="2"/>
    <x v="0"/>
    <s v="Rendah"/>
    <x v="0"/>
    <s v="rendah"/>
  </r>
  <r>
    <s v="ORD01423"/>
    <x v="503"/>
    <s v="Ani Hidayat"/>
    <x v="18"/>
    <x v="0"/>
    <n v="16000"/>
    <n v="5"/>
    <n v="15"/>
    <n v="80000"/>
    <n v="12000"/>
    <n v="68000"/>
    <n v="43000"/>
    <n v="111000"/>
    <x v="1"/>
    <x v="4"/>
    <x v="3"/>
    <x v="3"/>
    <x v="0"/>
    <s v="Bagus"/>
    <x v="2"/>
    <s v="normal"/>
  </r>
  <r>
    <s v="ORD01382"/>
    <x v="504"/>
    <s v="Tono Ananda"/>
    <x v="1"/>
    <x v="6"/>
    <n v="55000"/>
    <n v="4"/>
    <n v="5"/>
    <n v="220000"/>
    <n v="11000"/>
    <n v="209000"/>
    <n v="59000"/>
    <n v="268000"/>
    <x v="2"/>
    <x v="3"/>
    <x v="3"/>
    <x v="3"/>
    <x v="1"/>
    <s v="Bagus"/>
    <x v="2"/>
    <s v="normal"/>
  </r>
  <r>
    <s v="ORD01766"/>
    <x v="505"/>
    <s v="Erna Halim"/>
    <x v="18"/>
    <x v="7"/>
    <n v="12000"/>
    <n v="3"/>
    <n v="10"/>
    <n v="36000"/>
    <n v="3600"/>
    <n v="32400"/>
    <n v="43000"/>
    <n v="75400"/>
    <x v="1"/>
    <x v="2"/>
    <x v="0"/>
    <x v="3"/>
    <x v="0"/>
    <s v="Bagus"/>
    <x v="1"/>
    <s v="sangat rendah"/>
  </r>
  <r>
    <s v="ORD01000"/>
    <x v="506"/>
    <s v="Bella Setiawan"/>
    <x v="9"/>
    <x v="7"/>
    <n v="12000"/>
    <n v="3"/>
    <n v="10"/>
    <n v="36000"/>
    <n v="3600"/>
    <n v="32400"/>
    <n v="21000"/>
    <n v="53400"/>
    <x v="2"/>
    <x v="2"/>
    <x v="0"/>
    <x v="4"/>
    <x v="0"/>
    <s v="Bagus"/>
    <x v="1"/>
    <s v="sangat rendah"/>
  </r>
  <r>
    <s v="ORD01740"/>
    <x v="507"/>
    <s v="Wahyu Fauziah"/>
    <x v="28"/>
    <x v="14"/>
    <n v="18000"/>
    <n v="1"/>
    <n v="0"/>
    <n v="18000"/>
    <n v="0"/>
    <n v="18000"/>
    <n v="79000"/>
    <n v="97000"/>
    <x v="2"/>
    <x v="2"/>
    <x v="4"/>
    <x v="0"/>
    <x v="1"/>
    <s v="Standar"/>
    <x v="1"/>
    <s v="sangat rendah"/>
  </r>
  <r>
    <s v="ORD00947"/>
    <x v="508"/>
    <s v="Eka Saputra"/>
    <x v="25"/>
    <x v="19"/>
    <n v="35000"/>
    <n v="3"/>
    <n v="10"/>
    <n v="105000"/>
    <n v="10500"/>
    <n v="94500"/>
    <n v="48000"/>
    <n v="142500"/>
    <x v="0"/>
    <x v="2"/>
    <x v="1"/>
    <x v="3"/>
    <x v="0"/>
    <s v="Bagus"/>
    <x v="2"/>
    <s v="normal"/>
  </r>
  <r>
    <s v="ORD01517"/>
    <x v="509"/>
    <s v="Hana Halim"/>
    <x v="13"/>
    <x v="12"/>
    <n v="25000"/>
    <n v="1"/>
    <n v="0"/>
    <n v="25000"/>
    <n v="0"/>
    <n v="25000"/>
    <n v="87000"/>
    <n v="112000"/>
    <x v="0"/>
    <x v="2"/>
    <x v="3"/>
    <x v="2"/>
    <x v="0"/>
    <s v="Rendah"/>
    <x v="1"/>
    <s v="sangat rendah"/>
  </r>
  <r>
    <s v="ORD01038"/>
    <x v="510"/>
    <s v="Citra Halim"/>
    <x v="32"/>
    <x v="12"/>
    <n v="25000"/>
    <n v="5"/>
    <n v="10"/>
    <n v="125000"/>
    <n v="12500"/>
    <n v="112500"/>
    <n v="59000"/>
    <n v="171500"/>
    <x v="2"/>
    <x v="4"/>
    <x v="2"/>
    <x v="4"/>
    <x v="0"/>
    <s v="Bagus"/>
    <x v="2"/>
    <s v="normal"/>
  </r>
  <r>
    <s v="ORD00002"/>
    <x v="511"/>
    <s v="Yoga Saputra"/>
    <x v="7"/>
    <x v="13"/>
    <n v="17000"/>
    <n v="2"/>
    <n v="5"/>
    <n v="34000"/>
    <n v="1700"/>
    <n v="32300"/>
    <n v="15000"/>
    <n v="47300"/>
    <x v="3"/>
    <x v="2"/>
    <x v="1"/>
    <x v="3"/>
    <x v="1"/>
    <s v="Bagus"/>
    <x v="1"/>
    <s v="sangat rendah"/>
  </r>
  <r>
    <s v="ORD00002"/>
    <x v="511"/>
    <s v="Yoga Saputra"/>
    <x v="7"/>
    <x v="23"/>
    <n v="45000"/>
    <n v="3"/>
    <n v="15"/>
    <n v="135000"/>
    <n v="20250"/>
    <n v="114750"/>
    <n v="0"/>
    <n v="114750"/>
    <x v="3"/>
    <x v="2"/>
    <x v="1"/>
    <x v="3"/>
    <x v="1"/>
    <s v="Bagus"/>
    <x v="4"/>
    <s v="tinggi"/>
  </r>
  <r>
    <s v="ORD01570"/>
    <x v="512"/>
    <s v="Putri Wijaya"/>
    <x v="6"/>
    <x v="14"/>
    <n v="18000"/>
    <n v="4"/>
    <n v="5"/>
    <n v="72000"/>
    <n v="3600"/>
    <n v="68400"/>
    <n v="30000"/>
    <n v="98400"/>
    <x v="2"/>
    <x v="3"/>
    <x v="2"/>
    <x v="3"/>
    <x v="0"/>
    <s v="Bagus"/>
    <x v="1"/>
    <s v="sangat rendah"/>
  </r>
  <r>
    <s v="ORD01176"/>
    <x v="513"/>
    <s v="Yani Santoso"/>
    <x v="20"/>
    <x v="12"/>
    <n v="25000"/>
    <n v="1"/>
    <n v="15"/>
    <n v="25000"/>
    <n v="3750"/>
    <n v="21250"/>
    <n v="85000"/>
    <n v="106250"/>
    <x v="1"/>
    <x v="2"/>
    <x v="3"/>
    <x v="2"/>
    <x v="0"/>
    <s v="Rendah"/>
    <x v="1"/>
    <s v="sangat rendah"/>
  </r>
  <r>
    <s v="ORD00692"/>
    <x v="514"/>
    <s v="Eko Pradipta"/>
    <x v="18"/>
    <x v="10"/>
    <n v="45000"/>
    <n v="5"/>
    <n v="10"/>
    <n v="225000"/>
    <n v="22500"/>
    <n v="202500"/>
    <n v="43000"/>
    <n v="245500"/>
    <x v="0"/>
    <x v="2"/>
    <x v="4"/>
    <x v="1"/>
    <x v="1"/>
    <s v="Rendah"/>
    <x v="4"/>
    <s v="tinggi"/>
  </r>
  <r>
    <s v="ORD01523"/>
    <x v="515"/>
    <s v="Gita Ramadhani"/>
    <x v="17"/>
    <x v="15"/>
    <n v="4000"/>
    <n v="2"/>
    <n v="15"/>
    <n v="8000"/>
    <n v="1200"/>
    <n v="6800"/>
    <n v="50000"/>
    <n v="56800"/>
    <x v="1"/>
    <x v="2"/>
    <x v="1"/>
    <x v="3"/>
    <x v="0"/>
    <s v="Bagus"/>
    <x v="1"/>
    <s v="sangat rendah"/>
  </r>
  <r>
    <s v="ORD00829"/>
    <x v="516"/>
    <s v="Yoga Utami"/>
    <x v="19"/>
    <x v="22"/>
    <n v="18000"/>
    <n v="5"/>
    <n v="10"/>
    <n v="90000"/>
    <n v="9000"/>
    <n v="81000"/>
    <n v="55000"/>
    <n v="136000"/>
    <x v="0"/>
    <x v="4"/>
    <x v="2"/>
    <x v="4"/>
    <x v="1"/>
    <s v="Bagus"/>
    <x v="0"/>
    <s v="rendah"/>
  </r>
  <r>
    <s v="ORD00318"/>
    <x v="517"/>
    <s v="Gita Nugroho"/>
    <x v="35"/>
    <x v="16"/>
    <n v="28000"/>
    <n v="2"/>
    <n v="20"/>
    <n v="56000"/>
    <n v="11200"/>
    <n v="44800"/>
    <n v="76000"/>
    <n v="120800"/>
    <x v="3"/>
    <x v="2"/>
    <x v="2"/>
    <x v="1"/>
    <x v="0"/>
    <s v="Rendah"/>
    <x v="2"/>
    <s v="normal"/>
  </r>
  <r>
    <s v="ORD00318"/>
    <x v="517"/>
    <s v="Gita Nugroho"/>
    <x v="35"/>
    <x v="21"/>
    <n v="10000"/>
    <n v="5"/>
    <n v="10"/>
    <n v="50000"/>
    <n v="5000"/>
    <n v="45000"/>
    <n v="0"/>
    <n v="45000"/>
    <x v="3"/>
    <x v="2"/>
    <x v="2"/>
    <x v="1"/>
    <x v="0"/>
    <s v="Rendah"/>
    <x v="1"/>
    <s v="sangat rendah"/>
  </r>
  <r>
    <s v="ORD01100"/>
    <x v="518"/>
    <s v="Gita Budiman"/>
    <x v="33"/>
    <x v="8"/>
    <n v="14000"/>
    <n v="4"/>
    <n v="0"/>
    <n v="56000"/>
    <n v="0"/>
    <n v="56000"/>
    <n v="68000"/>
    <n v="124000"/>
    <x v="1"/>
    <x v="2"/>
    <x v="0"/>
    <x v="2"/>
    <x v="0"/>
    <s v="Rendah"/>
    <x v="1"/>
    <s v="sangat rendah"/>
  </r>
  <r>
    <s v="ORD00290"/>
    <x v="519"/>
    <s v="Zahra Wijaya"/>
    <x v="6"/>
    <x v="19"/>
    <n v="35000"/>
    <n v="2"/>
    <n v="10"/>
    <n v="70000"/>
    <n v="7000"/>
    <n v="63000"/>
    <n v="30000"/>
    <n v="93000"/>
    <x v="0"/>
    <x v="4"/>
    <x v="0"/>
    <x v="1"/>
    <x v="0"/>
    <s v="Rendah"/>
    <x v="0"/>
    <s v="rendah"/>
  </r>
  <r>
    <s v="ORD00101"/>
    <x v="520"/>
    <s v="Yani Maulana"/>
    <x v="5"/>
    <x v="16"/>
    <n v="28000"/>
    <n v="5"/>
    <n v="5"/>
    <n v="140000"/>
    <n v="7000"/>
    <n v="133000"/>
    <n v="78000"/>
    <n v="211000"/>
    <x v="3"/>
    <x v="2"/>
    <x v="1"/>
    <x v="1"/>
    <x v="0"/>
    <s v="Rendah"/>
    <x v="0"/>
    <s v="rendah"/>
  </r>
  <r>
    <s v="ORD00101"/>
    <x v="520"/>
    <s v="Yani Maulana"/>
    <x v="5"/>
    <x v="16"/>
    <n v="28000"/>
    <n v="4"/>
    <n v="20"/>
    <n v="112000"/>
    <n v="22400"/>
    <n v="89600"/>
    <n v="0"/>
    <n v="89600"/>
    <x v="3"/>
    <x v="2"/>
    <x v="1"/>
    <x v="1"/>
    <x v="0"/>
    <s v="Rendah"/>
    <x v="4"/>
    <s v="tinggi"/>
  </r>
  <r>
    <s v="ORD01207"/>
    <x v="521"/>
    <s v="Indra Rahmawati"/>
    <x v="3"/>
    <x v="16"/>
    <n v="28000"/>
    <n v="4"/>
    <n v="5"/>
    <n v="112000"/>
    <n v="5600"/>
    <n v="106400"/>
    <n v="18000"/>
    <n v="124400"/>
    <x v="2"/>
    <x v="2"/>
    <x v="3"/>
    <x v="1"/>
    <x v="1"/>
    <s v="Rendah"/>
    <x v="0"/>
    <s v="rendah"/>
  </r>
  <r>
    <s v="ORD01651"/>
    <x v="522"/>
    <s v="Zahra Halim"/>
    <x v="6"/>
    <x v="7"/>
    <n v="12000"/>
    <n v="3"/>
    <n v="20"/>
    <n v="36000"/>
    <n v="7200"/>
    <n v="28800"/>
    <n v="30000"/>
    <n v="58800"/>
    <x v="0"/>
    <x v="2"/>
    <x v="2"/>
    <x v="4"/>
    <x v="0"/>
    <s v="Bagus"/>
    <x v="0"/>
    <s v="rendah"/>
  </r>
  <r>
    <s v="ORD00683"/>
    <x v="523"/>
    <s v="Dina Halim"/>
    <x v="7"/>
    <x v="15"/>
    <n v="4000"/>
    <n v="1"/>
    <n v="10"/>
    <n v="4000"/>
    <n v="400"/>
    <n v="3600"/>
    <n v="15000"/>
    <n v="18600"/>
    <x v="0"/>
    <x v="2"/>
    <x v="0"/>
    <x v="2"/>
    <x v="0"/>
    <s v="Rendah"/>
    <x v="1"/>
    <s v="sangat rendah"/>
  </r>
  <r>
    <s v="ORD00917"/>
    <x v="524"/>
    <s v="Kartika Santoso"/>
    <x v="8"/>
    <x v="23"/>
    <n v="45000"/>
    <n v="1"/>
    <n v="15"/>
    <n v="45000"/>
    <n v="6750"/>
    <n v="38250"/>
    <n v="87000"/>
    <n v="125250"/>
    <x v="3"/>
    <x v="2"/>
    <x v="4"/>
    <x v="4"/>
    <x v="0"/>
    <s v="Bagus"/>
    <x v="0"/>
    <s v="rendah"/>
  </r>
  <r>
    <s v="ORD00768"/>
    <x v="525"/>
    <s v="Tono Ananda"/>
    <x v="1"/>
    <x v="16"/>
    <n v="28000"/>
    <n v="5"/>
    <n v="20"/>
    <n v="140000"/>
    <n v="28000"/>
    <n v="112000"/>
    <n v="59000"/>
    <n v="171000"/>
    <x v="3"/>
    <x v="2"/>
    <x v="1"/>
    <x v="0"/>
    <x v="1"/>
    <s v="Standar"/>
    <x v="4"/>
    <s v="tinggi"/>
  </r>
  <r>
    <s v="ORD01384"/>
    <x v="526"/>
    <s v="Bella Saputra"/>
    <x v="27"/>
    <x v="19"/>
    <n v="35000"/>
    <n v="2"/>
    <n v="20"/>
    <n v="70000"/>
    <n v="14000"/>
    <n v="56000"/>
    <n v="18000"/>
    <n v="74000"/>
    <x v="3"/>
    <x v="2"/>
    <x v="4"/>
    <x v="1"/>
    <x v="0"/>
    <s v="Rendah"/>
    <x v="2"/>
    <s v="normal"/>
  </r>
  <r>
    <s v="ORD00693"/>
    <x v="527"/>
    <s v="Erna Santoso"/>
    <x v="18"/>
    <x v="26"/>
    <n v="16000"/>
    <n v="4"/>
    <n v="10"/>
    <n v="64000"/>
    <n v="6400"/>
    <n v="57600"/>
    <n v="43000"/>
    <n v="100600"/>
    <x v="1"/>
    <x v="2"/>
    <x v="2"/>
    <x v="0"/>
    <x v="0"/>
    <s v="Standar"/>
    <x v="0"/>
    <s v="rendah"/>
  </r>
  <r>
    <s v="ORD01115"/>
    <x v="528"/>
    <s v="Yani Santoso"/>
    <x v="20"/>
    <x v="26"/>
    <n v="16000"/>
    <n v="3"/>
    <n v="5"/>
    <n v="48000"/>
    <n v="2400"/>
    <n v="45600"/>
    <n v="85000"/>
    <n v="130600"/>
    <x v="0"/>
    <x v="3"/>
    <x v="2"/>
    <x v="3"/>
    <x v="0"/>
    <s v="Bagus"/>
    <x v="1"/>
    <s v="sangat rendah"/>
  </r>
  <r>
    <s v="ORD01181"/>
    <x v="529"/>
    <s v="Bella Ananda"/>
    <x v="18"/>
    <x v="13"/>
    <n v="17000"/>
    <n v="1"/>
    <n v="5"/>
    <n v="17000"/>
    <n v="850"/>
    <n v="16150"/>
    <n v="43000"/>
    <n v="59150"/>
    <x v="0"/>
    <x v="2"/>
    <x v="2"/>
    <x v="4"/>
    <x v="0"/>
    <s v="Bagus"/>
    <x v="1"/>
    <s v="sangat rendah"/>
  </r>
  <r>
    <s v="ORD00440"/>
    <x v="530"/>
    <s v="Gita Kurniawan"/>
    <x v="5"/>
    <x v="5"/>
    <n v="50000"/>
    <n v="3"/>
    <n v="20"/>
    <n v="150000"/>
    <n v="30000"/>
    <n v="120000"/>
    <n v="78000"/>
    <n v="198000"/>
    <x v="0"/>
    <x v="2"/>
    <x v="3"/>
    <x v="3"/>
    <x v="0"/>
    <s v="Bagus"/>
    <x v="4"/>
    <s v="tinggi"/>
  </r>
  <r>
    <s v="ORD01744"/>
    <x v="531"/>
    <s v="Vina Kurniawan"/>
    <x v="5"/>
    <x v="3"/>
    <n v="14000"/>
    <n v="2"/>
    <n v="10"/>
    <n v="28000"/>
    <n v="2800"/>
    <n v="25200"/>
    <n v="78000"/>
    <n v="103200"/>
    <x v="2"/>
    <x v="2"/>
    <x v="3"/>
    <x v="3"/>
    <x v="0"/>
    <s v="Bagus"/>
    <x v="1"/>
    <s v="sangat rendah"/>
  </r>
  <r>
    <s v="ORD00252"/>
    <x v="532"/>
    <s v="Ani Kusuma"/>
    <x v="25"/>
    <x v="1"/>
    <n v="17000"/>
    <n v="5"/>
    <n v="5"/>
    <n v="85000"/>
    <n v="4250"/>
    <n v="80750"/>
    <n v="48000"/>
    <n v="128750"/>
    <x v="2"/>
    <x v="4"/>
    <x v="3"/>
    <x v="1"/>
    <x v="0"/>
    <s v="Rendah"/>
    <x v="1"/>
    <s v="sangat rendah"/>
  </r>
  <r>
    <s v="ORD00468"/>
    <x v="533"/>
    <s v="Qori Iskandar"/>
    <x v="12"/>
    <x v="17"/>
    <n v="15000"/>
    <n v="5"/>
    <n v="10"/>
    <n v="75000"/>
    <n v="7500"/>
    <n v="67500"/>
    <n v="74000"/>
    <n v="141500"/>
    <x v="0"/>
    <x v="2"/>
    <x v="4"/>
    <x v="0"/>
    <x v="0"/>
    <s v="Standar"/>
    <x v="0"/>
    <s v="rendah"/>
  </r>
  <r>
    <s v="ORD00468"/>
    <x v="533"/>
    <s v="Qori Iskandar"/>
    <x v="12"/>
    <x v="12"/>
    <n v="25000"/>
    <n v="4"/>
    <n v="20"/>
    <n v="100000"/>
    <n v="20000"/>
    <n v="80000"/>
    <n v="0"/>
    <n v="80000"/>
    <x v="0"/>
    <x v="2"/>
    <x v="4"/>
    <x v="0"/>
    <x v="0"/>
    <s v="Standar"/>
    <x v="2"/>
    <s v="normal"/>
  </r>
  <r>
    <s v="ORD00690"/>
    <x v="534"/>
    <s v="Indra Rahmawati"/>
    <x v="3"/>
    <x v="9"/>
    <n v="35000"/>
    <n v="1"/>
    <n v="10"/>
    <n v="35000"/>
    <n v="3500"/>
    <n v="31500"/>
    <n v="18000"/>
    <n v="49500"/>
    <x v="3"/>
    <x v="2"/>
    <x v="2"/>
    <x v="4"/>
    <x v="1"/>
    <s v="Bagus"/>
    <x v="1"/>
    <s v="sangat rendah"/>
  </r>
  <r>
    <s v="ORD01838"/>
    <x v="535"/>
    <s v="Gita Pradipta"/>
    <x v="8"/>
    <x v="12"/>
    <n v="25000"/>
    <n v="4"/>
    <n v="5"/>
    <n v="100000"/>
    <n v="5000"/>
    <n v="95000"/>
    <n v="87000"/>
    <n v="182000"/>
    <x v="3"/>
    <x v="2"/>
    <x v="1"/>
    <x v="0"/>
    <x v="0"/>
    <s v="Standar"/>
    <x v="1"/>
    <s v="sangat rendah"/>
  </r>
  <r>
    <s v="ORD01110"/>
    <x v="536"/>
    <s v="Yani Ananda"/>
    <x v="11"/>
    <x v="13"/>
    <n v="17000"/>
    <n v="2"/>
    <n v="0"/>
    <n v="34000"/>
    <n v="0"/>
    <n v="34000"/>
    <n v="56000"/>
    <n v="90000"/>
    <x v="3"/>
    <x v="2"/>
    <x v="2"/>
    <x v="1"/>
    <x v="0"/>
    <s v="Rendah"/>
    <x v="1"/>
    <s v="sangat rendah"/>
  </r>
  <r>
    <s v="ORD00056"/>
    <x v="537"/>
    <s v="Andi Budiman"/>
    <x v="18"/>
    <x v="5"/>
    <n v="50000"/>
    <n v="1"/>
    <n v="0"/>
    <n v="50000"/>
    <n v="0"/>
    <n v="50000"/>
    <n v="43000"/>
    <n v="93000"/>
    <x v="3"/>
    <x v="2"/>
    <x v="4"/>
    <x v="0"/>
    <x v="1"/>
    <s v="Standar"/>
    <x v="1"/>
    <s v="sangat rendah"/>
  </r>
  <r>
    <s v="ORD00314"/>
    <x v="538"/>
    <s v="Zahra Pradipta"/>
    <x v="29"/>
    <x v="0"/>
    <n v="16000"/>
    <n v="1"/>
    <n v="20"/>
    <n v="16000"/>
    <n v="3200"/>
    <n v="12800"/>
    <n v="89000"/>
    <n v="101800"/>
    <x v="1"/>
    <x v="2"/>
    <x v="3"/>
    <x v="4"/>
    <x v="0"/>
    <s v="Bagus"/>
    <x v="1"/>
    <s v="sangat rendah"/>
  </r>
  <r>
    <s v="ORD00415"/>
    <x v="539"/>
    <s v="Zahra Ananda"/>
    <x v="4"/>
    <x v="24"/>
    <n v="22000"/>
    <n v="1"/>
    <n v="15"/>
    <n v="22000"/>
    <n v="3300"/>
    <n v="18700"/>
    <n v="0"/>
    <n v="18700"/>
    <x v="0"/>
    <x v="2"/>
    <x v="0"/>
    <x v="0"/>
    <x v="0"/>
    <s v="Standar"/>
    <x v="1"/>
    <s v="sangat rendah"/>
  </r>
  <r>
    <s v="ORD00950"/>
    <x v="540"/>
    <s v="Arif Fauziah"/>
    <x v="22"/>
    <x v="8"/>
    <n v="14000"/>
    <n v="1"/>
    <n v="15"/>
    <n v="14000"/>
    <n v="2100"/>
    <n v="11900"/>
    <n v="80000"/>
    <n v="91900"/>
    <x v="3"/>
    <x v="2"/>
    <x v="4"/>
    <x v="2"/>
    <x v="1"/>
    <s v="Rendah"/>
    <x v="1"/>
    <s v="sangat rendah"/>
  </r>
  <r>
    <s v="ORD01623"/>
    <x v="541"/>
    <s v="Ani Puspita"/>
    <x v="0"/>
    <x v="17"/>
    <n v="15000"/>
    <n v="2"/>
    <n v="15"/>
    <n v="30000"/>
    <n v="4500"/>
    <n v="25500"/>
    <n v="67000"/>
    <n v="92500"/>
    <x v="0"/>
    <x v="2"/>
    <x v="2"/>
    <x v="3"/>
    <x v="0"/>
    <s v="Bagus"/>
    <x v="1"/>
    <s v="sangat rendah"/>
  </r>
  <r>
    <s v="ORD00253"/>
    <x v="542"/>
    <s v="Kartika Fauziah"/>
    <x v="11"/>
    <x v="11"/>
    <n v="30000"/>
    <n v="5"/>
    <n v="20"/>
    <n v="150000"/>
    <n v="30000"/>
    <n v="120000"/>
    <n v="56000"/>
    <n v="176000"/>
    <x v="1"/>
    <x v="2"/>
    <x v="0"/>
    <x v="1"/>
    <x v="0"/>
    <s v="Rendah"/>
    <x v="4"/>
    <s v="tinggi"/>
  </r>
  <r>
    <s v="ORD01247"/>
    <x v="543"/>
    <s v="Joko Maulana"/>
    <x v="36"/>
    <x v="7"/>
    <n v="12000"/>
    <n v="1"/>
    <n v="15"/>
    <n v="12000"/>
    <n v="1800"/>
    <n v="10200"/>
    <n v="49000"/>
    <n v="59200"/>
    <x v="1"/>
    <x v="4"/>
    <x v="4"/>
    <x v="2"/>
    <x v="1"/>
    <s v="Rendah"/>
    <x v="1"/>
    <s v="sangat rendah"/>
  </r>
  <r>
    <s v="ORD01396"/>
    <x v="544"/>
    <s v="Ani Hidayat"/>
    <x v="18"/>
    <x v="9"/>
    <n v="35000"/>
    <n v="4"/>
    <n v="20"/>
    <n v="140000"/>
    <n v="28000"/>
    <n v="112000"/>
    <n v="43000"/>
    <n v="155000"/>
    <x v="1"/>
    <x v="4"/>
    <x v="1"/>
    <x v="3"/>
    <x v="0"/>
    <s v="Bagus"/>
    <x v="4"/>
    <s v="tinggi"/>
  </r>
  <r>
    <s v="ORD00635"/>
    <x v="545"/>
    <s v="Galih Saputra"/>
    <x v="30"/>
    <x v="14"/>
    <n v="18000"/>
    <n v="3"/>
    <n v="20"/>
    <n v="54000"/>
    <n v="10800"/>
    <n v="43200"/>
    <n v="97000"/>
    <n v="140200"/>
    <x v="0"/>
    <x v="3"/>
    <x v="4"/>
    <x v="1"/>
    <x v="1"/>
    <s v="Rendah"/>
    <x v="2"/>
    <s v="normal"/>
  </r>
  <r>
    <s v="ORD00055"/>
    <x v="546"/>
    <s v="Bayu Ramadhani"/>
    <x v="13"/>
    <x v="16"/>
    <n v="28000"/>
    <n v="4"/>
    <n v="5"/>
    <n v="112000"/>
    <n v="5600"/>
    <n v="106400"/>
    <n v="87000"/>
    <n v="193400"/>
    <x v="1"/>
    <x v="2"/>
    <x v="4"/>
    <x v="4"/>
    <x v="1"/>
    <s v="Bagus"/>
    <x v="0"/>
    <s v="rendah"/>
  </r>
  <r>
    <s v="ORD00055"/>
    <x v="546"/>
    <s v="Bayu Ramadhani"/>
    <x v="13"/>
    <x v="4"/>
    <n v="6000"/>
    <n v="5"/>
    <n v="5"/>
    <n v="30000"/>
    <n v="1500"/>
    <n v="28500"/>
    <n v="0"/>
    <n v="28500"/>
    <x v="1"/>
    <x v="2"/>
    <x v="4"/>
    <x v="4"/>
    <x v="1"/>
    <s v="Bagus"/>
    <x v="1"/>
    <s v="sangat rendah"/>
  </r>
  <r>
    <s v="ORD00607"/>
    <x v="547"/>
    <s v="Andi Budiman"/>
    <x v="18"/>
    <x v="6"/>
    <n v="55000"/>
    <n v="5"/>
    <n v="5"/>
    <n v="275000"/>
    <n v="13750"/>
    <n v="261250"/>
    <n v="43000"/>
    <n v="304250"/>
    <x v="0"/>
    <x v="2"/>
    <x v="2"/>
    <x v="1"/>
    <x v="1"/>
    <s v="Rendah"/>
    <x v="2"/>
    <s v="normal"/>
  </r>
  <r>
    <s v="ORD01861"/>
    <x v="548"/>
    <s v="Qori Syahputra"/>
    <x v="6"/>
    <x v="8"/>
    <n v="14000"/>
    <n v="1"/>
    <n v="10"/>
    <n v="14000"/>
    <n v="1400"/>
    <n v="12600"/>
    <n v="30000"/>
    <n v="42600"/>
    <x v="2"/>
    <x v="2"/>
    <x v="1"/>
    <x v="0"/>
    <x v="0"/>
    <s v="Standar"/>
    <x v="1"/>
    <s v="sangat rendah"/>
  </r>
  <r>
    <s v="ORD01635"/>
    <x v="549"/>
    <s v="Aulia Puspita"/>
    <x v="25"/>
    <x v="5"/>
    <n v="50000"/>
    <n v="3"/>
    <n v="0"/>
    <n v="150000"/>
    <n v="0"/>
    <n v="150000"/>
    <n v="48000"/>
    <n v="198000"/>
    <x v="1"/>
    <x v="2"/>
    <x v="2"/>
    <x v="2"/>
    <x v="0"/>
    <s v="Rendah"/>
    <x v="1"/>
    <s v="sangat rendah"/>
  </r>
  <r>
    <s v="ORD01620"/>
    <x v="550"/>
    <s v="Fitri Nugroho"/>
    <x v="36"/>
    <x v="25"/>
    <n v="40000"/>
    <n v="1"/>
    <n v="15"/>
    <n v="40000"/>
    <n v="6000"/>
    <n v="34000"/>
    <n v="49000"/>
    <n v="83000"/>
    <x v="2"/>
    <x v="2"/>
    <x v="1"/>
    <x v="3"/>
    <x v="0"/>
    <s v="Bagus"/>
    <x v="0"/>
    <s v="rendah"/>
  </r>
  <r>
    <s v="ORD01698"/>
    <x v="551"/>
    <s v="Putri Ananda"/>
    <x v="2"/>
    <x v="16"/>
    <n v="28000"/>
    <n v="1"/>
    <n v="20"/>
    <n v="28000"/>
    <n v="5600"/>
    <n v="22400"/>
    <n v="26000"/>
    <n v="48400"/>
    <x v="3"/>
    <x v="2"/>
    <x v="0"/>
    <x v="3"/>
    <x v="0"/>
    <s v="Bagus"/>
    <x v="0"/>
    <s v="rendah"/>
  </r>
  <r>
    <s v="ORD00488"/>
    <x v="552"/>
    <s v="Dewi Wijaya"/>
    <x v="6"/>
    <x v="8"/>
    <n v="14000"/>
    <n v="3"/>
    <n v="5"/>
    <n v="42000"/>
    <n v="2100"/>
    <n v="39900"/>
    <n v="30000"/>
    <n v="69900"/>
    <x v="0"/>
    <x v="2"/>
    <x v="1"/>
    <x v="4"/>
    <x v="0"/>
    <s v="Bagus"/>
    <x v="1"/>
    <s v="sangat rendah"/>
  </r>
  <r>
    <s v="ORD01026"/>
    <x v="553"/>
    <s v="Erna Fauziah"/>
    <x v="11"/>
    <x v="1"/>
    <n v="17000"/>
    <n v="4"/>
    <n v="20"/>
    <n v="68000"/>
    <n v="13600"/>
    <n v="54400"/>
    <n v="56000"/>
    <n v="110400"/>
    <x v="2"/>
    <x v="2"/>
    <x v="1"/>
    <x v="0"/>
    <x v="0"/>
    <s v="Standar"/>
    <x v="2"/>
    <s v="normal"/>
  </r>
  <r>
    <s v="ORD01654"/>
    <x v="554"/>
    <s v="Dewi Puspita"/>
    <x v="6"/>
    <x v="14"/>
    <n v="18000"/>
    <n v="3"/>
    <n v="10"/>
    <n v="54000"/>
    <n v="5400"/>
    <n v="48600"/>
    <n v="30000"/>
    <n v="78600"/>
    <x v="3"/>
    <x v="2"/>
    <x v="4"/>
    <x v="2"/>
    <x v="0"/>
    <s v="Rendah"/>
    <x v="0"/>
    <s v="rendah"/>
  </r>
  <r>
    <s v="ORD01531"/>
    <x v="555"/>
    <s v="Kartika Hidayat"/>
    <x v="10"/>
    <x v="26"/>
    <n v="16000"/>
    <n v="1"/>
    <n v="20"/>
    <n v="16000"/>
    <n v="3200"/>
    <n v="12800"/>
    <n v="84000"/>
    <n v="96800"/>
    <x v="3"/>
    <x v="2"/>
    <x v="3"/>
    <x v="2"/>
    <x v="0"/>
    <s v="Rendah"/>
    <x v="1"/>
    <s v="sangat rendah"/>
  </r>
  <r>
    <s v="ORD01387"/>
    <x v="556"/>
    <s v="Yani Santoso"/>
    <x v="20"/>
    <x v="26"/>
    <n v="16000"/>
    <n v="5"/>
    <n v="20"/>
    <n v="80000"/>
    <n v="16000"/>
    <n v="64000"/>
    <n v="85000"/>
    <n v="149000"/>
    <x v="2"/>
    <x v="2"/>
    <x v="4"/>
    <x v="1"/>
    <x v="0"/>
    <s v="Rendah"/>
    <x v="2"/>
    <s v="normal"/>
  </r>
  <r>
    <s v="ORD01224"/>
    <x v="557"/>
    <s v="Erna Santoso"/>
    <x v="18"/>
    <x v="14"/>
    <n v="18000"/>
    <n v="4"/>
    <n v="5"/>
    <n v="72000"/>
    <n v="3600"/>
    <n v="68400"/>
    <n v="43000"/>
    <n v="111400"/>
    <x v="0"/>
    <x v="2"/>
    <x v="4"/>
    <x v="1"/>
    <x v="0"/>
    <s v="Rendah"/>
    <x v="1"/>
    <s v="sangat rendah"/>
  </r>
  <r>
    <s v="ORD00758"/>
    <x v="558"/>
    <s v="Dewi Setiawan"/>
    <x v="30"/>
    <x v="18"/>
    <n v="16000"/>
    <n v="4"/>
    <n v="20"/>
    <n v="64000"/>
    <n v="12800"/>
    <n v="51200"/>
    <n v="97000"/>
    <n v="148200"/>
    <x v="3"/>
    <x v="2"/>
    <x v="3"/>
    <x v="3"/>
    <x v="0"/>
    <s v="Bagus"/>
    <x v="2"/>
    <s v="normal"/>
  </r>
  <r>
    <s v="ORD01866"/>
    <x v="559"/>
    <s v="Bella Ananda"/>
    <x v="18"/>
    <x v="13"/>
    <n v="17000"/>
    <n v="4"/>
    <n v="5"/>
    <n v="68000"/>
    <n v="3400"/>
    <n v="64600"/>
    <n v="43000"/>
    <n v="107600"/>
    <x v="3"/>
    <x v="2"/>
    <x v="4"/>
    <x v="0"/>
    <x v="0"/>
    <s v="Standar"/>
    <x v="1"/>
    <s v="sangat rendah"/>
  </r>
  <r>
    <s v="ORD01418"/>
    <x v="560"/>
    <s v="Fitri Setiawan"/>
    <x v="23"/>
    <x v="16"/>
    <n v="28000"/>
    <n v="1"/>
    <n v="5"/>
    <n v="28000"/>
    <n v="1400"/>
    <n v="26600"/>
    <n v="49000"/>
    <n v="75600"/>
    <x v="3"/>
    <x v="2"/>
    <x v="3"/>
    <x v="2"/>
    <x v="0"/>
    <s v="Rendah"/>
    <x v="1"/>
    <s v="sangat rendah"/>
  </r>
  <r>
    <s v="ORD00819"/>
    <x v="561"/>
    <s v="Putri Iskandar"/>
    <x v="25"/>
    <x v="14"/>
    <n v="18000"/>
    <n v="5"/>
    <n v="0"/>
    <n v="90000"/>
    <n v="0"/>
    <n v="90000"/>
    <n v="48000"/>
    <n v="138000"/>
    <x v="0"/>
    <x v="4"/>
    <x v="1"/>
    <x v="3"/>
    <x v="0"/>
    <s v="Bagus"/>
    <x v="1"/>
    <s v="sangat rendah"/>
  </r>
  <r>
    <s v="ORD01780"/>
    <x v="562"/>
    <s v="Dimas Halim"/>
    <x v="17"/>
    <x v="19"/>
    <n v="35000"/>
    <n v="4"/>
    <n v="10"/>
    <n v="140000"/>
    <n v="14000"/>
    <n v="126000"/>
    <n v="50000"/>
    <n v="176000"/>
    <x v="3"/>
    <x v="2"/>
    <x v="1"/>
    <x v="4"/>
    <x v="1"/>
    <s v="Bagus"/>
    <x v="2"/>
    <s v="normal"/>
  </r>
  <r>
    <s v="ORD01722"/>
    <x v="563"/>
    <s v="Bella Pradipta"/>
    <x v="19"/>
    <x v="0"/>
    <n v="16000"/>
    <n v="4"/>
    <n v="5"/>
    <n v="64000"/>
    <n v="3200"/>
    <n v="60800"/>
    <n v="55000"/>
    <n v="115800"/>
    <x v="2"/>
    <x v="2"/>
    <x v="0"/>
    <x v="2"/>
    <x v="0"/>
    <s v="Rendah"/>
    <x v="1"/>
    <s v="sangat rendah"/>
  </r>
  <r>
    <s v="ORD00348"/>
    <x v="564"/>
    <s v="Clara Budiman"/>
    <x v="24"/>
    <x v="26"/>
    <n v="16000"/>
    <n v="1"/>
    <n v="0"/>
    <n v="16000"/>
    <n v="0"/>
    <n v="16000"/>
    <n v="93000"/>
    <n v="109000"/>
    <x v="0"/>
    <x v="3"/>
    <x v="0"/>
    <x v="3"/>
    <x v="0"/>
    <s v="Bagus"/>
    <x v="1"/>
    <s v="sangat rendah"/>
  </r>
  <r>
    <s v="ORD00348"/>
    <x v="564"/>
    <s v="Clara Budiman"/>
    <x v="24"/>
    <x v="23"/>
    <n v="45000"/>
    <n v="4"/>
    <n v="20"/>
    <n v="180000"/>
    <n v="36000"/>
    <n v="144000"/>
    <n v="0"/>
    <n v="144000"/>
    <x v="0"/>
    <x v="3"/>
    <x v="0"/>
    <x v="3"/>
    <x v="0"/>
    <s v="Bagus"/>
    <x v="3"/>
    <s v="sangat tinggi"/>
  </r>
  <r>
    <s v="ORD01777"/>
    <x v="565"/>
    <s v="Made Setiawan"/>
    <x v="22"/>
    <x v="18"/>
    <n v="16000"/>
    <n v="2"/>
    <n v="0"/>
    <n v="32000"/>
    <n v="0"/>
    <n v="32000"/>
    <n v="80000"/>
    <n v="112000"/>
    <x v="0"/>
    <x v="2"/>
    <x v="3"/>
    <x v="3"/>
    <x v="1"/>
    <s v="Bagus"/>
    <x v="1"/>
    <s v="sangat rendah"/>
  </r>
  <r>
    <s v="ORD00019"/>
    <x v="566"/>
    <s v="Joko Nugroho"/>
    <x v="26"/>
    <x v="0"/>
    <n v="16000"/>
    <n v="1"/>
    <n v="10"/>
    <n v="16000"/>
    <n v="1600"/>
    <n v="14400"/>
    <n v="28000"/>
    <n v="42400"/>
    <x v="1"/>
    <x v="2"/>
    <x v="1"/>
    <x v="0"/>
    <x v="1"/>
    <s v="Standar"/>
    <x v="1"/>
    <s v="sangat rendah"/>
  </r>
  <r>
    <s v="ORD01134"/>
    <x v="567"/>
    <s v="Wahyu Pradipta"/>
    <x v="30"/>
    <x v="6"/>
    <n v="55000"/>
    <n v="1"/>
    <n v="20"/>
    <n v="55000"/>
    <n v="11000"/>
    <n v="44000"/>
    <n v="97000"/>
    <n v="141000"/>
    <x v="1"/>
    <x v="2"/>
    <x v="1"/>
    <x v="2"/>
    <x v="1"/>
    <s v="Rendah"/>
    <x v="2"/>
    <s v="normal"/>
  </r>
  <r>
    <s v="ORD01225"/>
    <x v="568"/>
    <s v="Zahra Santoso"/>
    <x v="29"/>
    <x v="18"/>
    <n v="16000"/>
    <n v="3"/>
    <n v="10"/>
    <n v="48000"/>
    <n v="4800"/>
    <n v="43200"/>
    <n v="89000"/>
    <n v="132200"/>
    <x v="2"/>
    <x v="2"/>
    <x v="2"/>
    <x v="2"/>
    <x v="0"/>
    <s v="Rendah"/>
    <x v="1"/>
    <s v="sangat rendah"/>
  </r>
  <r>
    <s v="ORD00571"/>
    <x v="569"/>
    <s v="Yani Setiawan"/>
    <x v="35"/>
    <x v="11"/>
    <n v="30000"/>
    <n v="4"/>
    <n v="10"/>
    <n v="120000"/>
    <n v="12000"/>
    <n v="108000"/>
    <n v="76000"/>
    <n v="184000"/>
    <x v="2"/>
    <x v="2"/>
    <x v="3"/>
    <x v="4"/>
    <x v="0"/>
    <s v="Bagus"/>
    <x v="2"/>
    <s v="normal"/>
  </r>
  <r>
    <s v="ORD00161"/>
    <x v="570"/>
    <s v="Eka Maulana"/>
    <x v="35"/>
    <x v="4"/>
    <n v="6000"/>
    <n v="5"/>
    <n v="5"/>
    <n v="30000"/>
    <n v="1500"/>
    <n v="28500"/>
    <n v="76000"/>
    <n v="104500"/>
    <x v="2"/>
    <x v="2"/>
    <x v="2"/>
    <x v="2"/>
    <x v="0"/>
    <s v="Rendah"/>
    <x v="1"/>
    <s v="sangat rendah"/>
  </r>
  <r>
    <s v="ORD00161"/>
    <x v="570"/>
    <s v="Eka Maulana"/>
    <x v="35"/>
    <x v="26"/>
    <n v="16000"/>
    <n v="3"/>
    <n v="15"/>
    <n v="48000"/>
    <n v="7200"/>
    <n v="40800"/>
    <n v="0"/>
    <n v="40800"/>
    <x v="2"/>
    <x v="2"/>
    <x v="2"/>
    <x v="2"/>
    <x v="0"/>
    <s v="Rendah"/>
    <x v="0"/>
    <s v="rendah"/>
  </r>
  <r>
    <s v="ORD01865"/>
    <x v="571"/>
    <s v="Hana Saputra"/>
    <x v="21"/>
    <x v="13"/>
    <n v="17000"/>
    <n v="5"/>
    <n v="0"/>
    <n v="85000"/>
    <n v="0"/>
    <n v="85000"/>
    <n v="72000"/>
    <n v="157000"/>
    <x v="0"/>
    <x v="2"/>
    <x v="1"/>
    <x v="2"/>
    <x v="0"/>
    <s v="Rendah"/>
    <x v="1"/>
    <s v="sangat rendah"/>
  </r>
  <r>
    <s v="ORD01252"/>
    <x v="572"/>
    <s v="Erna Maulana"/>
    <x v="13"/>
    <x v="21"/>
    <n v="10000"/>
    <n v="1"/>
    <n v="0"/>
    <n v="10000"/>
    <n v="0"/>
    <n v="10000"/>
    <n v="87000"/>
    <n v="97000"/>
    <x v="3"/>
    <x v="2"/>
    <x v="4"/>
    <x v="4"/>
    <x v="0"/>
    <s v="Bagus"/>
    <x v="1"/>
    <s v="sangat rendah"/>
  </r>
  <r>
    <s v="ORD01027"/>
    <x v="573"/>
    <s v="Joko Ananda"/>
    <x v="10"/>
    <x v="25"/>
    <n v="40000"/>
    <n v="2"/>
    <n v="0"/>
    <n v="80000"/>
    <n v="0"/>
    <n v="80000"/>
    <n v="84000"/>
    <n v="164000"/>
    <x v="3"/>
    <x v="2"/>
    <x v="0"/>
    <x v="2"/>
    <x v="1"/>
    <s v="Rendah"/>
    <x v="1"/>
    <s v="sangat rendah"/>
  </r>
  <r>
    <s v="ORD01264"/>
    <x v="574"/>
    <s v="Vina Hidayat"/>
    <x v="29"/>
    <x v="12"/>
    <n v="25000"/>
    <n v="2"/>
    <n v="10"/>
    <n v="50000"/>
    <n v="5000"/>
    <n v="45000"/>
    <n v="89000"/>
    <n v="134000"/>
    <x v="2"/>
    <x v="4"/>
    <x v="4"/>
    <x v="1"/>
    <x v="0"/>
    <s v="Rendah"/>
    <x v="1"/>
    <s v="sangat rendah"/>
  </r>
  <r>
    <s v="ORD00766"/>
    <x v="575"/>
    <s v="Clara Hidayat"/>
    <x v="14"/>
    <x v="23"/>
    <n v="45000"/>
    <n v="3"/>
    <n v="5"/>
    <n v="135000"/>
    <n v="6750"/>
    <n v="128250"/>
    <n v="46000"/>
    <n v="174250"/>
    <x v="2"/>
    <x v="4"/>
    <x v="3"/>
    <x v="4"/>
    <x v="0"/>
    <s v="Bagus"/>
    <x v="0"/>
    <s v="rendah"/>
  </r>
  <r>
    <s v="ORD00188"/>
    <x v="576"/>
    <s v="Yani Saputra"/>
    <x v="6"/>
    <x v="4"/>
    <n v="6000"/>
    <n v="5"/>
    <n v="10"/>
    <n v="30000"/>
    <n v="3000"/>
    <n v="27000"/>
    <n v="30000"/>
    <n v="57000"/>
    <x v="0"/>
    <x v="3"/>
    <x v="2"/>
    <x v="0"/>
    <x v="0"/>
    <s v="Standar"/>
    <x v="1"/>
    <s v="sangat rendah"/>
  </r>
  <r>
    <s v="ORD00188"/>
    <x v="576"/>
    <s v="Yani Saputra"/>
    <x v="6"/>
    <x v="2"/>
    <n v="5000"/>
    <n v="5"/>
    <n v="10"/>
    <n v="25000"/>
    <n v="2500"/>
    <n v="22500"/>
    <n v="0"/>
    <n v="22500"/>
    <x v="0"/>
    <x v="3"/>
    <x v="2"/>
    <x v="0"/>
    <x v="0"/>
    <s v="Standar"/>
    <x v="1"/>
    <s v="sangat rendah"/>
  </r>
  <r>
    <s v="ORD00715"/>
    <x v="577"/>
    <s v="Dewi Kurniawan"/>
    <x v="35"/>
    <x v="8"/>
    <n v="14000"/>
    <n v="4"/>
    <n v="15"/>
    <n v="56000"/>
    <n v="8400"/>
    <n v="47600"/>
    <n v="76000"/>
    <n v="123600"/>
    <x v="1"/>
    <x v="2"/>
    <x v="4"/>
    <x v="4"/>
    <x v="0"/>
    <s v="Bagus"/>
    <x v="0"/>
    <s v="rendah"/>
  </r>
  <r>
    <s v="ORD01179"/>
    <x v="578"/>
    <s v="Gita Nugroho"/>
    <x v="35"/>
    <x v="1"/>
    <n v="17000"/>
    <n v="4"/>
    <n v="10"/>
    <n v="68000"/>
    <n v="6800"/>
    <n v="61200"/>
    <n v="76000"/>
    <n v="137200"/>
    <x v="3"/>
    <x v="2"/>
    <x v="1"/>
    <x v="0"/>
    <x v="0"/>
    <s v="Standar"/>
    <x v="0"/>
    <s v="rendah"/>
  </r>
  <r>
    <s v="ORD00065"/>
    <x v="579"/>
    <s v="Umar Setiawan"/>
    <x v="21"/>
    <x v="17"/>
    <n v="15000"/>
    <n v="5"/>
    <n v="0"/>
    <n v="75000"/>
    <n v="0"/>
    <n v="75000"/>
    <n v="72000"/>
    <n v="147000"/>
    <x v="1"/>
    <x v="2"/>
    <x v="1"/>
    <x v="3"/>
    <x v="1"/>
    <s v="Bagus"/>
    <x v="1"/>
    <s v="sangat rendah"/>
  </r>
  <r>
    <s v="ORD00065"/>
    <x v="579"/>
    <s v="Umar Setiawan"/>
    <x v="21"/>
    <x v="11"/>
    <n v="30000"/>
    <n v="1"/>
    <n v="10"/>
    <n v="30000"/>
    <n v="3000"/>
    <n v="27000"/>
    <n v="0"/>
    <n v="27000"/>
    <x v="1"/>
    <x v="2"/>
    <x v="1"/>
    <x v="3"/>
    <x v="1"/>
    <s v="Bagus"/>
    <x v="1"/>
    <s v="sangat rendah"/>
  </r>
  <r>
    <s v="ORD01807"/>
    <x v="580"/>
    <s v="Bella Santoso"/>
    <x v="2"/>
    <x v="4"/>
    <n v="6000"/>
    <n v="1"/>
    <n v="0"/>
    <n v="6000"/>
    <n v="0"/>
    <n v="6000"/>
    <n v="26000"/>
    <n v="32000"/>
    <x v="2"/>
    <x v="4"/>
    <x v="0"/>
    <x v="0"/>
    <x v="0"/>
    <s v="Standar"/>
    <x v="1"/>
    <s v="sangat rendah"/>
  </r>
  <r>
    <s v="ORD01474"/>
    <x v="581"/>
    <s v="Rizky Ananda"/>
    <x v="8"/>
    <x v="10"/>
    <n v="45000"/>
    <n v="3"/>
    <n v="15"/>
    <n v="135000"/>
    <n v="20250"/>
    <n v="114750"/>
    <n v="87000"/>
    <n v="201750"/>
    <x v="0"/>
    <x v="2"/>
    <x v="1"/>
    <x v="0"/>
    <x v="1"/>
    <s v="Standar"/>
    <x v="4"/>
    <s v="tinggi"/>
  </r>
  <r>
    <s v="ORD01602"/>
    <x v="582"/>
    <s v="Qori Hidayat"/>
    <x v="15"/>
    <x v="18"/>
    <n v="16000"/>
    <n v="1"/>
    <n v="0"/>
    <n v="16000"/>
    <n v="0"/>
    <n v="16000"/>
    <n v="17000"/>
    <n v="33000"/>
    <x v="3"/>
    <x v="2"/>
    <x v="3"/>
    <x v="0"/>
    <x v="0"/>
    <s v="Standar"/>
    <x v="1"/>
    <s v="sangat rendah"/>
  </r>
  <r>
    <s v="ORD01457"/>
    <x v="583"/>
    <s v="Vina Halim"/>
    <x v="8"/>
    <x v="19"/>
    <n v="35000"/>
    <n v="2"/>
    <n v="10"/>
    <n v="70000"/>
    <n v="7000"/>
    <n v="63000"/>
    <n v="87000"/>
    <n v="150000"/>
    <x v="3"/>
    <x v="2"/>
    <x v="0"/>
    <x v="1"/>
    <x v="0"/>
    <s v="Rendah"/>
    <x v="0"/>
    <s v="rendah"/>
  </r>
  <r>
    <s v="ORD01082"/>
    <x v="584"/>
    <s v="Dewi Hidayat"/>
    <x v="3"/>
    <x v="6"/>
    <n v="55000"/>
    <n v="4"/>
    <n v="0"/>
    <n v="220000"/>
    <n v="0"/>
    <n v="220000"/>
    <n v="18000"/>
    <n v="238000"/>
    <x v="0"/>
    <x v="2"/>
    <x v="1"/>
    <x v="2"/>
    <x v="0"/>
    <s v="Rendah"/>
    <x v="1"/>
    <s v="sangat rendah"/>
  </r>
  <r>
    <s v="ORD01272"/>
    <x v="585"/>
    <s v="Bella Iskandar"/>
    <x v="1"/>
    <x v="18"/>
    <n v="16000"/>
    <n v="5"/>
    <n v="0"/>
    <n v="80000"/>
    <n v="0"/>
    <n v="80000"/>
    <n v="59000"/>
    <n v="139000"/>
    <x v="2"/>
    <x v="2"/>
    <x v="3"/>
    <x v="1"/>
    <x v="0"/>
    <s v="Rendah"/>
    <x v="1"/>
    <s v="sangat rendah"/>
  </r>
  <r>
    <s v="ORD00165"/>
    <x v="586"/>
    <s v="Dewi Setiawan"/>
    <x v="30"/>
    <x v="16"/>
    <n v="28000"/>
    <n v="3"/>
    <n v="10"/>
    <n v="84000"/>
    <n v="8400"/>
    <n v="75600"/>
    <n v="97000"/>
    <n v="172600"/>
    <x v="2"/>
    <x v="2"/>
    <x v="4"/>
    <x v="4"/>
    <x v="0"/>
    <s v="Bagus"/>
    <x v="0"/>
    <s v="rendah"/>
  </r>
  <r>
    <s v="ORD00165"/>
    <x v="586"/>
    <s v="Dewi Setiawan"/>
    <x v="30"/>
    <x v="15"/>
    <n v="4000"/>
    <n v="5"/>
    <n v="0"/>
    <n v="20000"/>
    <n v="0"/>
    <n v="20000"/>
    <n v="0"/>
    <n v="20000"/>
    <x v="2"/>
    <x v="2"/>
    <x v="4"/>
    <x v="4"/>
    <x v="0"/>
    <s v="Bagus"/>
    <x v="1"/>
    <s v="sangat rendah"/>
  </r>
  <r>
    <s v="ORD00934"/>
    <x v="587"/>
    <s v="Bella Ramadhani"/>
    <x v="20"/>
    <x v="14"/>
    <n v="18000"/>
    <n v="1"/>
    <n v="10"/>
    <n v="18000"/>
    <n v="1800"/>
    <n v="16200"/>
    <n v="85000"/>
    <n v="101200"/>
    <x v="0"/>
    <x v="2"/>
    <x v="4"/>
    <x v="2"/>
    <x v="0"/>
    <s v="Rendah"/>
    <x v="1"/>
    <s v="sangat rendah"/>
  </r>
  <r>
    <s v="ORD01713"/>
    <x v="588"/>
    <s v="Gita Saputra"/>
    <x v="21"/>
    <x v="14"/>
    <n v="18000"/>
    <n v="2"/>
    <n v="10"/>
    <n v="36000"/>
    <n v="3600"/>
    <n v="32400"/>
    <n v="72000"/>
    <n v="104400"/>
    <x v="3"/>
    <x v="2"/>
    <x v="2"/>
    <x v="1"/>
    <x v="0"/>
    <s v="Rendah"/>
    <x v="1"/>
    <s v="sangat rendah"/>
  </r>
  <r>
    <s v="ORD01665"/>
    <x v="589"/>
    <s v="Dina Setiawan"/>
    <x v="14"/>
    <x v="0"/>
    <n v="16000"/>
    <n v="4"/>
    <n v="10"/>
    <n v="64000"/>
    <n v="6400"/>
    <n v="57600"/>
    <n v="46000"/>
    <n v="103600"/>
    <x v="1"/>
    <x v="2"/>
    <x v="3"/>
    <x v="4"/>
    <x v="0"/>
    <s v="Bagus"/>
    <x v="0"/>
    <s v="rendah"/>
  </r>
  <r>
    <s v="ORD01750"/>
    <x v="590"/>
    <s v="Clara Kusuma"/>
    <x v="30"/>
    <x v="18"/>
    <n v="16000"/>
    <n v="3"/>
    <n v="0"/>
    <n v="48000"/>
    <n v="0"/>
    <n v="48000"/>
    <n v="97000"/>
    <n v="145000"/>
    <x v="2"/>
    <x v="4"/>
    <x v="1"/>
    <x v="1"/>
    <x v="0"/>
    <s v="Rendah"/>
    <x v="1"/>
    <s v="sangat rendah"/>
  </r>
  <r>
    <s v="ORD00092"/>
    <x v="591"/>
    <s v="Tono Saputra"/>
    <x v="37"/>
    <x v="3"/>
    <n v="14000"/>
    <n v="5"/>
    <n v="5"/>
    <n v="70000"/>
    <n v="3500"/>
    <n v="66500"/>
    <n v="57000"/>
    <n v="123500"/>
    <x v="3"/>
    <x v="2"/>
    <x v="3"/>
    <x v="2"/>
    <x v="1"/>
    <s v="Rendah"/>
    <x v="1"/>
    <s v="sangat rendah"/>
  </r>
  <r>
    <s v="ORD01152"/>
    <x v="592"/>
    <s v="Fitri Maulana"/>
    <x v="17"/>
    <x v="16"/>
    <n v="28000"/>
    <n v="4"/>
    <n v="15"/>
    <n v="112000"/>
    <n v="16800"/>
    <n v="95200"/>
    <n v="50000"/>
    <n v="145200"/>
    <x v="2"/>
    <x v="2"/>
    <x v="4"/>
    <x v="3"/>
    <x v="0"/>
    <s v="Bagus"/>
    <x v="2"/>
    <s v="normal"/>
  </r>
  <r>
    <s v="ORD01604"/>
    <x v="593"/>
    <s v="Qori Fauziah"/>
    <x v="12"/>
    <x v="21"/>
    <n v="10000"/>
    <n v="3"/>
    <n v="10"/>
    <n v="30000"/>
    <n v="3000"/>
    <n v="27000"/>
    <n v="74000"/>
    <n v="101000"/>
    <x v="1"/>
    <x v="2"/>
    <x v="3"/>
    <x v="2"/>
    <x v="0"/>
    <s v="Rendah"/>
    <x v="1"/>
    <s v="sangat rendah"/>
  </r>
  <r>
    <s v="ORD01426"/>
    <x v="594"/>
    <s v="Gita Kurniawan"/>
    <x v="5"/>
    <x v="15"/>
    <n v="4000"/>
    <n v="5"/>
    <n v="0"/>
    <n v="20000"/>
    <n v="0"/>
    <n v="20000"/>
    <n v="78000"/>
    <n v="98000"/>
    <x v="3"/>
    <x v="4"/>
    <x v="4"/>
    <x v="3"/>
    <x v="0"/>
    <s v="Bagus"/>
    <x v="1"/>
    <s v="sangat rendah"/>
  </r>
  <r>
    <s v="ORD00864"/>
    <x v="595"/>
    <s v="Citra Halim"/>
    <x v="32"/>
    <x v="6"/>
    <n v="55000"/>
    <n v="1"/>
    <n v="10"/>
    <n v="55000"/>
    <n v="5500"/>
    <n v="49500"/>
    <n v="59000"/>
    <n v="108500"/>
    <x v="0"/>
    <x v="4"/>
    <x v="1"/>
    <x v="1"/>
    <x v="0"/>
    <s v="Rendah"/>
    <x v="0"/>
    <s v="rendah"/>
  </r>
  <r>
    <s v="ORD01419"/>
    <x v="596"/>
    <s v="Eka Budiman"/>
    <x v="24"/>
    <x v="19"/>
    <n v="35000"/>
    <n v="2"/>
    <n v="0"/>
    <n v="70000"/>
    <n v="0"/>
    <n v="70000"/>
    <n v="93000"/>
    <n v="163000"/>
    <x v="2"/>
    <x v="4"/>
    <x v="2"/>
    <x v="4"/>
    <x v="0"/>
    <s v="Bagus"/>
    <x v="1"/>
    <s v="sangat rendah"/>
  </r>
  <r>
    <s v="ORD01682"/>
    <x v="597"/>
    <s v="Bella Halim"/>
    <x v="35"/>
    <x v="13"/>
    <n v="17000"/>
    <n v="5"/>
    <n v="0"/>
    <n v="85000"/>
    <n v="0"/>
    <n v="85000"/>
    <n v="76000"/>
    <n v="161000"/>
    <x v="1"/>
    <x v="2"/>
    <x v="4"/>
    <x v="3"/>
    <x v="0"/>
    <s v="Bagus"/>
    <x v="1"/>
    <s v="sangat rendah"/>
  </r>
  <r>
    <s v="ORD00570"/>
    <x v="598"/>
    <s v="Dina Syahputra"/>
    <x v="11"/>
    <x v="7"/>
    <n v="12000"/>
    <n v="3"/>
    <n v="0"/>
    <n v="36000"/>
    <n v="0"/>
    <n v="36000"/>
    <n v="56000"/>
    <n v="92000"/>
    <x v="1"/>
    <x v="2"/>
    <x v="0"/>
    <x v="4"/>
    <x v="0"/>
    <s v="Bagus"/>
    <x v="1"/>
    <s v="sangat rendah"/>
  </r>
  <r>
    <s v="ORD00267"/>
    <x v="599"/>
    <s v="Clara Setiawan"/>
    <x v="3"/>
    <x v="25"/>
    <n v="40000"/>
    <n v="1"/>
    <n v="5"/>
    <n v="40000"/>
    <n v="2000"/>
    <n v="38000"/>
    <n v="18000"/>
    <n v="56000"/>
    <x v="0"/>
    <x v="2"/>
    <x v="1"/>
    <x v="2"/>
    <x v="0"/>
    <s v="Rendah"/>
    <x v="1"/>
    <s v="sangat rendah"/>
  </r>
  <r>
    <s v="ORD01595"/>
    <x v="600"/>
    <s v="Bella Halim"/>
    <x v="35"/>
    <x v="26"/>
    <n v="16000"/>
    <n v="3"/>
    <n v="15"/>
    <n v="48000"/>
    <n v="7200"/>
    <n v="40800"/>
    <n v="76000"/>
    <n v="116800"/>
    <x v="1"/>
    <x v="2"/>
    <x v="2"/>
    <x v="1"/>
    <x v="0"/>
    <s v="Rendah"/>
    <x v="0"/>
    <s v="rendah"/>
  </r>
  <r>
    <s v="ORD01155"/>
    <x v="601"/>
    <s v="Lestari Budiman"/>
    <x v="20"/>
    <x v="26"/>
    <n v="16000"/>
    <n v="4"/>
    <n v="5"/>
    <n v="64000"/>
    <n v="3200"/>
    <n v="60800"/>
    <n v="85000"/>
    <n v="145800"/>
    <x v="3"/>
    <x v="2"/>
    <x v="2"/>
    <x v="3"/>
    <x v="0"/>
    <s v="Bagus"/>
    <x v="1"/>
    <s v="sangat rendah"/>
  </r>
  <r>
    <s v="ORD01086"/>
    <x v="602"/>
    <s v="Sari Ramadhani"/>
    <x v="14"/>
    <x v="25"/>
    <n v="40000"/>
    <n v="4"/>
    <n v="20"/>
    <n v="160000"/>
    <n v="32000"/>
    <n v="128000"/>
    <n v="46000"/>
    <n v="174000"/>
    <x v="0"/>
    <x v="4"/>
    <x v="3"/>
    <x v="1"/>
    <x v="0"/>
    <s v="Rendah"/>
    <x v="4"/>
    <s v="tinggi"/>
  </r>
  <r>
    <s v="ORD00247"/>
    <x v="603"/>
    <s v="Qori Utami"/>
    <x v="37"/>
    <x v="13"/>
    <n v="17000"/>
    <n v="2"/>
    <n v="10"/>
    <n v="34000"/>
    <n v="3400"/>
    <n v="30600"/>
    <n v="57000"/>
    <n v="87600"/>
    <x v="3"/>
    <x v="2"/>
    <x v="4"/>
    <x v="0"/>
    <x v="0"/>
    <s v="Standar"/>
    <x v="1"/>
    <s v="sangat rendah"/>
  </r>
  <r>
    <s v="ORD01267"/>
    <x v="604"/>
    <s v="Dimas Utami"/>
    <x v="4"/>
    <x v="8"/>
    <n v="14000"/>
    <n v="1"/>
    <n v="10"/>
    <n v="14000"/>
    <n v="1400"/>
    <n v="12600"/>
    <n v="0"/>
    <n v="12600"/>
    <x v="3"/>
    <x v="2"/>
    <x v="3"/>
    <x v="3"/>
    <x v="1"/>
    <s v="Bagus"/>
    <x v="1"/>
    <s v="sangat rendah"/>
  </r>
  <r>
    <s v="ORD00135"/>
    <x v="605"/>
    <s v="Gita Utami"/>
    <x v="31"/>
    <x v="0"/>
    <n v="16000"/>
    <n v="5"/>
    <n v="15"/>
    <n v="80000"/>
    <n v="12000"/>
    <n v="68000"/>
    <n v="18000"/>
    <n v="86000"/>
    <x v="2"/>
    <x v="2"/>
    <x v="1"/>
    <x v="4"/>
    <x v="0"/>
    <s v="Bagus"/>
    <x v="2"/>
    <s v="normal"/>
  </r>
  <r>
    <s v="ORD00057"/>
    <x v="606"/>
    <s v="Rizky Budiman"/>
    <x v="34"/>
    <x v="4"/>
    <n v="6000"/>
    <n v="4"/>
    <n v="0"/>
    <n v="24000"/>
    <n v="0"/>
    <n v="24000"/>
    <n v="80000"/>
    <n v="104000"/>
    <x v="0"/>
    <x v="3"/>
    <x v="2"/>
    <x v="2"/>
    <x v="1"/>
    <s v="Rendah"/>
    <x v="1"/>
    <s v="sangat rendah"/>
  </r>
  <r>
    <s v="ORD00057"/>
    <x v="606"/>
    <s v="Rizky Budiman"/>
    <x v="34"/>
    <x v="5"/>
    <n v="50000"/>
    <n v="3"/>
    <n v="10"/>
    <n v="150000"/>
    <n v="15000"/>
    <n v="135000"/>
    <n v="0"/>
    <n v="135000"/>
    <x v="0"/>
    <x v="3"/>
    <x v="2"/>
    <x v="2"/>
    <x v="1"/>
    <s v="Rendah"/>
    <x v="2"/>
    <s v="normal"/>
  </r>
  <r>
    <s v="ORD01064"/>
    <x v="607"/>
    <s v="Bella Fauziah"/>
    <x v="24"/>
    <x v="0"/>
    <n v="16000"/>
    <n v="2"/>
    <n v="5"/>
    <n v="32000"/>
    <n v="1600"/>
    <n v="30400"/>
    <n v="93000"/>
    <n v="123400"/>
    <x v="2"/>
    <x v="2"/>
    <x v="0"/>
    <x v="2"/>
    <x v="0"/>
    <s v="Rendah"/>
    <x v="1"/>
    <s v="sangat rendah"/>
  </r>
  <r>
    <s v="ORD00682"/>
    <x v="608"/>
    <s v="Eka Saputra"/>
    <x v="25"/>
    <x v="7"/>
    <n v="12000"/>
    <n v="1"/>
    <n v="10"/>
    <n v="12000"/>
    <n v="1200"/>
    <n v="10800"/>
    <n v="48000"/>
    <n v="58800"/>
    <x v="2"/>
    <x v="2"/>
    <x v="0"/>
    <x v="1"/>
    <x v="0"/>
    <s v="Rendah"/>
    <x v="1"/>
    <s v="sangat rendah"/>
  </r>
  <r>
    <s v="ORD00343"/>
    <x v="609"/>
    <s v="Aulia Budiman"/>
    <x v="30"/>
    <x v="7"/>
    <n v="12000"/>
    <n v="3"/>
    <n v="0"/>
    <n v="36000"/>
    <n v="0"/>
    <n v="36000"/>
    <n v="97000"/>
    <n v="133000"/>
    <x v="0"/>
    <x v="2"/>
    <x v="3"/>
    <x v="2"/>
    <x v="0"/>
    <s v="Rendah"/>
    <x v="1"/>
    <s v="sangat rendah"/>
  </r>
  <r>
    <s v="ORD01532"/>
    <x v="610"/>
    <s v="Kartika Ananda"/>
    <x v="23"/>
    <x v="5"/>
    <n v="50000"/>
    <n v="1"/>
    <n v="20"/>
    <n v="50000"/>
    <n v="10000"/>
    <n v="40000"/>
    <n v="49000"/>
    <n v="89000"/>
    <x v="3"/>
    <x v="4"/>
    <x v="2"/>
    <x v="3"/>
    <x v="0"/>
    <s v="Bagus"/>
    <x v="0"/>
    <s v="rendah"/>
  </r>
  <r>
    <s v="ORD00752"/>
    <x v="611"/>
    <s v="Lestari Utami"/>
    <x v="24"/>
    <x v="21"/>
    <n v="10000"/>
    <n v="1"/>
    <n v="10"/>
    <n v="10000"/>
    <n v="1000"/>
    <n v="9000"/>
    <n v="93000"/>
    <n v="102000"/>
    <x v="1"/>
    <x v="4"/>
    <x v="3"/>
    <x v="4"/>
    <x v="0"/>
    <s v="Bagus"/>
    <x v="1"/>
    <s v="sangat rendah"/>
  </r>
  <r>
    <s v="ORD00518"/>
    <x v="612"/>
    <s v="Lestari Wijaya"/>
    <x v="4"/>
    <x v="4"/>
    <n v="6000"/>
    <n v="5"/>
    <n v="10"/>
    <n v="30000"/>
    <n v="3000"/>
    <n v="27000"/>
    <n v="0"/>
    <n v="27000"/>
    <x v="0"/>
    <x v="2"/>
    <x v="4"/>
    <x v="0"/>
    <x v="0"/>
    <s v="Standar"/>
    <x v="1"/>
    <s v="sangat rendah"/>
  </r>
  <r>
    <s v="ORD00595"/>
    <x v="613"/>
    <s v="Bella Utami"/>
    <x v="33"/>
    <x v="10"/>
    <n v="45000"/>
    <n v="5"/>
    <n v="15"/>
    <n v="225000"/>
    <n v="33750"/>
    <n v="191250"/>
    <n v="68000"/>
    <n v="259250"/>
    <x v="3"/>
    <x v="2"/>
    <x v="4"/>
    <x v="3"/>
    <x v="0"/>
    <s v="Bagus"/>
    <x v="4"/>
    <s v="tinggi"/>
  </r>
  <r>
    <s v="ORD00685"/>
    <x v="614"/>
    <s v="Bella Maulana"/>
    <x v="23"/>
    <x v="14"/>
    <n v="18000"/>
    <n v="3"/>
    <n v="0"/>
    <n v="54000"/>
    <n v="0"/>
    <n v="54000"/>
    <n v="49000"/>
    <n v="103000"/>
    <x v="2"/>
    <x v="4"/>
    <x v="0"/>
    <x v="1"/>
    <x v="0"/>
    <s v="Rendah"/>
    <x v="1"/>
    <s v="sangat rendah"/>
  </r>
  <r>
    <s v="ORD01351"/>
    <x v="615"/>
    <s v="Lestari Ramadhani"/>
    <x v="27"/>
    <x v="8"/>
    <n v="14000"/>
    <n v="5"/>
    <n v="15"/>
    <n v="70000"/>
    <n v="10500"/>
    <n v="59500"/>
    <n v="18000"/>
    <n v="77500"/>
    <x v="1"/>
    <x v="2"/>
    <x v="4"/>
    <x v="3"/>
    <x v="0"/>
    <s v="Bagus"/>
    <x v="2"/>
    <s v="normal"/>
  </r>
  <r>
    <s v="ORD01231"/>
    <x v="616"/>
    <s v="Erna Pradipta"/>
    <x v="4"/>
    <x v="18"/>
    <n v="16000"/>
    <n v="5"/>
    <n v="0"/>
    <n v="80000"/>
    <n v="0"/>
    <n v="80000"/>
    <n v="0"/>
    <n v="80000"/>
    <x v="3"/>
    <x v="2"/>
    <x v="2"/>
    <x v="4"/>
    <x v="0"/>
    <s v="Bagus"/>
    <x v="1"/>
    <s v="sangat rendah"/>
  </r>
  <r>
    <s v="ORD01167"/>
    <x v="617"/>
    <s v="Vina Syahputra"/>
    <x v="23"/>
    <x v="1"/>
    <n v="17000"/>
    <n v="3"/>
    <n v="0"/>
    <n v="51000"/>
    <n v="0"/>
    <n v="51000"/>
    <n v="49000"/>
    <n v="100000"/>
    <x v="3"/>
    <x v="4"/>
    <x v="0"/>
    <x v="4"/>
    <x v="0"/>
    <s v="Bagus"/>
    <x v="1"/>
    <s v="sangat rendah"/>
  </r>
  <r>
    <s v="ORD01210"/>
    <x v="618"/>
    <s v="Wahyu Pradipta"/>
    <x v="30"/>
    <x v="2"/>
    <n v="5000"/>
    <n v="3"/>
    <n v="10"/>
    <n v="15000"/>
    <n v="1500"/>
    <n v="13500"/>
    <n v="97000"/>
    <n v="110500"/>
    <x v="1"/>
    <x v="2"/>
    <x v="0"/>
    <x v="1"/>
    <x v="1"/>
    <s v="Rendah"/>
    <x v="1"/>
    <s v="sangat rendah"/>
  </r>
  <r>
    <s v="ORD01227"/>
    <x v="619"/>
    <s v="Vina Maulana"/>
    <x v="7"/>
    <x v="8"/>
    <n v="14000"/>
    <n v="1"/>
    <n v="10"/>
    <n v="14000"/>
    <n v="1400"/>
    <n v="12600"/>
    <n v="15000"/>
    <n v="27600"/>
    <x v="3"/>
    <x v="2"/>
    <x v="4"/>
    <x v="3"/>
    <x v="0"/>
    <s v="Bagus"/>
    <x v="1"/>
    <s v="sangat rendah"/>
  </r>
  <r>
    <s v="ORD00319"/>
    <x v="620"/>
    <s v="Clara Maulana"/>
    <x v="20"/>
    <x v="8"/>
    <n v="14000"/>
    <n v="1"/>
    <n v="15"/>
    <n v="14000"/>
    <n v="2100"/>
    <n v="11900"/>
    <n v="85000"/>
    <n v="96900"/>
    <x v="0"/>
    <x v="4"/>
    <x v="0"/>
    <x v="2"/>
    <x v="0"/>
    <s v="Rendah"/>
    <x v="1"/>
    <s v="sangat rendah"/>
  </r>
  <r>
    <s v="ORD00319"/>
    <x v="620"/>
    <s v="Clara Maulana"/>
    <x v="20"/>
    <x v="18"/>
    <n v="16000"/>
    <n v="4"/>
    <n v="10"/>
    <n v="64000"/>
    <n v="6400"/>
    <n v="57600"/>
    <n v="0"/>
    <n v="57600"/>
    <x v="0"/>
    <x v="4"/>
    <x v="0"/>
    <x v="2"/>
    <x v="0"/>
    <s v="Rendah"/>
    <x v="0"/>
    <s v="rendah"/>
  </r>
  <r>
    <s v="ORD01213"/>
    <x v="621"/>
    <s v="Lestari Puspita"/>
    <x v="5"/>
    <x v="18"/>
    <n v="16000"/>
    <n v="5"/>
    <n v="5"/>
    <n v="80000"/>
    <n v="4000"/>
    <n v="76000"/>
    <n v="78000"/>
    <n v="154000"/>
    <x v="0"/>
    <x v="2"/>
    <x v="0"/>
    <x v="4"/>
    <x v="0"/>
    <s v="Bagus"/>
    <x v="1"/>
    <s v="sangat rendah"/>
  </r>
  <r>
    <s v="ORD00259"/>
    <x v="622"/>
    <s v="Hana Nugroho"/>
    <x v="12"/>
    <x v="14"/>
    <n v="18000"/>
    <n v="5"/>
    <n v="15"/>
    <n v="90000"/>
    <n v="13500"/>
    <n v="76500"/>
    <n v="74000"/>
    <n v="150500"/>
    <x v="0"/>
    <x v="2"/>
    <x v="4"/>
    <x v="4"/>
    <x v="0"/>
    <s v="Bagus"/>
    <x v="2"/>
    <s v="normal"/>
  </r>
  <r>
    <s v="ORD00259"/>
    <x v="622"/>
    <s v="Hana Nugroho"/>
    <x v="12"/>
    <x v="26"/>
    <n v="16000"/>
    <n v="4"/>
    <n v="20"/>
    <n v="64000"/>
    <n v="12800"/>
    <n v="51200"/>
    <n v="0"/>
    <n v="51200"/>
    <x v="0"/>
    <x v="2"/>
    <x v="4"/>
    <x v="4"/>
    <x v="0"/>
    <s v="Bagus"/>
    <x v="2"/>
    <s v="normal"/>
  </r>
  <r>
    <s v="ORD00636"/>
    <x v="623"/>
    <s v="Citra Saputra"/>
    <x v="12"/>
    <x v="8"/>
    <n v="14000"/>
    <n v="1"/>
    <n v="0"/>
    <n v="14000"/>
    <n v="0"/>
    <n v="14000"/>
    <n v="74000"/>
    <n v="88000"/>
    <x v="2"/>
    <x v="2"/>
    <x v="2"/>
    <x v="4"/>
    <x v="0"/>
    <s v="Bagus"/>
    <x v="1"/>
    <s v="sangat rendah"/>
  </r>
  <r>
    <s v="ORD01709"/>
    <x v="624"/>
    <s v="Citra Halim"/>
    <x v="32"/>
    <x v="1"/>
    <n v="17000"/>
    <n v="5"/>
    <n v="5"/>
    <n v="85000"/>
    <n v="4250"/>
    <n v="80750"/>
    <n v="59000"/>
    <n v="139750"/>
    <x v="3"/>
    <x v="2"/>
    <x v="3"/>
    <x v="0"/>
    <x v="0"/>
    <s v="Standar"/>
    <x v="1"/>
    <s v="sangat rendah"/>
  </r>
  <r>
    <s v="ORD00774"/>
    <x v="625"/>
    <s v="Erna Santoso"/>
    <x v="18"/>
    <x v="3"/>
    <n v="14000"/>
    <n v="4"/>
    <n v="10"/>
    <n v="56000"/>
    <n v="5600"/>
    <n v="50400"/>
    <n v="43000"/>
    <n v="93400"/>
    <x v="2"/>
    <x v="2"/>
    <x v="3"/>
    <x v="1"/>
    <x v="0"/>
    <s v="Rendah"/>
    <x v="0"/>
    <s v="rendah"/>
  </r>
  <r>
    <s v="ORD00423"/>
    <x v="626"/>
    <s v="Clara Syahputra"/>
    <x v="10"/>
    <x v="2"/>
    <n v="5000"/>
    <n v="4"/>
    <n v="5"/>
    <n v="20000"/>
    <n v="1000"/>
    <n v="19000"/>
    <n v="84000"/>
    <n v="103000"/>
    <x v="0"/>
    <x v="2"/>
    <x v="2"/>
    <x v="3"/>
    <x v="0"/>
    <s v="Bagus"/>
    <x v="1"/>
    <s v="sangat rendah"/>
  </r>
  <r>
    <s v="ORD00130"/>
    <x v="627"/>
    <s v="Aulia Wijaya"/>
    <x v="17"/>
    <x v="8"/>
    <n v="14000"/>
    <n v="5"/>
    <n v="5"/>
    <n v="70000"/>
    <n v="3500"/>
    <n v="66500"/>
    <n v="50000"/>
    <n v="116500"/>
    <x v="3"/>
    <x v="2"/>
    <x v="2"/>
    <x v="2"/>
    <x v="0"/>
    <s v="Rendah"/>
    <x v="1"/>
    <s v="sangat rendah"/>
  </r>
  <r>
    <s v="ORD01641"/>
    <x v="628"/>
    <s v="Zahra Kusuma"/>
    <x v="2"/>
    <x v="19"/>
    <n v="35000"/>
    <n v="4"/>
    <n v="10"/>
    <n v="140000"/>
    <n v="14000"/>
    <n v="126000"/>
    <n v="26000"/>
    <n v="152000"/>
    <x v="1"/>
    <x v="3"/>
    <x v="3"/>
    <x v="3"/>
    <x v="0"/>
    <s v="Bagus"/>
    <x v="2"/>
    <s v="normal"/>
  </r>
  <r>
    <s v="ORD01747"/>
    <x v="629"/>
    <s v="Citra Syahputra"/>
    <x v="14"/>
    <x v="1"/>
    <n v="17000"/>
    <n v="4"/>
    <n v="5"/>
    <n v="68000"/>
    <n v="3400"/>
    <n v="64600"/>
    <n v="46000"/>
    <n v="110600"/>
    <x v="1"/>
    <x v="2"/>
    <x v="4"/>
    <x v="1"/>
    <x v="0"/>
    <s v="Rendah"/>
    <x v="1"/>
    <s v="sangat rendah"/>
  </r>
  <r>
    <s v="ORD01068"/>
    <x v="630"/>
    <s v="Aulia Setiawan"/>
    <x v="23"/>
    <x v="12"/>
    <n v="25000"/>
    <n v="1"/>
    <n v="10"/>
    <n v="25000"/>
    <n v="2500"/>
    <n v="22500"/>
    <n v="49000"/>
    <n v="71500"/>
    <x v="1"/>
    <x v="4"/>
    <x v="1"/>
    <x v="2"/>
    <x v="0"/>
    <s v="Rendah"/>
    <x v="1"/>
    <s v="sangat rendah"/>
  </r>
  <r>
    <s v="ORD00317"/>
    <x v="631"/>
    <s v="Citra Fauziah"/>
    <x v="36"/>
    <x v="7"/>
    <n v="12000"/>
    <n v="4"/>
    <n v="0"/>
    <n v="48000"/>
    <n v="0"/>
    <n v="48000"/>
    <n v="49000"/>
    <n v="97000"/>
    <x v="3"/>
    <x v="2"/>
    <x v="1"/>
    <x v="4"/>
    <x v="0"/>
    <s v="Bagus"/>
    <x v="1"/>
    <s v="sangat rendah"/>
  </r>
  <r>
    <s v="ORD01421"/>
    <x v="632"/>
    <s v="Citra Maulana"/>
    <x v="21"/>
    <x v="0"/>
    <n v="16000"/>
    <n v="3"/>
    <n v="20"/>
    <n v="48000"/>
    <n v="9600"/>
    <n v="38400"/>
    <n v="72000"/>
    <n v="110400"/>
    <x v="3"/>
    <x v="4"/>
    <x v="1"/>
    <x v="2"/>
    <x v="0"/>
    <s v="Rendah"/>
    <x v="0"/>
    <s v="rendah"/>
  </r>
  <r>
    <s v="ORD00501"/>
    <x v="633"/>
    <s v="Sari Setiawan"/>
    <x v="6"/>
    <x v="1"/>
    <n v="17000"/>
    <n v="3"/>
    <n v="15"/>
    <n v="51000"/>
    <n v="7650"/>
    <n v="43350"/>
    <n v="30000"/>
    <n v="73350"/>
    <x v="1"/>
    <x v="2"/>
    <x v="4"/>
    <x v="2"/>
    <x v="0"/>
    <s v="Rendah"/>
    <x v="0"/>
    <s v="rendah"/>
  </r>
  <r>
    <s v="ORD00066"/>
    <x v="634"/>
    <s v="Oka Kusuma"/>
    <x v="15"/>
    <x v="20"/>
    <n v="40000"/>
    <n v="1"/>
    <n v="15"/>
    <n v="40000"/>
    <n v="6000"/>
    <n v="34000"/>
    <n v="17000"/>
    <n v="51000"/>
    <x v="2"/>
    <x v="2"/>
    <x v="1"/>
    <x v="3"/>
    <x v="1"/>
    <s v="Bagus"/>
    <x v="0"/>
    <s v="rendah"/>
  </r>
  <r>
    <s v="ORD01326"/>
    <x v="635"/>
    <s v="Lestari Wijaya"/>
    <x v="4"/>
    <x v="19"/>
    <n v="35000"/>
    <n v="2"/>
    <n v="20"/>
    <n v="70000"/>
    <n v="14000"/>
    <n v="56000"/>
    <n v="0"/>
    <n v="56000"/>
    <x v="1"/>
    <x v="4"/>
    <x v="1"/>
    <x v="3"/>
    <x v="0"/>
    <s v="Bagus"/>
    <x v="2"/>
    <s v="normal"/>
  </r>
  <r>
    <s v="ORD00459"/>
    <x v="636"/>
    <s v="Dina Rahmawati"/>
    <x v="32"/>
    <x v="21"/>
    <n v="10000"/>
    <n v="3"/>
    <n v="0"/>
    <n v="30000"/>
    <n v="0"/>
    <n v="30000"/>
    <n v="59000"/>
    <n v="89000"/>
    <x v="1"/>
    <x v="2"/>
    <x v="3"/>
    <x v="0"/>
    <x v="0"/>
    <s v="Standar"/>
    <x v="1"/>
    <s v="sangat rendah"/>
  </r>
  <r>
    <s v="ORD00116"/>
    <x v="637"/>
    <s v="Aulia Rahmawati"/>
    <x v="8"/>
    <x v="15"/>
    <n v="4000"/>
    <n v="3"/>
    <n v="10"/>
    <n v="12000"/>
    <n v="1200"/>
    <n v="10800"/>
    <n v="87000"/>
    <n v="97800"/>
    <x v="3"/>
    <x v="4"/>
    <x v="3"/>
    <x v="4"/>
    <x v="0"/>
    <s v="Bagus"/>
    <x v="1"/>
    <s v="sangat rendah"/>
  </r>
  <r>
    <s v="ORD01411"/>
    <x v="638"/>
    <s v="Gita Wijaya"/>
    <x v="13"/>
    <x v="25"/>
    <n v="40000"/>
    <n v="1"/>
    <n v="0"/>
    <n v="40000"/>
    <n v="0"/>
    <n v="40000"/>
    <n v="87000"/>
    <n v="127000"/>
    <x v="0"/>
    <x v="2"/>
    <x v="0"/>
    <x v="1"/>
    <x v="0"/>
    <s v="Rendah"/>
    <x v="1"/>
    <s v="sangat rendah"/>
  </r>
  <r>
    <s v="ORD00637"/>
    <x v="639"/>
    <s v="Tono Hidayat"/>
    <x v="31"/>
    <x v="25"/>
    <n v="40000"/>
    <n v="2"/>
    <n v="5"/>
    <n v="80000"/>
    <n v="4000"/>
    <n v="76000"/>
    <n v="18000"/>
    <n v="94000"/>
    <x v="2"/>
    <x v="4"/>
    <x v="0"/>
    <x v="4"/>
    <x v="1"/>
    <s v="Bagus"/>
    <x v="1"/>
    <s v="sangat rendah"/>
  </r>
  <r>
    <s v="ORD00778"/>
    <x v="640"/>
    <s v="Yani Nugroho"/>
    <x v="15"/>
    <x v="8"/>
    <n v="14000"/>
    <n v="2"/>
    <n v="20"/>
    <n v="28000"/>
    <n v="5600"/>
    <n v="22400"/>
    <n v="17000"/>
    <n v="39400"/>
    <x v="0"/>
    <x v="2"/>
    <x v="0"/>
    <x v="0"/>
    <x v="0"/>
    <s v="Standar"/>
    <x v="0"/>
    <s v="rendah"/>
  </r>
  <r>
    <s v="ORD01174"/>
    <x v="641"/>
    <s v="Lestari Pradipta"/>
    <x v="11"/>
    <x v="6"/>
    <n v="55000"/>
    <n v="3"/>
    <n v="5"/>
    <n v="165000"/>
    <n v="8250"/>
    <n v="156750"/>
    <n v="56000"/>
    <n v="212750"/>
    <x v="0"/>
    <x v="2"/>
    <x v="3"/>
    <x v="1"/>
    <x v="0"/>
    <s v="Rendah"/>
    <x v="0"/>
    <s v="rendah"/>
  </r>
  <r>
    <s v="ORD01425"/>
    <x v="642"/>
    <s v="Yani Hidayat"/>
    <x v="34"/>
    <x v="13"/>
    <n v="17000"/>
    <n v="4"/>
    <n v="15"/>
    <n v="68000"/>
    <n v="10200"/>
    <n v="57800"/>
    <n v="80000"/>
    <n v="137800"/>
    <x v="3"/>
    <x v="2"/>
    <x v="4"/>
    <x v="3"/>
    <x v="0"/>
    <s v="Bagus"/>
    <x v="2"/>
    <s v="normal"/>
  </r>
  <r>
    <s v="ORD01839"/>
    <x v="643"/>
    <s v="Putri Saputra"/>
    <x v="20"/>
    <x v="22"/>
    <n v="18000"/>
    <n v="3"/>
    <n v="5"/>
    <n v="54000"/>
    <n v="2700"/>
    <n v="51300"/>
    <n v="85000"/>
    <n v="136300"/>
    <x v="3"/>
    <x v="2"/>
    <x v="1"/>
    <x v="4"/>
    <x v="0"/>
    <s v="Bagus"/>
    <x v="1"/>
    <s v="sangat rendah"/>
  </r>
  <r>
    <s v="ORD01733"/>
    <x v="644"/>
    <s v="Bella Ramadhani"/>
    <x v="20"/>
    <x v="13"/>
    <n v="17000"/>
    <n v="2"/>
    <n v="5"/>
    <n v="34000"/>
    <n v="1700"/>
    <n v="32300"/>
    <n v="85000"/>
    <n v="117300"/>
    <x v="3"/>
    <x v="2"/>
    <x v="1"/>
    <x v="0"/>
    <x v="0"/>
    <s v="Standar"/>
    <x v="1"/>
    <s v="sangat rendah"/>
  </r>
  <r>
    <s v="ORD00804"/>
    <x v="645"/>
    <s v="Clara Hidayat"/>
    <x v="14"/>
    <x v="26"/>
    <n v="16000"/>
    <n v="2"/>
    <n v="15"/>
    <n v="32000"/>
    <n v="4800"/>
    <n v="27200"/>
    <n v="46000"/>
    <n v="73200"/>
    <x v="2"/>
    <x v="2"/>
    <x v="3"/>
    <x v="0"/>
    <x v="0"/>
    <s v="Standar"/>
    <x v="1"/>
    <s v="sangat rendah"/>
  </r>
  <r>
    <s v="ORD00097"/>
    <x v="646"/>
    <s v="Indra Maulana"/>
    <x v="28"/>
    <x v="5"/>
    <n v="50000"/>
    <n v="1"/>
    <n v="20"/>
    <n v="50000"/>
    <n v="10000"/>
    <n v="40000"/>
    <n v="79000"/>
    <n v="119000"/>
    <x v="1"/>
    <x v="4"/>
    <x v="3"/>
    <x v="3"/>
    <x v="1"/>
    <s v="Bagus"/>
    <x v="0"/>
    <s v="rendah"/>
  </r>
  <r>
    <s v="ORD00484"/>
    <x v="647"/>
    <s v="Dina Hidayat"/>
    <x v="23"/>
    <x v="23"/>
    <n v="45000"/>
    <n v="4"/>
    <n v="15"/>
    <n v="180000"/>
    <n v="27000"/>
    <n v="153000"/>
    <n v="49000"/>
    <n v="202000"/>
    <x v="3"/>
    <x v="3"/>
    <x v="1"/>
    <x v="0"/>
    <x v="0"/>
    <s v="Standar"/>
    <x v="4"/>
    <s v="tinggi"/>
  </r>
  <r>
    <s v="ORD00554"/>
    <x v="648"/>
    <s v="Zahra Ananda"/>
    <x v="4"/>
    <x v="9"/>
    <n v="35000"/>
    <n v="4"/>
    <n v="20"/>
    <n v="140000"/>
    <n v="28000"/>
    <n v="112000"/>
    <n v="0"/>
    <n v="112000"/>
    <x v="0"/>
    <x v="4"/>
    <x v="1"/>
    <x v="2"/>
    <x v="0"/>
    <s v="Rendah"/>
    <x v="4"/>
    <s v="tinggi"/>
  </r>
  <r>
    <s v="ORD00707"/>
    <x v="649"/>
    <s v="Bella Rahmawati"/>
    <x v="1"/>
    <x v="14"/>
    <n v="18000"/>
    <n v="1"/>
    <n v="10"/>
    <n v="18000"/>
    <n v="1800"/>
    <n v="16200"/>
    <n v="59000"/>
    <n v="75200"/>
    <x v="2"/>
    <x v="2"/>
    <x v="3"/>
    <x v="1"/>
    <x v="0"/>
    <s v="Rendah"/>
    <x v="1"/>
    <s v="sangat rendah"/>
  </r>
  <r>
    <s v="ORD00877"/>
    <x v="650"/>
    <s v="Vina Saputra"/>
    <x v="34"/>
    <x v="6"/>
    <n v="55000"/>
    <n v="4"/>
    <n v="15"/>
    <n v="220000"/>
    <n v="33000"/>
    <n v="187000"/>
    <n v="80000"/>
    <n v="267000"/>
    <x v="1"/>
    <x v="2"/>
    <x v="0"/>
    <x v="1"/>
    <x v="0"/>
    <s v="Rendah"/>
    <x v="4"/>
    <s v="tinggi"/>
  </r>
  <r>
    <s v="ORD01609"/>
    <x v="651"/>
    <s v="Erna Hidayat"/>
    <x v="26"/>
    <x v="19"/>
    <n v="35000"/>
    <n v="1"/>
    <n v="15"/>
    <n v="35000"/>
    <n v="5250"/>
    <n v="29750"/>
    <n v="28000"/>
    <n v="57750"/>
    <x v="0"/>
    <x v="2"/>
    <x v="4"/>
    <x v="3"/>
    <x v="0"/>
    <s v="Bagus"/>
    <x v="0"/>
    <s v="rendah"/>
  </r>
  <r>
    <s v="ORD01754"/>
    <x v="652"/>
    <s v="Citra Kurniawan"/>
    <x v="32"/>
    <x v="14"/>
    <n v="18000"/>
    <n v="4"/>
    <n v="15"/>
    <n v="72000"/>
    <n v="10800"/>
    <n v="61200"/>
    <n v="59000"/>
    <n v="120200"/>
    <x v="2"/>
    <x v="4"/>
    <x v="1"/>
    <x v="3"/>
    <x v="0"/>
    <s v="Bagus"/>
    <x v="2"/>
    <s v="normal"/>
  </r>
  <r>
    <s v="ORD01195"/>
    <x v="653"/>
    <s v="Yani Saputra"/>
    <x v="6"/>
    <x v="17"/>
    <n v="15000"/>
    <n v="3"/>
    <n v="5"/>
    <n v="45000"/>
    <n v="2250"/>
    <n v="42750"/>
    <n v="30000"/>
    <n v="72750"/>
    <x v="0"/>
    <x v="2"/>
    <x v="0"/>
    <x v="1"/>
    <x v="0"/>
    <s v="Rendah"/>
    <x v="1"/>
    <s v="sangat rendah"/>
  </r>
  <r>
    <s v="ORD01469"/>
    <x v="654"/>
    <s v="Zahra Santoso"/>
    <x v="29"/>
    <x v="26"/>
    <n v="16000"/>
    <n v="1"/>
    <n v="0"/>
    <n v="16000"/>
    <n v="0"/>
    <n v="16000"/>
    <n v="89000"/>
    <n v="105000"/>
    <x v="0"/>
    <x v="2"/>
    <x v="2"/>
    <x v="4"/>
    <x v="0"/>
    <s v="Bagus"/>
    <x v="1"/>
    <s v="sangat rendah"/>
  </r>
  <r>
    <s v="ORD01393"/>
    <x v="655"/>
    <s v="Dina Wijaya"/>
    <x v="0"/>
    <x v="26"/>
    <n v="16000"/>
    <n v="1"/>
    <n v="10"/>
    <n v="16000"/>
    <n v="1600"/>
    <n v="14400"/>
    <n v="67000"/>
    <n v="81400"/>
    <x v="3"/>
    <x v="2"/>
    <x v="4"/>
    <x v="1"/>
    <x v="0"/>
    <s v="Rendah"/>
    <x v="1"/>
    <s v="sangat rendah"/>
  </r>
  <r>
    <s v="ORD00122"/>
    <x v="656"/>
    <s v="Ani Wijaya"/>
    <x v="25"/>
    <x v="10"/>
    <n v="45000"/>
    <n v="4"/>
    <n v="10"/>
    <n v="180000"/>
    <n v="18000"/>
    <n v="162000"/>
    <n v="48000"/>
    <n v="210000"/>
    <x v="1"/>
    <x v="2"/>
    <x v="3"/>
    <x v="0"/>
    <x v="0"/>
    <s v="Standar"/>
    <x v="2"/>
    <s v="normal"/>
  </r>
  <r>
    <s v="ORD00122"/>
    <x v="656"/>
    <s v="Ani Wijaya"/>
    <x v="25"/>
    <x v="11"/>
    <n v="30000"/>
    <n v="1"/>
    <n v="10"/>
    <n v="30000"/>
    <n v="3000"/>
    <n v="27000"/>
    <n v="0"/>
    <n v="27000"/>
    <x v="1"/>
    <x v="2"/>
    <x v="3"/>
    <x v="0"/>
    <x v="0"/>
    <s v="Standar"/>
    <x v="1"/>
    <s v="sangat rendah"/>
  </r>
  <r>
    <s v="ORD00924"/>
    <x v="657"/>
    <s v="Putri Ananda"/>
    <x v="2"/>
    <x v="21"/>
    <n v="10000"/>
    <n v="1"/>
    <n v="5"/>
    <n v="10000"/>
    <n v="500"/>
    <n v="9500"/>
    <n v="26000"/>
    <n v="35500"/>
    <x v="3"/>
    <x v="2"/>
    <x v="0"/>
    <x v="3"/>
    <x v="0"/>
    <s v="Bagus"/>
    <x v="1"/>
    <s v="sangat rendah"/>
  </r>
  <r>
    <s v="ORD00158"/>
    <x v="658"/>
    <s v="Eka Rahmawati"/>
    <x v="18"/>
    <x v="9"/>
    <n v="35000"/>
    <n v="4"/>
    <n v="0"/>
    <n v="140000"/>
    <n v="0"/>
    <n v="140000"/>
    <n v="43000"/>
    <n v="183000"/>
    <x v="2"/>
    <x v="2"/>
    <x v="1"/>
    <x v="0"/>
    <x v="0"/>
    <s v="Standar"/>
    <x v="1"/>
    <s v="sangat rendah"/>
  </r>
  <r>
    <s v="ORD00417"/>
    <x v="659"/>
    <s v="Zahra Kurniawan"/>
    <x v="7"/>
    <x v="0"/>
    <n v="16000"/>
    <n v="3"/>
    <n v="15"/>
    <n v="48000"/>
    <n v="7200"/>
    <n v="40800"/>
    <n v="15000"/>
    <n v="55800"/>
    <x v="1"/>
    <x v="2"/>
    <x v="0"/>
    <x v="1"/>
    <x v="0"/>
    <s v="Rendah"/>
    <x v="0"/>
    <s v="rendah"/>
  </r>
  <r>
    <s v="ORD00417"/>
    <x v="659"/>
    <s v="Zahra Kurniawan"/>
    <x v="7"/>
    <x v="6"/>
    <n v="55000"/>
    <n v="3"/>
    <n v="10"/>
    <n v="165000"/>
    <n v="16500"/>
    <n v="148500"/>
    <n v="0"/>
    <n v="148500"/>
    <x v="1"/>
    <x v="2"/>
    <x v="0"/>
    <x v="1"/>
    <x v="0"/>
    <s v="Rendah"/>
    <x v="2"/>
    <s v="normal"/>
  </r>
  <r>
    <s v="ORD01717"/>
    <x v="660"/>
    <s v="Tono Ananda"/>
    <x v="1"/>
    <x v="2"/>
    <n v="5000"/>
    <n v="5"/>
    <n v="5"/>
    <n v="25000"/>
    <n v="1250"/>
    <n v="23750"/>
    <n v="59000"/>
    <n v="82750"/>
    <x v="3"/>
    <x v="2"/>
    <x v="0"/>
    <x v="3"/>
    <x v="1"/>
    <s v="Bagus"/>
    <x v="1"/>
    <s v="sangat rendah"/>
  </r>
  <r>
    <s v="ORD01080"/>
    <x v="661"/>
    <s v="Wahyu Santoso"/>
    <x v="31"/>
    <x v="24"/>
    <n v="22000"/>
    <n v="3"/>
    <n v="10"/>
    <n v="66000"/>
    <n v="6600"/>
    <n v="59400"/>
    <n v="18000"/>
    <n v="77400"/>
    <x v="0"/>
    <x v="2"/>
    <x v="2"/>
    <x v="0"/>
    <x v="1"/>
    <s v="Standar"/>
    <x v="0"/>
    <s v="rendah"/>
  </r>
  <r>
    <s v="ORD01784"/>
    <x v="662"/>
    <s v="Sari Puspita"/>
    <x v="30"/>
    <x v="19"/>
    <n v="35000"/>
    <n v="4"/>
    <n v="20"/>
    <n v="140000"/>
    <n v="28000"/>
    <n v="112000"/>
    <n v="97000"/>
    <n v="209000"/>
    <x v="2"/>
    <x v="2"/>
    <x v="4"/>
    <x v="0"/>
    <x v="0"/>
    <s v="Standar"/>
    <x v="4"/>
    <s v="tinggi"/>
  </r>
  <r>
    <s v="ORD01130"/>
    <x v="663"/>
    <s v="Nanda Iskandar"/>
    <x v="20"/>
    <x v="13"/>
    <n v="17000"/>
    <n v="5"/>
    <n v="10"/>
    <n v="85000"/>
    <n v="8500"/>
    <n v="76500"/>
    <n v="85000"/>
    <n v="161500"/>
    <x v="1"/>
    <x v="2"/>
    <x v="0"/>
    <x v="0"/>
    <x v="1"/>
    <s v="Standar"/>
    <x v="0"/>
    <s v="rendah"/>
  </r>
  <r>
    <s v="ORD01203"/>
    <x v="664"/>
    <s v="Arif Fauziah"/>
    <x v="22"/>
    <x v="8"/>
    <n v="14000"/>
    <n v="2"/>
    <n v="15"/>
    <n v="28000"/>
    <n v="4200"/>
    <n v="23800"/>
    <n v="80000"/>
    <n v="103800"/>
    <x v="2"/>
    <x v="2"/>
    <x v="4"/>
    <x v="4"/>
    <x v="1"/>
    <s v="Bagus"/>
    <x v="1"/>
    <s v="sangat rendah"/>
  </r>
  <r>
    <s v="ORD00998"/>
    <x v="665"/>
    <s v="Dewi Saputra"/>
    <x v="8"/>
    <x v="14"/>
    <n v="18000"/>
    <n v="5"/>
    <n v="5"/>
    <n v="90000"/>
    <n v="4500"/>
    <n v="85500"/>
    <n v="87000"/>
    <n v="172500"/>
    <x v="0"/>
    <x v="2"/>
    <x v="0"/>
    <x v="0"/>
    <x v="0"/>
    <s v="Standar"/>
    <x v="1"/>
    <s v="sangat rendah"/>
  </r>
  <r>
    <s v="ORD00048"/>
    <x v="666"/>
    <s v="Eko Pradipta"/>
    <x v="18"/>
    <x v="7"/>
    <n v="12000"/>
    <n v="5"/>
    <n v="5"/>
    <n v="60000"/>
    <n v="3000"/>
    <n v="57000"/>
    <n v="43000"/>
    <n v="100000"/>
    <x v="1"/>
    <x v="3"/>
    <x v="1"/>
    <x v="4"/>
    <x v="1"/>
    <s v="Bagus"/>
    <x v="1"/>
    <s v="sangat rendah"/>
  </r>
  <r>
    <s v="ORD01354"/>
    <x v="667"/>
    <s v="Fitri Setiawan"/>
    <x v="23"/>
    <x v="18"/>
    <n v="16000"/>
    <n v="5"/>
    <n v="0"/>
    <n v="80000"/>
    <n v="0"/>
    <n v="80000"/>
    <n v="49000"/>
    <n v="129000"/>
    <x v="0"/>
    <x v="2"/>
    <x v="4"/>
    <x v="3"/>
    <x v="0"/>
    <s v="Bagus"/>
    <x v="1"/>
    <s v="sangat rendah"/>
  </r>
  <r>
    <s v="ORD01112"/>
    <x v="668"/>
    <s v="Wahyu Fauziah"/>
    <x v="28"/>
    <x v="4"/>
    <n v="6000"/>
    <n v="2"/>
    <n v="20"/>
    <n v="12000"/>
    <n v="2400"/>
    <n v="9600"/>
    <n v="79000"/>
    <n v="88600"/>
    <x v="3"/>
    <x v="2"/>
    <x v="1"/>
    <x v="0"/>
    <x v="1"/>
    <s v="Standar"/>
    <x v="1"/>
    <s v="sangat rendah"/>
  </r>
  <r>
    <s v="ORD00195"/>
    <x v="669"/>
    <s v="Clara Syahputra"/>
    <x v="10"/>
    <x v="0"/>
    <n v="16000"/>
    <n v="1"/>
    <n v="15"/>
    <n v="16000"/>
    <n v="2400"/>
    <n v="13600"/>
    <n v="84000"/>
    <n v="97600"/>
    <x v="3"/>
    <x v="2"/>
    <x v="1"/>
    <x v="3"/>
    <x v="0"/>
    <s v="Bagus"/>
    <x v="1"/>
    <s v="sangat rendah"/>
  </r>
  <r>
    <s v="ORD00742"/>
    <x v="670"/>
    <s v="Indra Maulana"/>
    <x v="28"/>
    <x v="18"/>
    <n v="16000"/>
    <n v="5"/>
    <n v="20"/>
    <n v="80000"/>
    <n v="16000"/>
    <n v="64000"/>
    <n v="79000"/>
    <n v="143000"/>
    <x v="2"/>
    <x v="2"/>
    <x v="0"/>
    <x v="1"/>
    <x v="1"/>
    <s v="Rendah"/>
    <x v="2"/>
    <s v="normal"/>
  </r>
  <r>
    <s v="ORD00309"/>
    <x v="671"/>
    <s v="Bella Hidayat"/>
    <x v="28"/>
    <x v="26"/>
    <n v="16000"/>
    <n v="1"/>
    <n v="0"/>
    <n v="16000"/>
    <n v="0"/>
    <n v="16000"/>
    <n v="79000"/>
    <n v="95000"/>
    <x v="2"/>
    <x v="2"/>
    <x v="2"/>
    <x v="3"/>
    <x v="0"/>
    <s v="Bagus"/>
    <x v="1"/>
    <s v="sangat rendah"/>
  </r>
  <r>
    <s v="ORD00309"/>
    <x v="671"/>
    <s v="Bella Hidayat"/>
    <x v="28"/>
    <x v="21"/>
    <n v="10000"/>
    <n v="1"/>
    <n v="5"/>
    <n v="10000"/>
    <n v="500"/>
    <n v="9500"/>
    <n v="0"/>
    <n v="9500"/>
    <x v="2"/>
    <x v="2"/>
    <x v="2"/>
    <x v="3"/>
    <x v="0"/>
    <s v="Bagus"/>
    <x v="1"/>
    <s v="sangat rendah"/>
  </r>
  <r>
    <s v="ORD01075"/>
    <x v="672"/>
    <s v="Bayu Syahputra"/>
    <x v="30"/>
    <x v="5"/>
    <n v="50000"/>
    <n v="3"/>
    <n v="10"/>
    <n v="150000"/>
    <n v="15000"/>
    <n v="135000"/>
    <n v="97000"/>
    <n v="232000"/>
    <x v="0"/>
    <x v="2"/>
    <x v="2"/>
    <x v="1"/>
    <x v="1"/>
    <s v="Rendah"/>
    <x v="2"/>
    <s v="normal"/>
  </r>
  <r>
    <s v="ORD01408"/>
    <x v="673"/>
    <s v="Dina Maulana"/>
    <x v="9"/>
    <x v="22"/>
    <n v="18000"/>
    <n v="3"/>
    <n v="10"/>
    <n v="54000"/>
    <n v="5400"/>
    <n v="48600"/>
    <n v="21000"/>
    <n v="69600"/>
    <x v="2"/>
    <x v="4"/>
    <x v="3"/>
    <x v="4"/>
    <x v="0"/>
    <s v="Bagus"/>
    <x v="0"/>
    <s v="rendah"/>
  </r>
  <r>
    <s v="ORD01362"/>
    <x v="674"/>
    <s v="Ani Maulana"/>
    <x v="29"/>
    <x v="24"/>
    <n v="22000"/>
    <n v="3"/>
    <n v="0"/>
    <n v="66000"/>
    <n v="0"/>
    <n v="66000"/>
    <n v="89000"/>
    <n v="155000"/>
    <x v="3"/>
    <x v="4"/>
    <x v="4"/>
    <x v="3"/>
    <x v="0"/>
    <s v="Bagus"/>
    <x v="1"/>
    <s v="sangat rendah"/>
  </r>
  <r>
    <s v="ORD00350"/>
    <x v="675"/>
    <s v="Bella Fauziah"/>
    <x v="24"/>
    <x v="0"/>
    <n v="16000"/>
    <n v="2"/>
    <n v="20"/>
    <n v="32000"/>
    <n v="6400"/>
    <n v="25600"/>
    <n v="93000"/>
    <n v="118600"/>
    <x v="3"/>
    <x v="2"/>
    <x v="0"/>
    <x v="4"/>
    <x v="0"/>
    <s v="Bagus"/>
    <x v="0"/>
    <s v="rendah"/>
  </r>
  <r>
    <s v="ORD00802"/>
    <x v="676"/>
    <s v="Zahra Nugroho"/>
    <x v="5"/>
    <x v="7"/>
    <n v="12000"/>
    <n v="5"/>
    <n v="5"/>
    <n v="60000"/>
    <n v="3000"/>
    <n v="57000"/>
    <n v="78000"/>
    <n v="135000"/>
    <x v="2"/>
    <x v="2"/>
    <x v="0"/>
    <x v="2"/>
    <x v="0"/>
    <s v="Rendah"/>
    <x v="1"/>
    <s v="sangat rendah"/>
  </r>
  <r>
    <s v="ORD00209"/>
    <x v="677"/>
    <s v="Dina Puspita"/>
    <x v="4"/>
    <x v="1"/>
    <n v="17000"/>
    <n v="1"/>
    <n v="10"/>
    <n v="17000"/>
    <n v="1700"/>
    <n v="15300"/>
    <n v="0"/>
    <n v="15300"/>
    <x v="2"/>
    <x v="4"/>
    <x v="4"/>
    <x v="1"/>
    <x v="0"/>
    <s v="Rendah"/>
    <x v="1"/>
    <s v="sangat rendah"/>
  </r>
  <r>
    <s v="ORD00209"/>
    <x v="677"/>
    <s v="Dina Puspita"/>
    <x v="4"/>
    <x v="14"/>
    <n v="18000"/>
    <n v="2"/>
    <n v="5"/>
    <n v="36000"/>
    <n v="1800"/>
    <n v="34200"/>
    <n v="0"/>
    <n v="34200"/>
    <x v="2"/>
    <x v="4"/>
    <x v="4"/>
    <x v="1"/>
    <x v="0"/>
    <s v="Rendah"/>
    <x v="1"/>
    <s v="sangat rendah"/>
  </r>
  <r>
    <s v="ORD00582"/>
    <x v="678"/>
    <s v="Nanda Iskandar"/>
    <x v="20"/>
    <x v="4"/>
    <n v="6000"/>
    <n v="4"/>
    <n v="10"/>
    <n v="24000"/>
    <n v="2400"/>
    <n v="21600"/>
    <n v="85000"/>
    <n v="106600"/>
    <x v="1"/>
    <x v="2"/>
    <x v="0"/>
    <x v="1"/>
    <x v="1"/>
    <s v="Rendah"/>
    <x v="1"/>
    <s v="sangat rendah"/>
  </r>
  <r>
    <s v="ORD01333"/>
    <x v="679"/>
    <s v="Aulia Utami"/>
    <x v="5"/>
    <x v="9"/>
    <n v="35000"/>
    <n v="4"/>
    <n v="10"/>
    <n v="140000"/>
    <n v="14000"/>
    <n v="126000"/>
    <n v="78000"/>
    <n v="204000"/>
    <x v="0"/>
    <x v="3"/>
    <x v="2"/>
    <x v="4"/>
    <x v="0"/>
    <s v="Bagus"/>
    <x v="2"/>
    <s v="normal"/>
  </r>
  <r>
    <s v="ORD01140"/>
    <x v="680"/>
    <s v="Budi Saputra"/>
    <x v="11"/>
    <x v="21"/>
    <n v="10000"/>
    <n v="3"/>
    <n v="0"/>
    <n v="30000"/>
    <n v="0"/>
    <n v="30000"/>
    <n v="56000"/>
    <n v="86000"/>
    <x v="2"/>
    <x v="2"/>
    <x v="4"/>
    <x v="4"/>
    <x v="1"/>
    <s v="Bagus"/>
    <x v="1"/>
    <s v="sangat rendah"/>
  </r>
  <r>
    <s v="ORD00648"/>
    <x v="681"/>
    <s v="Andi Iskandar"/>
    <x v="8"/>
    <x v="10"/>
    <n v="45000"/>
    <n v="3"/>
    <n v="10"/>
    <n v="135000"/>
    <n v="13500"/>
    <n v="121500"/>
    <n v="87000"/>
    <n v="208500"/>
    <x v="1"/>
    <x v="4"/>
    <x v="0"/>
    <x v="4"/>
    <x v="1"/>
    <s v="Bagus"/>
    <x v="2"/>
    <s v="normal"/>
  </r>
  <r>
    <s v="ORD00990"/>
    <x v="682"/>
    <s v="Fitri Ramadhani"/>
    <x v="12"/>
    <x v="10"/>
    <n v="45000"/>
    <n v="3"/>
    <n v="0"/>
    <n v="135000"/>
    <n v="0"/>
    <n v="135000"/>
    <n v="74000"/>
    <n v="209000"/>
    <x v="0"/>
    <x v="2"/>
    <x v="0"/>
    <x v="3"/>
    <x v="0"/>
    <s v="Bagus"/>
    <x v="1"/>
    <s v="sangat rendah"/>
  </r>
  <r>
    <s v="ORD00060"/>
    <x v="683"/>
    <s v="Budi Wijaya"/>
    <x v="34"/>
    <x v="0"/>
    <n v="16000"/>
    <n v="5"/>
    <n v="20"/>
    <n v="80000"/>
    <n v="16000"/>
    <n v="64000"/>
    <n v="80000"/>
    <n v="144000"/>
    <x v="2"/>
    <x v="2"/>
    <x v="2"/>
    <x v="0"/>
    <x v="1"/>
    <s v="Standar"/>
    <x v="2"/>
    <s v="normal"/>
  </r>
  <r>
    <s v="ORD01779"/>
    <x v="684"/>
    <s v="Hana Wijaya"/>
    <x v="13"/>
    <x v="19"/>
    <n v="35000"/>
    <n v="3"/>
    <n v="15"/>
    <n v="105000"/>
    <n v="15750"/>
    <n v="89250"/>
    <n v="87000"/>
    <n v="176250"/>
    <x v="2"/>
    <x v="4"/>
    <x v="1"/>
    <x v="1"/>
    <x v="0"/>
    <s v="Rendah"/>
    <x v="2"/>
    <s v="normal"/>
  </r>
  <r>
    <s v="ORD00672"/>
    <x v="685"/>
    <s v="Sari Halim"/>
    <x v="19"/>
    <x v="18"/>
    <n v="16000"/>
    <n v="5"/>
    <n v="5"/>
    <n v="80000"/>
    <n v="4000"/>
    <n v="76000"/>
    <n v="55000"/>
    <n v="131000"/>
    <x v="3"/>
    <x v="4"/>
    <x v="3"/>
    <x v="0"/>
    <x v="0"/>
    <s v="Standar"/>
    <x v="1"/>
    <s v="sangat rendah"/>
  </r>
  <r>
    <s v="ORD00491"/>
    <x v="686"/>
    <s v="Bella Ananda"/>
    <x v="18"/>
    <x v="16"/>
    <n v="28000"/>
    <n v="4"/>
    <n v="0"/>
    <n v="112000"/>
    <n v="0"/>
    <n v="112000"/>
    <n v="43000"/>
    <n v="155000"/>
    <x v="3"/>
    <x v="4"/>
    <x v="3"/>
    <x v="3"/>
    <x v="0"/>
    <s v="Bagus"/>
    <x v="1"/>
    <s v="sangat rendah"/>
  </r>
  <r>
    <s v="ORD00673"/>
    <x v="687"/>
    <s v="Yoga Utami"/>
    <x v="19"/>
    <x v="2"/>
    <n v="5000"/>
    <n v="2"/>
    <n v="20"/>
    <n v="10000"/>
    <n v="2000"/>
    <n v="8000"/>
    <n v="55000"/>
    <n v="63000"/>
    <x v="0"/>
    <x v="4"/>
    <x v="0"/>
    <x v="4"/>
    <x v="1"/>
    <s v="Bagus"/>
    <x v="1"/>
    <s v="sangat rendah"/>
  </r>
  <r>
    <s v="ORD01486"/>
    <x v="688"/>
    <s v="Qori Fauziah"/>
    <x v="12"/>
    <x v="5"/>
    <n v="50000"/>
    <n v="2"/>
    <n v="15"/>
    <n v="100000"/>
    <n v="15000"/>
    <n v="85000"/>
    <n v="74000"/>
    <n v="159000"/>
    <x v="2"/>
    <x v="4"/>
    <x v="4"/>
    <x v="1"/>
    <x v="0"/>
    <s v="Rendah"/>
    <x v="2"/>
    <s v="normal"/>
  </r>
  <r>
    <s v="ORD01663"/>
    <x v="689"/>
    <s v="Lestari Pradipta"/>
    <x v="11"/>
    <x v="0"/>
    <n v="16000"/>
    <n v="2"/>
    <n v="20"/>
    <n v="32000"/>
    <n v="6400"/>
    <n v="25600"/>
    <n v="56000"/>
    <n v="81600"/>
    <x v="0"/>
    <x v="2"/>
    <x v="2"/>
    <x v="3"/>
    <x v="0"/>
    <s v="Bagus"/>
    <x v="0"/>
    <s v="rendah"/>
  </r>
  <r>
    <s v="ORD00848"/>
    <x v="690"/>
    <s v="Tono Fauziah"/>
    <x v="37"/>
    <x v="13"/>
    <n v="17000"/>
    <n v="4"/>
    <n v="15"/>
    <n v="68000"/>
    <n v="10200"/>
    <n v="57800"/>
    <n v="57000"/>
    <n v="114800"/>
    <x v="0"/>
    <x v="2"/>
    <x v="1"/>
    <x v="3"/>
    <x v="1"/>
    <s v="Bagus"/>
    <x v="2"/>
    <s v="normal"/>
  </r>
  <r>
    <s v="ORD00630"/>
    <x v="691"/>
    <s v="Rizky Ramadhani"/>
    <x v="31"/>
    <x v="5"/>
    <n v="50000"/>
    <n v="4"/>
    <n v="10"/>
    <n v="200000"/>
    <n v="20000"/>
    <n v="180000"/>
    <n v="18000"/>
    <n v="198000"/>
    <x v="0"/>
    <x v="2"/>
    <x v="3"/>
    <x v="2"/>
    <x v="1"/>
    <s v="Rendah"/>
    <x v="2"/>
    <s v="normal"/>
  </r>
  <r>
    <s v="ORD00384"/>
    <x v="692"/>
    <s v="Clara Utami"/>
    <x v="31"/>
    <x v="13"/>
    <n v="17000"/>
    <n v="3"/>
    <n v="15"/>
    <n v="51000"/>
    <n v="7650"/>
    <n v="43350"/>
    <n v="18000"/>
    <n v="61350"/>
    <x v="1"/>
    <x v="4"/>
    <x v="4"/>
    <x v="4"/>
    <x v="0"/>
    <s v="Bagus"/>
    <x v="0"/>
    <s v="rendah"/>
  </r>
  <r>
    <s v="ORD00384"/>
    <x v="692"/>
    <s v="Clara Utami"/>
    <x v="31"/>
    <x v="23"/>
    <n v="45000"/>
    <n v="3"/>
    <n v="10"/>
    <n v="135000"/>
    <n v="13500"/>
    <n v="121500"/>
    <n v="0"/>
    <n v="121500"/>
    <x v="1"/>
    <x v="4"/>
    <x v="4"/>
    <x v="4"/>
    <x v="0"/>
    <s v="Bagus"/>
    <x v="2"/>
    <s v="normal"/>
  </r>
  <r>
    <s v="ORD01446"/>
    <x v="693"/>
    <s v="Nanda Halim"/>
    <x v="23"/>
    <x v="12"/>
    <n v="25000"/>
    <n v="4"/>
    <n v="20"/>
    <n v="100000"/>
    <n v="20000"/>
    <n v="80000"/>
    <n v="49000"/>
    <n v="129000"/>
    <x v="1"/>
    <x v="2"/>
    <x v="2"/>
    <x v="2"/>
    <x v="1"/>
    <s v="Rendah"/>
    <x v="2"/>
    <s v="normal"/>
  </r>
  <r>
    <s v="ORD00385"/>
    <x v="694"/>
    <s v="Citra Ananda"/>
    <x v="3"/>
    <x v="17"/>
    <n v="15000"/>
    <n v="5"/>
    <n v="20"/>
    <n v="75000"/>
    <n v="15000"/>
    <n v="60000"/>
    <n v="18000"/>
    <n v="78000"/>
    <x v="0"/>
    <x v="2"/>
    <x v="3"/>
    <x v="2"/>
    <x v="0"/>
    <s v="Rendah"/>
    <x v="2"/>
    <s v="normal"/>
  </r>
  <r>
    <s v="ORD01812"/>
    <x v="695"/>
    <s v="Citra Ananda"/>
    <x v="3"/>
    <x v="9"/>
    <n v="35000"/>
    <n v="2"/>
    <n v="20"/>
    <n v="70000"/>
    <n v="14000"/>
    <n v="56000"/>
    <n v="18000"/>
    <n v="74000"/>
    <x v="2"/>
    <x v="2"/>
    <x v="3"/>
    <x v="2"/>
    <x v="0"/>
    <s v="Rendah"/>
    <x v="2"/>
    <s v="normal"/>
  </r>
  <r>
    <s v="ORD01862"/>
    <x v="696"/>
    <s v="Erna Rahmawati"/>
    <x v="27"/>
    <x v="26"/>
    <n v="16000"/>
    <n v="4"/>
    <n v="0"/>
    <n v="64000"/>
    <n v="0"/>
    <n v="64000"/>
    <n v="18000"/>
    <n v="82000"/>
    <x v="3"/>
    <x v="2"/>
    <x v="4"/>
    <x v="0"/>
    <x v="0"/>
    <s v="Standar"/>
    <x v="1"/>
    <s v="sangat rendah"/>
  </r>
  <r>
    <s v="ORD00579"/>
    <x v="697"/>
    <s v="Ani Puspita"/>
    <x v="0"/>
    <x v="15"/>
    <n v="4000"/>
    <n v="4"/>
    <n v="5"/>
    <n v="16000"/>
    <n v="800"/>
    <n v="15200"/>
    <n v="67000"/>
    <n v="82200"/>
    <x v="3"/>
    <x v="2"/>
    <x v="0"/>
    <x v="0"/>
    <x v="0"/>
    <s v="Standar"/>
    <x v="1"/>
    <s v="sangat rendah"/>
  </r>
  <r>
    <s v="ORD00032"/>
    <x v="698"/>
    <s v="Andi Syahputra"/>
    <x v="27"/>
    <x v="5"/>
    <n v="50000"/>
    <n v="1"/>
    <n v="20"/>
    <n v="50000"/>
    <n v="10000"/>
    <n v="40000"/>
    <n v="18000"/>
    <n v="58000"/>
    <x v="3"/>
    <x v="2"/>
    <x v="1"/>
    <x v="0"/>
    <x v="1"/>
    <s v="Standar"/>
    <x v="0"/>
    <s v="rendah"/>
  </r>
  <r>
    <s v="ORD00797"/>
    <x v="699"/>
    <s v="Yoga Nugroho"/>
    <x v="27"/>
    <x v="3"/>
    <n v="14000"/>
    <n v="5"/>
    <n v="15"/>
    <n v="70000"/>
    <n v="10500"/>
    <n v="59500"/>
    <n v="18000"/>
    <n v="77500"/>
    <x v="3"/>
    <x v="4"/>
    <x v="1"/>
    <x v="0"/>
    <x v="1"/>
    <s v="Standar"/>
    <x v="2"/>
    <s v="normal"/>
  </r>
  <r>
    <s v="ORD00329"/>
    <x v="700"/>
    <s v="Qori Halim"/>
    <x v="23"/>
    <x v="3"/>
    <n v="14000"/>
    <n v="3"/>
    <n v="20"/>
    <n v="42000"/>
    <n v="8400"/>
    <n v="33600"/>
    <n v="49000"/>
    <n v="82600"/>
    <x v="2"/>
    <x v="4"/>
    <x v="2"/>
    <x v="0"/>
    <x v="0"/>
    <s v="Standar"/>
    <x v="0"/>
    <s v="rendah"/>
  </r>
  <r>
    <s v="ORD00688"/>
    <x v="701"/>
    <s v="Dewi Puspita"/>
    <x v="6"/>
    <x v="13"/>
    <n v="17000"/>
    <n v="5"/>
    <n v="5"/>
    <n v="85000"/>
    <n v="4250"/>
    <n v="80750"/>
    <n v="30000"/>
    <n v="110750"/>
    <x v="3"/>
    <x v="4"/>
    <x v="2"/>
    <x v="3"/>
    <x v="0"/>
    <s v="Bagus"/>
    <x v="1"/>
    <s v="sangat rendah"/>
  </r>
  <r>
    <s v="ORD00456"/>
    <x v="702"/>
    <s v="Clara Pradipta"/>
    <x v="30"/>
    <x v="8"/>
    <n v="14000"/>
    <n v="1"/>
    <n v="20"/>
    <n v="14000"/>
    <n v="2800"/>
    <n v="11200"/>
    <n v="97000"/>
    <n v="108200"/>
    <x v="2"/>
    <x v="2"/>
    <x v="2"/>
    <x v="3"/>
    <x v="0"/>
    <s v="Bagus"/>
    <x v="1"/>
    <s v="sangat rendah"/>
  </r>
  <r>
    <s v="ORD00456"/>
    <x v="702"/>
    <s v="Clara Pradipta"/>
    <x v="30"/>
    <x v="13"/>
    <n v="17000"/>
    <n v="4"/>
    <n v="5"/>
    <n v="68000"/>
    <n v="3400"/>
    <n v="64600"/>
    <n v="0"/>
    <n v="64600"/>
    <x v="2"/>
    <x v="2"/>
    <x v="2"/>
    <x v="3"/>
    <x v="0"/>
    <s v="Bagus"/>
    <x v="1"/>
    <s v="sangat rendah"/>
  </r>
  <r>
    <s v="ORD00899"/>
    <x v="703"/>
    <s v="Ani Halim"/>
    <x v="16"/>
    <x v="5"/>
    <n v="50000"/>
    <n v="2"/>
    <n v="5"/>
    <n v="100000"/>
    <n v="5000"/>
    <n v="95000"/>
    <n v="50000"/>
    <n v="145000"/>
    <x v="2"/>
    <x v="2"/>
    <x v="1"/>
    <x v="4"/>
    <x v="0"/>
    <s v="Bagus"/>
    <x v="1"/>
    <s v="sangat rendah"/>
  </r>
  <r>
    <s v="ORD00881"/>
    <x v="704"/>
    <s v="Hana Saputra"/>
    <x v="21"/>
    <x v="14"/>
    <n v="18000"/>
    <n v="1"/>
    <n v="15"/>
    <n v="18000"/>
    <n v="2700"/>
    <n v="15300"/>
    <n v="72000"/>
    <n v="87300"/>
    <x v="0"/>
    <x v="2"/>
    <x v="1"/>
    <x v="3"/>
    <x v="0"/>
    <s v="Bagus"/>
    <x v="1"/>
    <s v="sangat rendah"/>
  </r>
  <r>
    <s v="ORD00258"/>
    <x v="705"/>
    <s v="Bella Pradipta"/>
    <x v="19"/>
    <x v="25"/>
    <n v="40000"/>
    <n v="4"/>
    <n v="20"/>
    <n v="160000"/>
    <n v="32000"/>
    <n v="128000"/>
    <n v="55000"/>
    <n v="183000"/>
    <x v="2"/>
    <x v="2"/>
    <x v="4"/>
    <x v="3"/>
    <x v="0"/>
    <s v="Bagus"/>
    <x v="4"/>
    <s v="tinggi"/>
  </r>
  <r>
    <s v="ORD00502"/>
    <x v="706"/>
    <s v="Eka Maulana"/>
    <x v="35"/>
    <x v="9"/>
    <n v="35000"/>
    <n v="5"/>
    <n v="20"/>
    <n v="175000"/>
    <n v="35000"/>
    <n v="140000"/>
    <n v="76000"/>
    <n v="216000"/>
    <x v="1"/>
    <x v="2"/>
    <x v="1"/>
    <x v="3"/>
    <x v="0"/>
    <s v="Bagus"/>
    <x v="4"/>
    <s v="tinggi"/>
  </r>
  <r>
    <s v="ORD01204"/>
    <x v="707"/>
    <s v="Galih Iskandar"/>
    <x v="36"/>
    <x v="9"/>
    <n v="35000"/>
    <n v="2"/>
    <n v="10"/>
    <n v="70000"/>
    <n v="7000"/>
    <n v="63000"/>
    <n v="49000"/>
    <n v="112000"/>
    <x v="3"/>
    <x v="2"/>
    <x v="0"/>
    <x v="1"/>
    <x v="1"/>
    <s v="Rendah"/>
    <x v="0"/>
    <s v="rendah"/>
  </r>
  <r>
    <s v="ORD00505"/>
    <x v="708"/>
    <s v="Erna Hidayat"/>
    <x v="26"/>
    <x v="17"/>
    <n v="15000"/>
    <n v="2"/>
    <n v="15"/>
    <n v="30000"/>
    <n v="4500"/>
    <n v="25500"/>
    <n v="28000"/>
    <n v="53500"/>
    <x v="0"/>
    <x v="4"/>
    <x v="0"/>
    <x v="4"/>
    <x v="0"/>
    <s v="Bagus"/>
    <x v="1"/>
    <s v="sangat rendah"/>
  </r>
  <r>
    <s v="ORD01687"/>
    <x v="709"/>
    <s v="Oka Santoso"/>
    <x v="3"/>
    <x v="23"/>
    <n v="45000"/>
    <n v="3"/>
    <n v="10"/>
    <n v="135000"/>
    <n v="13500"/>
    <n v="121500"/>
    <n v="18000"/>
    <n v="139500"/>
    <x v="2"/>
    <x v="2"/>
    <x v="2"/>
    <x v="2"/>
    <x v="1"/>
    <s v="Rendah"/>
    <x v="2"/>
    <s v="normal"/>
  </r>
  <r>
    <s v="ORD00896"/>
    <x v="710"/>
    <s v="Dina Ananda"/>
    <x v="35"/>
    <x v="23"/>
    <n v="45000"/>
    <n v="3"/>
    <n v="10"/>
    <n v="135000"/>
    <n v="13500"/>
    <n v="121500"/>
    <n v="76000"/>
    <n v="197500"/>
    <x v="1"/>
    <x v="2"/>
    <x v="1"/>
    <x v="1"/>
    <x v="0"/>
    <s v="Rendah"/>
    <x v="2"/>
    <s v="normal"/>
  </r>
  <r>
    <s v="ORD01719"/>
    <x v="711"/>
    <s v="Yani Ananda"/>
    <x v="11"/>
    <x v="9"/>
    <n v="35000"/>
    <n v="1"/>
    <n v="5"/>
    <n v="35000"/>
    <n v="1750"/>
    <n v="33250"/>
    <n v="56000"/>
    <n v="89250"/>
    <x v="0"/>
    <x v="2"/>
    <x v="1"/>
    <x v="1"/>
    <x v="0"/>
    <s v="Rendah"/>
    <x v="1"/>
    <s v="sangat rendah"/>
  </r>
  <r>
    <s v="ORD00351"/>
    <x v="712"/>
    <s v="Zahra Puspita"/>
    <x v="5"/>
    <x v="8"/>
    <n v="14000"/>
    <n v="2"/>
    <n v="15"/>
    <n v="28000"/>
    <n v="4200"/>
    <n v="23800"/>
    <n v="78000"/>
    <n v="101800"/>
    <x v="1"/>
    <x v="2"/>
    <x v="2"/>
    <x v="3"/>
    <x v="0"/>
    <s v="Bagus"/>
    <x v="1"/>
    <s v="sangat rendah"/>
  </r>
  <r>
    <s v="ORD00351"/>
    <x v="712"/>
    <s v="Zahra Puspita"/>
    <x v="5"/>
    <x v="4"/>
    <n v="6000"/>
    <n v="3"/>
    <n v="10"/>
    <n v="18000"/>
    <n v="1800"/>
    <n v="16200"/>
    <n v="0"/>
    <n v="16200"/>
    <x v="1"/>
    <x v="2"/>
    <x v="2"/>
    <x v="3"/>
    <x v="0"/>
    <s v="Bagus"/>
    <x v="1"/>
    <s v="sangat rendah"/>
  </r>
  <r>
    <s v="ORD00368"/>
    <x v="713"/>
    <s v="Sari Setiawan"/>
    <x v="6"/>
    <x v="23"/>
    <n v="45000"/>
    <n v="4"/>
    <n v="10"/>
    <n v="180000"/>
    <n v="18000"/>
    <n v="162000"/>
    <n v="30000"/>
    <n v="192000"/>
    <x v="0"/>
    <x v="2"/>
    <x v="4"/>
    <x v="2"/>
    <x v="0"/>
    <s v="Rendah"/>
    <x v="2"/>
    <s v="normal"/>
  </r>
  <r>
    <s v="ORD01339"/>
    <x v="714"/>
    <s v="Dewi Rahmawati"/>
    <x v="2"/>
    <x v="7"/>
    <n v="12000"/>
    <n v="1"/>
    <n v="15"/>
    <n v="12000"/>
    <n v="1800"/>
    <n v="10200"/>
    <n v="26000"/>
    <n v="36200"/>
    <x v="3"/>
    <x v="2"/>
    <x v="2"/>
    <x v="2"/>
    <x v="0"/>
    <s v="Rendah"/>
    <x v="1"/>
    <s v="sangat rendah"/>
  </r>
  <r>
    <s v="ORD00639"/>
    <x v="715"/>
    <s v="Erna Syahputra"/>
    <x v="27"/>
    <x v="3"/>
    <n v="14000"/>
    <n v="5"/>
    <n v="0"/>
    <n v="70000"/>
    <n v="0"/>
    <n v="70000"/>
    <n v="18000"/>
    <n v="88000"/>
    <x v="0"/>
    <x v="4"/>
    <x v="1"/>
    <x v="3"/>
    <x v="0"/>
    <s v="Bagus"/>
    <x v="1"/>
    <s v="sangat rendah"/>
  </r>
  <r>
    <s v="ORD01378"/>
    <x v="716"/>
    <s v="Eka Maulana"/>
    <x v="35"/>
    <x v="14"/>
    <n v="18000"/>
    <n v="1"/>
    <n v="20"/>
    <n v="18000"/>
    <n v="3600"/>
    <n v="14400"/>
    <n v="76000"/>
    <n v="90400"/>
    <x v="1"/>
    <x v="2"/>
    <x v="2"/>
    <x v="3"/>
    <x v="0"/>
    <s v="Bagus"/>
    <x v="1"/>
    <s v="sangat rendah"/>
  </r>
  <r>
    <s v="ORD00492"/>
    <x v="717"/>
    <s v="Yani Santoso"/>
    <x v="20"/>
    <x v="3"/>
    <n v="14000"/>
    <n v="3"/>
    <n v="5"/>
    <n v="42000"/>
    <n v="2100"/>
    <n v="39900"/>
    <n v="85000"/>
    <n v="124900"/>
    <x v="1"/>
    <x v="2"/>
    <x v="3"/>
    <x v="0"/>
    <x v="0"/>
    <s v="Standar"/>
    <x v="1"/>
    <s v="sangat rendah"/>
  </r>
  <r>
    <s v="ORD00965"/>
    <x v="718"/>
    <s v="Galih Puspita"/>
    <x v="24"/>
    <x v="6"/>
    <n v="55000"/>
    <n v="3"/>
    <n v="10"/>
    <n v="165000"/>
    <n v="16500"/>
    <n v="148500"/>
    <n v="93000"/>
    <n v="241500"/>
    <x v="2"/>
    <x v="2"/>
    <x v="0"/>
    <x v="1"/>
    <x v="1"/>
    <s v="Rendah"/>
    <x v="2"/>
    <s v="normal"/>
  </r>
  <r>
    <s v="ORD00079"/>
    <x v="719"/>
    <s v="Made Santoso"/>
    <x v="28"/>
    <x v="16"/>
    <n v="28000"/>
    <n v="5"/>
    <n v="0"/>
    <n v="140000"/>
    <n v="0"/>
    <n v="140000"/>
    <n v="79000"/>
    <n v="219000"/>
    <x v="0"/>
    <x v="2"/>
    <x v="3"/>
    <x v="0"/>
    <x v="1"/>
    <s v="Standar"/>
    <x v="1"/>
    <s v="sangat rendah"/>
  </r>
  <r>
    <s v="ORD00079"/>
    <x v="719"/>
    <s v="Made Santoso"/>
    <x v="28"/>
    <x v="12"/>
    <n v="25000"/>
    <n v="4"/>
    <n v="0"/>
    <n v="100000"/>
    <n v="0"/>
    <n v="100000"/>
    <n v="0"/>
    <n v="100000"/>
    <x v="0"/>
    <x v="2"/>
    <x v="3"/>
    <x v="0"/>
    <x v="1"/>
    <s v="Standar"/>
    <x v="1"/>
    <s v="sangat rendah"/>
  </r>
  <r>
    <s v="ORD01629"/>
    <x v="720"/>
    <s v="Bella Ramadhani"/>
    <x v="20"/>
    <x v="21"/>
    <n v="10000"/>
    <n v="2"/>
    <n v="15"/>
    <n v="20000"/>
    <n v="3000"/>
    <n v="17000"/>
    <n v="85000"/>
    <n v="102000"/>
    <x v="2"/>
    <x v="4"/>
    <x v="3"/>
    <x v="0"/>
    <x v="0"/>
    <s v="Standar"/>
    <x v="1"/>
    <s v="sangat rendah"/>
  </r>
  <r>
    <s v="ORD00396"/>
    <x v="721"/>
    <s v="Erna Rahmawati"/>
    <x v="27"/>
    <x v="17"/>
    <n v="15000"/>
    <n v="3"/>
    <n v="0"/>
    <n v="45000"/>
    <n v="0"/>
    <n v="45000"/>
    <n v="18000"/>
    <n v="63000"/>
    <x v="1"/>
    <x v="2"/>
    <x v="3"/>
    <x v="2"/>
    <x v="0"/>
    <s v="Rendah"/>
    <x v="1"/>
    <s v="sangat rendah"/>
  </r>
  <r>
    <s v="ORD01164"/>
    <x v="722"/>
    <s v="Qori Syahputra"/>
    <x v="6"/>
    <x v="9"/>
    <n v="35000"/>
    <n v="5"/>
    <n v="10"/>
    <n v="175000"/>
    <n v="17500"/>
    <n v="157500"/>
    <n v="30000"/>
    <n v="187500"/>
    <x v="3"/>
    <x v="2"/>
    <x v="2"/>
    <x v="4"/>
    <x v="0"/>
    <s v="Bagus"/>
    <x v="2"/>
    <s v="normal"/>
  </r>
  <r>
    <s v="ORD01111"/>
    <x v="723"/>
    <s v="Aulia Rahmawati"/>
    <x v="8"/>
    <x v="17"/>
    <n v="15000"/>
    <n v="3"/>
    <n v="5"/>
    <n v="45000"/>
    <n v="2250"/>
    <n v="42750"/>
    <n v="87000"/>
    <n v="129750"/>
    <x v="1"/>
    <x v="2"/>
    <x v="1"/>
    <x v="1"/>
    <x v="0"/>
    <s v="Rendah"/>
    <x v="1"/>
    <s v="sangat rendah"/>
  </r>
  <r>
    <s v="ORD01379"/>
    <x v="724"/>
    <s v="Fitri Budiman"/>
    <x v="3"/>
    <x v="4"/>
    <n v="6000"/>
    <n v="5"/>
    <n v="0"/>
    <n v="30000"/>
    <n v="0"/>
    <n v="30000"/>
    <n v="18000"/>
    <n v="48000"/>
    <x v="1"/>
    <x v="2"/>
    <x v="1"/>
    <x v="2"/>
    <x v="0"/>
    <s v="Rendah"/>
    <x v="1"/>
    <s v="sangat rendah"/>
  </r>
  <r>
    <s v="ORD01161"/>
    <x v="725"/>
    <s v="Zahra Iskandar"/>
    <x v="3"/>
    <x v="20"/>
    <n v="40000"/>
    <n v="5"/>
    <n v="20"/>
    <n v="200000"/>
    <n v="40000"/>
    <n v="160000"/>
    <n v="18000"/>
    <n v="178000"/>
    <x v="1"/>
    <x v="2"/>
    <x v="3"/>
    <x v="3"/>
    <x v="0"/>
    <s v="Bagus"/>
    <x v="3"/>
    <s v="sangat tinggi"/>
  </r>
  <r>
    <s v="ORD00489"/>
    <x v="726"/>
    <s v="Yani Saputra"/>
    <x v="6"/>
    <x v="11"/>
    <n v="30000"/>
    <n v="2"/>
    <n v="0"/>
    <n v="60000"/>
    <n v="0"/>
    <n v="60000"/>
    <n v="30000"/>
    <n v="90000"/>
    <x v="3"/>
    <x v="2"/>
    <x v="4"/>
    <x v="1"/>
    <x v="0"/>
    <s v="Rendah"/>
    <x v="1"/>
    <s v="sangat rendah"/>
  </r>
  <r>
    <s v="ORD00489"/>
    <x v="726"/>
    <s v="Yani Saputra"/>
    <x v="6"/>
    <x v="21"/>
    <n v="10000"/>
    <n v="3"/>
    <n v="15"/>
    <n v="30000"/>
    <n v="4500"/>
    <n v="25500"/>
    <n v="0"/>
    <n v="25500"/>
    <x v="3"/>
    <x v="2"/>
    <x v="4"/>
    <x v="1"/>
    <x v="0"/>
    <s v="Rendah"/>
    <x v="1"/>
    <s v="sangat rendah"/>
  </r>
  <r>
    <s v="ORD00127"/>
    <x v="727"/>
    <s v="Dewi Utami"/>
    <x v="4"/>
    <x v="15"/>
    <n v="4000"/>
    <n v="4"/>
    <n v="20"/>
    <n v="16000"/>
    <n v="3200"/>
    <n v="12800"/>
    <n v="0"/>
    <n v="12800"/>
    <x v="2"/>
    <x v="2"/>
    <x v="2"/>
    <x v="0"/>
    <x v="0"/>
    <s v="Standar"/>
    <x v="1"/>
    <s v="sangat rendah"/>
  </r>
  <r>
    <s v="ORD00863"/>
    <x v="728"/>
    <s v="Lestari Pradipta"/>
    <x v="11"/>
    <x v="16"/>
    <n v="28000"/>
    <n v="5"/>
    <n v="5"/>
    <n v="140000"/>
    <n v="7000"/>
    <n v="133000"/>
    <n v="56000"/>
    <n v="189000"/>
    <x v="0"/>
    <x v="2"/>
    <x v="2"/>
    <x v="1"/>
    <x v="0"/>
    <s v="Rendah"/>
    <x v="0"/>
    <s v="rendah"/>
  </r>
  <r>
    <s v="ORD00177"/>
    <x v="729"/>
    <s v="Putri Ramadhani"/>
    <x v="31"/>
    <x v="4"/>
    <n v="6000"/>
    <n v="5"/>
    <n v="20"/>
    <n v="30000"/>
    <n v="6000"/>
    <n v="24000"/>
    <n v="18000"/>
    <n v="42000"/>
    <x v="3"/>
    <x v="2"/>
    <x v="3"/>
    <x v="0"/>
    <x v="0"/>
    <s v="Standar"/>
    <x v="0"/>
    <s v="rendah"/>
  </r>
  <r>
    <s v="ORD00698"/>
    <x v="730"/>
    <s v="Budi Saputra"/>
    <x v="11"/>
    <x v="11"/>
    <n v="30000"/>
    <n v="1"/>
    <n v="15"/>
    <n v="30000"/>
    <n v="4500"/>
    <n v="25500"/>
    <n v="56000"/>
    <n v="81500"/>
    <x v="3"/>
    <x v="2"/>
    <x v="1"/>
    <x v="3"/>
    <x v="1"/>
    <s v="Bagus"/>
    <x v="1"/>
    <s v="sangat rendah"/>
  </r>
  <r>
    <s v="ORD00709"/>
    <x v="731"/>
    <s v="Putri Wijaya"/>
    <x v="6"/>
    <x v="18"/>
    <n v="16000"/>
    <n v="2"/>
    <n v="5"/>
    <n v="32000"/>
    <n v="1600"/>
    <n v="30400"/>
    <n v="30000"/>
    <n v="60400"/>
    <x v="1"/>
    <x v="2"/>
    <x v="4"/>
    <x v="2"/>
    <x v="0"/>
    <s v="Rendah"/>
    <x v="1"/>
    <s v="sangat rendah"/>
  </r>
  <r>
    <s v="ORD01295"/>
    <x v="732"/>
    <s v="Hana Nugroho"/>
    <x v="12"/>
    <x v="3"/>
    <n v="14000"/>
    <n v="4"/>
    <n v="5"/>
    <n v="56000"/>
    <n v="2800"/>
    <n v="53200"/>
    <n v="74000"/>
    <n v="127200"/>
    <x v="0"/>
    <x v="2"/>
    <x v="3"/>
    <x v="0"/>
    <x v="0"/>
    <s v="Standar"/>
    <x v="1"/>
    <s v="sangat rendah"/>
  </r>
  <r>
    <s v="ORD00487"/>
    <x v="733"/>
    <s v="Qori Hidayat"/>
    <x v="15"/>
    <x v="2"/>
    <n v="5000"/>
    <n v="3"/>
    <n v="15"/>
    <n v="15000"/>
    <n v="2250"/>
    <n v="12750"/>
    <n v="17000"/>
    <n v="29750"/>
    <x v="1"/>
    <x v="2"/>
    <x v="4"/>
    <x v="0"/>
    <x v="0"/>
    <s v="Standar"/>
    <x v="1"/>
    <s v="sangat rendah"/>
  </r>
  <r>
    <s v="ORD01303"/>
    <x v="734"/>
    <s v="Galih Iskandar"/>
    <x v="36"/>
    <x v="22"/>
    <n v="18000"/>
    <n v="5"/>
    <n v="20"/>
    <n v="90000"/>
    <n v="18000"/>
    <n v="72000"/>
    <n v="49000"/>
    <n v="121000"/>
    <x v="1"/>
    <x v="2"/>
    <x v="4"/>
    <x v="3"/>
    <x v="1"/>
    <s v="Bagus"/>
    <x v="2"/>
    <s v="normal"/>
  </r>
  <r>
    <s v="ORD01830"/>
    <x v="735"/>
    <s v="Yani Utami"/>
    <x v="8"/>
    <x v="11"/>
    <n v="30000"/>
    <n v="3"/>
    <n v="20"/>
    <n v="90000"/>
    <n v="18000"/>
    <n v="72000"/>
    <n v="87000"/>
    <n v="159000"/>
    <x v="1"/>
    <x v="2"/>
    <x v="1"/>
    <x v="1"/>
    <x v="0"/>
    <s v="Rendah"/>
    <x v="2"/>
    <s v="normal"/>
  </r>
  <r>
    <s v="ORD00132"/>
    <x v="736"/>
    <s v="Dina Syahputra"/>
    <x v="11"/>
    <x v="10"/>
    <n v="45000"/>
    <n v="5"/>
    <n v="5"/>
    <n v="225000"/>
    <n v="11250"/>
    <n v="213750"/>
    <n v="56000"/>
    <n v="269750"/>
    <x v="2"/>
    <x v="2"/>
    <x v="1"/>
    <x v="3"/>
    <x v="0"/>
    <s v="Bagus"/>
    <x v="2"/>
    <s v="normal"/>
  </r>
  <r>
    <s v="ORD01594"/>
    <x v="737"/>
    <s v="Kartika Santoso"/>
    <x v="8"/>
    <x v="7"/>
    <n v="12000"/>
    <n v="2"/>
    <n v="20"/>
    <n v="24000"/>
    <n v="4800"/>
    <n v="19200"/>
    <n v="87000"/>
    <n v="106200"/>
    <x v="2"/>
    <x v="4"/>
    <x v="4"/>
    <x v="0"/>
    <x v="0"/>
    <s v="Standar"/>
    <x v="1"/>
    <s v="sangat rendah"/>
  </r>
  <r>
    <s v="ORD00743"/>
    <x v="738"/>
    <s v="Dina Puspita"/>
    <x v="4"/>
    <x v="2"/>
    <n v="5000"/>
    <n v="2"/>
    <n v="10"/>
    <n v="10000"/>
    <n v="1000"/>
    <n v="9000"/>
    <n v="0"/>
    <n v="9000"/>
    <x v="2"/>
    <x v="2"/>
    <x v="1"/>
    <x v="4"/>
    <x v="0"/>
    <s v="Bagus"/>
    <x v="1"/>
    <s v="sangat rendah"/>
  </r>
  <r>
    <s v="ORD00730"/>
    <x v="739"/>
    <s v="Sari Kusuma"/>
    <x v="28"/>
    <x v="1"/>
    <n v="17000"/>
    <n v="2"/>
    <n v="0"/>
    <n v="34000"/>
    <n v="0"/>
    <n v="34000"/>
    <n v="79000"/>
    <n v="113000"/>
    <x v="0"/>
    <x v="2"/>
    <x v="1"/>
    <x v="3"/>
    <x v="0"/>
    <s v="Bagus"/>
    <x v="1"/>
    <s v="sangat rendah"/>
  </r>
  <r>
    <s v="ORD00073"/>
    <x v="740"/>
    <s v="Hendra Syahputra"/>
    <x v="7"/>
    <x v="26"/>
    <n v="16000"/>
    <n v="1"/>
    <n v="0"/>
    <n v="16000"/>
    <n v="0"/>
    <n v="16000"/>
    <n v="15000"/>
    <n v="31000"/>
    <x v="0"/>
    <x v="2"/>
    <x v="3"/>
    <x v="3"/>
    <x v="1"/>
    <s v="Bagus"/>
    <x v="1"/>
    <s v="sangat rendah"/>
  </r>
  <r>
    <s v="ORD00073"/>
    <x v="740"/>
    <s v="Hendra Syahputra"/>
    <x v="7"/>
    <x v="20"/>
    <n v="40000"/>
    <n v="5"/>
    <n v="20"/>
    <n v="200000"/>
    <n v="40000"/>
    <n v="160000"/>
    <n v="0"/>
    <n v="160000"/>
    <x v="0"/>
    <x v="2"/>
    <x v="3"/>
    <x v="3"/>
    <x v="1"/>
    <s v="Bagus"/>
    <x v="3"/>
    <s v="sangat tinggi"/>
  </r>
  <r>
    <s v="ORD01714"/>
    <x v="741"/>
    <s v="Galih Iskandar"/>
    <x v="36"/>
    <x v="5"/>
    <n v="50000"/>
    <n v="4"/>
    <n v="0"/>
    <n v="200000"/>
    <n v="0"/>
    <n v="200000"/>
    <n v="49000"/>
    <n v="249000"/>
    <x v="0"/>
    <x v="2"/>
    <x v="0"/>
    <x v="3"/>
    <x v="1"/>
    <s v="Bagus"/>
    <x v="1"/>
    <s v="sangat rendah"/>
  </r>
  <r>
    <s v="ORD00897"/>
    <x v="742"/>
    <s v="Kartika Saputra"/>
    <x v="0"/>
    <x v="24"/>
    <n v="22000"/>
    <n v="2"/>
    <n v="5"/>
    <n v="44000"/>
    <n v="2200"/>
    <n v="41800"/>
    <n v="67000"/>
    <n v="108800"/>
    <x v="0"/>
    <x v="2"/>
    <x v="4"/>
    <x v="0"/>
    <x v="0"/>
    <s v="Standar"/>
    <x v="1"/>
    <s v="sangat rendah"/>
  </r>
  <r>
    <s v="ORD01431"/>
    <x v="743"/>
    <s v="Dina Maulana"/>
    <x v="9"/>
    <x v="25"/>
    <n v="40000"/>
    <n v="5"/>
    <n v="0"/>
    <n v="200000"/>
    <n v="0"/>
    <n v="200000"/>
    <n v="21000"/>
    <n v="221000"/>
    <x v="0"/>
    <x v="2"/>
    <x v="1"/>
    <x v="0"/>
    <x v="0"/>
    <s v="Standar"/>
    <x v="1"/>
    <s v="sangat rendah"/>
  </r>
  <r>
    <s v="ORD01302"/>
    <x v="744"/>
    <s v="Dina Setiawan"/>
    <x v="14"/>
    <x v="8"/>
    <n v="14000"/>
    <n v="5"/>
    <n v="0"/>
    <n v="70000"/>
    <n v="0"/>
    <n v="70000"/>
    <n v="46000"/>
    <n v="116000"/>
    <x v="2"/>
    <x v="2"/>
    <x v="2"/>
    <x v="2"/>
    <x v="0"/>
    <s v="Rendah"/>
    <x v="1"/>
    <s v="sangat rendah"/>
  </r>
  <r>
    <s v="ORD00325"/>
    <x v="745"/>
    <s v="Vina Iskandar"/>
    <x v="3"/>
    <x v="24"/>
    <n v="22000"/>
    <n v="1"/>
    <n v="10"/>
    <n v="22000"/>
    <n v="2200"/>
    <n v="19800"/>
    <n v="18000"/>
    <n v="37800"/>
    <x v="1"/>
    <x v="2"/>
    <x v="1"/>
    <x v="1"/>
    <x v="0"/>
    <s v="Rendah"/>
    <x v="1"/>
    <s v="sangat rendah"/>
  </r>
  <r>
    <s v="ORD00325"/>
    <x v="745"/>
    <s v="Vina Iskandar"/>
    <x v="3"/>
    <x v="15"/>
    <n v="4000"/>
    <n v="1"/>
    <n v="5"/>
    <n v="4000"/>
    <n v="200"/>
    <n v="3800"/>
    <n v="0"/>
    <n v="3800"/>
    <x v="1"/>
    <x v="2"/>
    <x v="1"/>
    <x v="1"/>
    <x v="0"/>
    <s v="Rendah"/>
    <x v="1"/>
    <s v="sangat rendah"/>
  </r>
  <r>
    <s v="ORD01757"/>
    <x v="746"/>
    <s v="Putri Santoso"/>
    <x v="5"/>
    <x v="11"/>
    <n v="30000"/>
    <n v="1"/>
    <n v="0"/>
    <n v="30000"/>
    <n v="0"/>
    <n v="30000"/>
    <n v="78000"/>
    <n v="108000"/>
    <x v="2"/>
    <x v="2"/>
    <x v="3"/>
    <x v="4"/>
    <x v="0"/>
    <s v="Bagus"/>
    <x v="1"/>
    <s v="sangat rendah"/>
  </r>
  <r>
    <s v="ORD00137"/>
    <x v="747"/>
    <s v="Vina Setiawan"/>
    <x v="4"/>
    <x v="16"/>
    <n v="28000"/>
    <n v="3"/>
    <n v="15"/>
    <n v="84000"/>
    <n v="12600"/>
    <n v="71400"/>
    <n v="0"/>
    <n v="71400"/>
    <x v="1"/>
    <x v="2"/>
    <x v="0"/>
    <x v="3"/>
    <x v="0"/>
    <s v="Bagus"/>
    <x v="2"/>
    <s v="normal"/>
  </r>
  <r>
    <s v="ORD00137"/>
    <x v="747"/>
    <s v="Vina Setiawan"/>
    <x v="4"/>
    <x v="1"/>
    <n v="17000"/>
    <n v="4"/>
    <n v="20"/>
    <n v="68000"/>
    <n v="13600"/>
    <n v="54400"/>
    <n v="0"/>
    <n v="54400"/>
    <x v="1"/>
    <x v="2"/>
    <x v="0"/>
    <x v="3"/>
    <x v="0"/>
    <s v="Bagus"/>
    <x v="2"/>
    <s v="normal"/>
  </r>
  <r>
    <s v="ORD01859"/>
    <x v="748"/>
    <s v="Citra Kurniawan"/>
    <x v="32"/>
    <x v="20"/>
    <n v="40000"/>
    <n v="3"/>
    <n v="10"/>
    <n v="120000"/>
    <n v="12000"/>
    <n v="108000"/>
    <n v="59000"/>
    <n v="167000"/>
    <x v="1"/>
    <x v="2"/>
    <x v="0"/>
    <x v="2"/>
    <x v="0"/>
    <s v="Rendah"/>
    <x v="2"/>
    <s v="normal"/>
  </r>
  <r>
    <s v="ORD00751"/>
    <x v="749"/>
    <s v="Eka Halim"/>
    <x v="24"/>
    <x v="23"/>
    <n v="45000"/>
    <n v="3"/>
    <n v="15"/>
    <n v="135000"/>
    <n v="20250"/>
    <n v="114750"/>
    <n v="93000"/>
    <n v="207750"/>
    <x v="3"/>
    <x v="2"/>
    <x v="4"/>
    <x v="4"/>
    <x v="0"/>
    <s v="Bagus"/>
    <x v="4"/>
    <s v="tinggi"/>
  </r>
  <r>
    <s v="ORD00764"/>
    <x v="750"/>
    <s v="Dewi Kusuma"/>
    <x v="12"/>
    <x v="15"/>
    <n v="4000"/>
    <n v="2"/>
    <n v="20"/>
    <n v="8000"/>
    <n v="1600"/>
    <n v="6400"/>
    <n v="74000"/>
    <n v="80400"/>
    <x v="2"/>
    <x v="3"/>
    <x v="2"/>
    <x v="4"/>
    <x v="0"/>
    <s v="Bagus"/>
    <x v="1"/>
    <s v="sangat rendah"/>
  </r>
  <r>
    <s v="ORD00817"/>
    <x v="751"/>
    <s v="Kartika Nugroho"/>
    <x v="18"/>
    <x v="26"/>
    <n v="16000"/>
    <n v="5"/>
    <n v="20"/>
    <n v="80000"/>
    <n v="16000"/>
    <n v="64000"/>
    <n v="43000"/>
    <n v="107000"/>
    <x v="0"/>
    <x v="2"/>
    <x v="0"/>
    <x v="1"/>
    <x v="0"/>
    <s v="Rendah"/>
    <x v="2"/>
    <s v="normal"/>
  </r>
  <r>
    <s v="ORD01170"/>
    <x v="752"/>
    <s v="Yoga Wijaya"/>
    <x v="28"/>
    <x v="10"/>
    <n v="45000"/>
    <n v="5"/>
    <n v="15"/>
    <n v="225000"/>
    <n v="33750"/>
    <n v="191250"/>
    <n v="79000"/>
    <n v="270250"/>
    <x v="0"/>
    <x v="2"/>
    <x v="4"/>
    <x v="0"/>
    <x v="1"/>
    <s v="Standar"/>
    <x v="4"/>
    <s v="tinggi"/>
  </r>
  <r>
    <s v="ORD00942"/>
    <x v="753"/>
    <s v="Dewi Pradipta"/>
    <x v="20"/>
    <x v="13"/>
    <n v="17000"/>
    <n v="5"/>
    <n v="5"/>
    <n v="85000"/>
    <n v="4250"/>
    <n v="80750"/>
    <n v="85000"/>
    <n v="165750"/>
    <x v="2"/>
    <x v="2"/>
    <x v="1"/>
    <x v="3"/>
    <x v="0"/>
    <s v="Bagus"/>
    <x v="1"/>
    <s v="sangat rendah"/>
  </r>
  <r>
    <s v="ORD00099"/>
    <x v="754"/>
    <s v="Wahyu Budiman"/>
    <x v="25"/>
    <x v="5"/>
    <n v="50000"/>
    <n v="2"/>
    <n v="0"/>
    <n v="100000"/>
    <n v="0"/>
    <n v="100000"/>
    <n v="48000"/>
    <n v="148000"/>
    <x v="1"/>
    <x v="2"/>
    <x v="2"/>
    <x v="3"/>
    <x v="1"/>
    <s v="Bagus"/>
    <x v="1"/>
    <s v="sangat rendah"/>
  </r>
  <r>
    <s v="ORD00979"/>
    <x v="755"/>
    <s v="Gita Nugroho"/>
    <x v="35"/>
    <x v="16"/>
    <n v="28000"/>
    <n v="1"/>
    <n v="0"/>
    <n v="28000"/>
    <n v="0"/>
    <n v="28000"/>
    <n v="76000"/>
    <n v="104000"/>
    <x v="3"/>
    <x v="2"/>
    <x v="4"/>
    <x v="1"/>
    <x v="0"/>
    <s v="Rendah"/>
    <x v="1"/>
    <s v="sangat rendah"/>
  </r>
  <r>
    <s v="ORD00210"/>
    <x v="756"/>
    <s v="Lestari Setiawan"/>
    <x v="2"/>
    <x v="1"/>
    <n v="17000"/>
    <n v="1"/>
    <n v="15"/>
    <n v="17000"/>
    <n v="2550"/>
    <n v="14450"/>
    <n v="26000"/>
    <n v="40450"/>
    <x v="1"/>
    <x v="2"/>
    <x v="3"/>
    <x v="0"/>
    <x v="0"/>
    <s v="Standar"/>
    <x v="1"/>
    <s v="sangat rendah"/>
  </r>
  <r>
    <s v="ORD00210"/>
    <x v="756"/>
    <s v="Lestari Setiawan"/>
    <x v="2"/>
    <x v="3"/>
    <n v="14000"/>
    <n v="1"/>
    <n v="15"/>
    <n v="14000"/>
    <n v="2100"/>
    <n v="11900"/>
    <n v="0"/>
    <n v="11900"/>
    <x v="1"/>
    <x v="2"/>
    <x v="3"/>
    <x v="0"/>
    <x v="0"/>
    <s v="Standar"/>
    <x v="1"/>
    <s v="sangat rendah"/>
  </r>
  <r>
    <s v="ORD01157"/>
    <x v="757"/>
    <s v="Dewi Kurniawan"/>
    <x v="35"/>
    <x v="26"/>
    <n v="16000"/>
    <n v="2"/>
    <n v="20"/>
    <n v="32000"/>
    <n v="6400"/>
    <n v="25600"/>
    <n v="76000"/>
    <n v="101600"/>
    <x v="1"/>
    <x v="2"/>
    <x v="2"/>
    <x v="0"/>
    <x v="0"/>
    <s v="Standar"/>
    <x v="0"/>
    <s v="rendah"/>
  </r>
  <r>
    <s v="ORD01640"/>
    <x v="758"/>
    <s v="Dewi Setiawan"/>
    <x v="30"/>
    <x v="26"/>
    <n v="16000"/>
    <n v="5"/>
    <n v="10"/>
    <n v="80000"/>
    <n v="8000"/>
    <n v="72000"/>
    <n v="97000"/>
    <n v="169000"/>
    <x v="0"/>
    <x v="2"/>
    <x v="4"/>
    <x v="3"/>
    <x v="0"/>
    <s v="Bagus"/>
    <x v="0"/>
    <s v="rendah"/>
  </r>
  <r>
    <s v="ORD00532"/>
    <x v="759"/>
    <s v="Ani Hidayat"/>
    <x v="18"/>
    <x v="10"/>
    <n v="45000"/>
    <n v="1"/>
    <n v="15"/>
    <n v="45000"/>
    <n v="6750"/>
    <n v="38250"/>
    <n v="43000"/>
    <n v="81250"/>
    <x v="0"/>
    <x v="2"/>
    <x v="3"/>
    <x v="1"/>
    <x v="0"/>
    <s v="Rendah"/>
    <x v="0"/>
    <s v="rendah"/>
  </r>
  <r>
    <s v="ORD00732"/>
    <x v="760"/>
    <s v="Clara Puspita"/>
    <x v="28"/>
    <x v="13"/>
    <n v="17000"/>
    <n v="1"/>
    <n v="20"/>
    <n v="17000"/>
    <n v="3400"/>
    <n v="13600"/>
    <n v="79000"/>
    <n v="92600"/>
    <x v="2"/>
    <x v="2"/>
    <x v="0"/>
    <x v="3"/>
    <x v="0"/>
    <s v="Bagus"/>
    <x v="1"/>
    <s v="sangat rendah"/>
  </r>
  <r>
    <s v="ORD01611"/>
    <x v="761"/>
    <s v="Citra Kurniawan"/>
    <x v="32"/>
    <x v="19"/>
    <n v="35000"/>
    <n v="2"/>
    <n v="15"/>
    <n v="70000"/>
    <n v="10500"/>
    <n v="59500"/>
    <n v="59000"/>
    <n v="118500"/>
    <x v="1"/>
    <x v="3"/>
    <x v="2"/>
    <x v="0"/>
    <x v="0"/>
    <s v="Standar"/>
    <x v="2"/>
    <s v="normal"/>
  </r>
  <r>
    <s v="ORD01800"/>
    <x v="762"/>
    <s v="Wahyu Pradipta"/>
    <x v="30"/>
    <x v="1"/>
    <n v="17000"/>
    <n v="1"/>
    <n v="20"/>
    <n v="17000"/>
    <n v="3400"/>
    <n v="13600"/>
    <n v="97000"/>
    <n v="110600"/>
    <x v="2"/>
    <x v="2"/>
    <x v="2"/>
    <x v="0"/>
    <x v="1"/>
    <s v="Standar"/>
    <x v="1"/>
    <s v="sangat rendah"/>
  </r>
  <r>
    <s v="ORD00901"/>
    <x v="763"/>
    <s v="Dewi Rahmawati"/>
    <x v="2"/>
    <x v="1"/>
    <n v="17000"/>
    <n v="1"/>
    <n v="20"/>
    <n v="17000"/>
    <n v="3400"/>
    <n v="13600"/>
    <n v="26000"/>
    <n v="39600"/>
    <x v="2"/>
    <x v="2"/>
    <x v="3"/>
    <x v="4"/>
    <x v="0"/>
    <s v="Bagus"/>
    <x v="1"/>
    <s v="sangat rendah"/>
  </r>
  <r>
    <s v="ORD00388"/>
    <x v="764"/>
    <s v="Lestari Setiawan"/>
    <x v="2"/>
    <x v="19"/>
    <n v="35000"/>
    <n v="1"/>
    <n v="5"/>
    <n v="35000"/>
    <n v="1750"/>
    <n v="33250"/>
    <n v="26000"/>
    <n v="59250"/>
    <x v="3"/>
    <x v="2"/>
    <x v="3"/>
    <x v="2"/>
    <x v="0"/>
    <s v="Rendah"/>
    <x v="1"/>
    <s v="sangat rendah"/>
  </r>
  <r>
    <s v="ORD00388"/>
    <x v="764"/>
    <s v="Lestari Setiawan"/>
    <x v="2"/>
    <x v="10"/>
    <n v="45000"/>
    <n v="4"/>
    <n v="5"/>
    <n v="180000"/>
    <n v="9000"/>
    <n v="171000"/>
    <n v="0"/>
    <n v="171000"/>
    <x v="3"/>
    <x v="2"/>
    <x v="3"/>
    <x v="2"/>
    <x v="0"/>
    <s v="Rendah"/>
    <x v="0"/>
    <s v="rendah"/>
  </r>
  <r>
    <s v="ORD00461"/>
    <x v="765"/>
    <s v="Hana Wijaya"/>
    <x v="13"/>
    <x v="9"/>
    <n v="35000"/>
    <n v="2"/>
    <n v="0"/>
    <n v="70000"/>
    <n v="0"/>
    <n v="70000"/>
    <n v="87000"/>
    <n v="157000"/>
    <x v="0"/>
    <x v="2"/>
    <x v="0"/>
    <x v="4"/>
    <x v="0"/>
    <s v="Bagus"/>
    <x v="1"/>
    <s v="sangat rendah"/>
  </r>
  <r>
    <s v="ORD00705"/>
    <x v="766"/>
    <s v="Yani Rahmawati"/>
    <x v="36"/>
    <x v="13"/>
    <n v="17000"/>
    <n v="3"/>
    <n v="15"/>
    <n v="51000"/>
    <n v="7650"/>
    <n v="43350"/>
    <n v="49000"/>
    <n v="92350"/>
    <x v="0"/>
    <x v="2"/>
    <x v="1"/>
    <x v="2"/>
    <x v="0"/>
    <s v="Rendah"/>
    <x v="0"/>
    <s v="rendah"/>
  </r>
  <r>
    <s v="ORD00945"/>
    <x v="767"/>
    <s v="Erna Maulana"/>
    <x v="13"/>
    <x v="14"/>
    <n v="18000"/>
    <n v="2"/>
    <n v="0"/>
    <n v="36000"/>
    <n v="0"/>
    <n v="36000"/>
    <n v="87000"/>
    <n v="123000"/>
    <x v="0"/>
    <x v="2"/>
    <x v="4"/>
    <x v="0"/>
    <x v="0"/>
    <s v="Standar"/>
    <x v="1"/>
    <s v="sangat rendah"/>
  </r>
  <r>
    <s v="ORD00364"/>
    <x v="768"/>
    <s v="Putri Puspita"/>
    <x v="1"/>
    <x v="20"/>
    <n v="40000"/>
    <n v="2"/>
    <n v="5"/>
    <n v="80000"/>
    <n v="4000"/>
    <n v="76000"/>
    <n v="59000"/>
    <n v="135000"/>
    <x v="1"/>
    <x v="2"/>
    <x v="3"/>
    <x v="3"/>
    <x v="0"/>
    <s v="Bagus"/>
    <x v="1"/>
    <s v="sangat rendah"/>
  </r>
  <r>
    <s v="ORD00364"/>
    <x v="768"/>
    <s v="Putri Puspita"/>
    <x v="1"/>
    <x v="19"/>
    <n v="35000"/>
    <n v="2"/>
    <n v="15"/>
    <n v="70000"/>
    <n v="10500"/>
    <n v="59500"/>
    <n v="0"/>
    <n v="59500"/>
    <x v="1"/>
    <x v="2"/>
    <x v="3"/>
    <x v="3"/>
    <x v="0"/>
    <s v="Bagus"/>
    <x v="2"/>
    <s v="normal"/>
  </r>
  <r>
    <s v="ORD01793"/>
    <x v="769"/>
    <s v="Gita Budiman"/>
    <x v="33"/>
    <x v="12"/>
    <n v="25000"/>
    <n v="4"/>
    <n v="20"/>
    <n v="100000"/>
    <n v="20000"/>
    <n v="80000"/>
    <n v="68000"/>
    <n v="148000"/>
    <x v="2"/>
    <x v="2"/>
    <x v="1"/>
    <x v="3"/>
    <x v="0"/>
    <s v="Bagus"/>
    <x v="2"/>
    <s v="normal"/>
  </r>
  <r>
    <s v="ORD01524"/>
    <x v="770"/>
    <s v="Aulia Utami"/>
    <x v="5"/>
    <x v="0"/>
    <n v="16000"/>
    <n v="4"/>
    <n v="10"/>
    <n v="64000"/>
    <n v="6400"/>
    <n v="57600"/>
    <n v="78000"/>
    <n v="135600"/>
    <x v="2"/>
    <x v="2"/>
    <x v="2"/>
    <x v="1"/>
    <x v="0"/>
    <s v="Rendah"/>
    <x v="0"/>
    <s v="rendah"/>
  </r>
  <r>
    <s v="ORD01755"/>
    <x v="771"/>
    <s v="Fitri Hidayat"/>
    <x v="21"/>
    <x v="14"/>
    <n v="18000"/>
    <n v="3"/>
    <n v="0"/>
    <n v="54000"/>
    <n v="0"/>
    <n v="54000"/>
    <n v="72000"/>
    <n v="126000"/>
    <x v="1"/>
    <x v="2"/>
    <x v="3"/>
    <x v="4"/>
    <x v="0"/>
    <s v="Bagus"/>
    <x v="1"/>
    <s v="sangat rendah"/>
  </r>
  <r>
    <s v="ORD01165"/>
    <x v="772"/>
    <s v="Erna Fauziah"/>
    <x v="11"/>
    <x v="4"/>
    <n v="6000"/>
    <n v="2"/>
    <n v="5"/>
    <n v="12000"/>
    <n v="600"/>
    <n v="11400"/>
    <n v="56000"/>
    <n v="67400"/>
    <x v="1"/>
    <x v="2"/>
    <x v="2"/>
    <x v="0"/>
    <x v="0"/>
    <s v="Standar"/>
    <x v="1"/>
    <s v="sangat rendah"/>
  </r>
  <r>
    <s v="ORD01312"/>
    <x v="773"/>
    <s v="Dewi Fauziah"/>
    <x v="18"/>
    <x v="8"/>
    <n v="14000"/>
    <n v="5"/>
    <n v="0"/>
    <n v="70000"/>
    <n v="0"/>
    <n v="70000"/>
    <n v="43000"/>
    <n v="113000"/>
    <x v="1"/>
    <x v="2"/>
    <x v="3"/>
    <x v="0"/>
    <x v="0"/>
    <s v="Standar"/>
    <x v="1"/>
    <s v="sangat rendah"/>
  </r>
  <r>
    <s v="ORD01492"/>
    <x v="774"/>
    <s v="Budi Saputra"/>
    <x v="11"/>
    <x v="17"/>
    <n v="15000"/>
    <n v="2"/>
    <n v="0"/>
    <n v="30000"/>
    <n v="0"/>
    <n v="30000"/>
    <n v="56000"/>
    <n v="86000"/>
    <x v="1"/>
    <x v="2"/>
    <x v="2"/>
    <x v="0"/>
    <x v="1"/>
    <s v="Standar"/>
    <x v="1"/>
    <s v="sangat rendah"/>
  </r>
  <r>
    <s v="ORD00250"/>
    <x v="775"/>
    <s v="Lestari Budiman"/>
    <x v="20"/>
    <x v="1"/>
    <n v="17000"/>
    <n v="1"/>
    <n v="0"/>
    <n v="17000"/>
    <n v="0"/>
    <n v="17000"/>
    <n v="85000"/>
    <n v="102000"/>
    <x v="0"/>
    <x v="4"/>
    <x v="1"/>
    <x v="4"/>
    <x v="0"/>
    <s v="Bagus"/>
    <x v="1"/>
    <s v="sangat rendah"/>
  </r>
  <r>
    <s v="ORD01370"/>
    <x v="776"/>
    <s v="Wahyu Pradipta"/>
    <x v="30"/>
    <x v="19"/>
    <n v="35000"/>
    <n v="3"/>
    <n v="0"/>
    <n v="105000"/>
    <n v="0"/>
    <n v="105000"/>
    <n v="97000"/>
    <n v="202000"/>
    <x v="1"/>
    <x v="4"/>
    <x v="2"/>
    <x v="0"/>
    <x v="1"/>
    <s v="Standar"/>
    <x v="1"/>
    <s v="sangat rendah"/>
  </r>
  <r>
    <s v="ORD01562"/>
    <x v="777"/>
    <s v="Putri Ramadhani"/>
    <x v="31"/>
    <x v="11"/>
    <n v="30000"/>
    <n v="1"/>
    <n v="15"/>
    <n v="30000"/>
    <n v="4500"/>
    <n v="25500"/>
    <n v="18000"/>
    <n v="43500"/>
    <x v="0"/>
    <x v="4"/>
    <x v="2"/>
    <x v="3"/>
    <x v="0"/>
    <s v="Bagus"/>
    <x v="1"/>
    <s v="sangat rendah"/>
  </r>
  <r>
    <s v="ORD00883"/>
    <x v="778"/>
    <s v="Gita Pradipta"/>
    <x v="8"/>
    <x v="9"/>
    <n v="35000"/>
    <n v="2"/>
    <n v="15"/>
    <n v="70000"/>
    <n v="10500"/>
    <n v="59500"/>
    <n v="87000"/>
    <n v="146500"/>
    <x v="3"/>
    <x v="2"/>
    <x v="2"/>
    <x v="0"/>
    <x v="0"/>
    <s v="Standar"/>
    <x v="2"/>
    <s v="normal"/>
  </r>
  <r>
    <s v="ORD01650"/>
    <x v="779"/>
    <s v="Qori Saputra"/>
    <x v="15"/>
    <x v="10"/>
    <n v="45000"/>
    <n v="3"/>
    <n v="20"/>
    <n v="135000"/>
    <n v="27000"/>
    <n v="108000"/>
    <n v="17000"/>
    <n v="125000"/>
    <x v="2"/>
    <x v="2"/>
    <x v="1"/>
    <x v="2"/>
    <x v="0"/>
    <s v="Rendah"/>
    <x v="4"/>
    <s v="tinggi"/>
  </r>
  <r>
    <s v="ORD00729"/>
    <x v="780"/>
    <s v="Dewi Utami"/>
    <x v="4"/>
    <x v="12"/>
    <n v="25000"/>
    <n v="3"/>
    <n v="15"/>
    <n v="75000"/>
    <n v="11250"/>
    <n v="63750"/>
    <n v="0"/>
    <n v="63750"/>
    <x v="3"/>
    <x v="2"/>
    <x v="3"/>
    <x v="0"/>
    <x v="0"/>
    <s v="Standar"/>
    <x v="2"/>
    <s v="normal"/>
  </r>
  <r>
    <s v="ORD01090"/>
    <x v="781"/>
    <s v="Ani Hidayat"/>
    <x v="18"/>
    <x v="4"/>
    <n v="6000"/>
    <n v="4"/>
    <n v="20"/>
    <n v="24000"/>
    <n v="4800"/>
    <n v="19200"/>
    <n v="43000"/>
    <n v="62200"/>
    <x v="0"/>
    <x v="4"/>
    <x v="1"/>
    <x v="0"/>
    <x v="0"/>
    <s v="Standar"/>
    <x v="1"/>
    <s v="sangat rendah"/>
  </r>
  <r>
    <s v="ORD01069"/>
    <x v="782"/>
    <s v="Gita Utami"/>
    <x v="31"/>
    <x v="4"/>
    <n v="6000"/>
    <n v="2"/>
    <n v="15"/>
    <n v="12000"/>
    <n v="1800"/>
    <n v="10200"/>
    <n v="18000"/>
    <n v="28200"/>
    <x v="1"/>
    <x v="2"/>
    <x v="0"/>
    <x v="3"/>
    <x v="0"/>
    <s v="Bagus"/>
    <x v="1"/>
    <s v="sangat rendah"/>
  </r>
  <r>
    <s v="ORD00666"/>
    <x v="783"/>
    <s v="Erna Hidayat"/>
    <x v="26"/>
    <x v="8"/>
    <n v="14000"/>
    <n v="5"/>
    <n v="15"/>
    <n v="70000"/>
    <n v="10500"/>
    <n v="59500"/>
    <n v="28000"/>
    <n v="87500"/>
    <x v="0"/>
    <x v="2"/>
    <x v="4"/>
    <x v="3"/>
    <x v="0"/>
    <s v="Bagus"/>
    <x v="2"/>
    <s v="normal"/>
  </r>
  <r>
    <s v="ORD00109"/>
    <x v="784"/>
    <s v="Fitri Saputra"/>
    <x v="30"/>
    <x v="12"/>
    <n v="25000"/>
    <n v="1"/>
    <n v="5"/>
    <n v="25000"/>
    <n v="1250"/>
    <n v="23750"/>
    <n v="97000"/>
    <n v="120750"/>
    <x v="0"/>
    <x v="2"/>
    <x v="2"/>
    <x v="0"/>
    <x v="0"/>
    <s v="Standar"/>
    <x v="1"/>
    <s v="sangat rendah"/>
  </r>
  <r>
    <s v="ORD01509"/>
    <x v="785"/>
    <s v="Dewi Setiawan"/>
    <x v="30"/>
    <x v="5"/>
    <n v="50000"/>
    <n v="2"/>
    <n v="20"/>
    <n v="100000"/>
    <n v="20000"/>
    <n v="80000"/>
    <n v="97000"/>
    <n v="177000"/>
    <x v="3"/>
    <x v="2"/>
    <x v="1"/>
    <x v="2"/>
    <x v="0"/>
    <s v="Rendah"/>
    <x v="2"/>
    <s v="normal"/>
  </r>
  <r>
    <s v="ORD01679"/>
    <x v="786"/>
    <s v="Hana Nugroho"/>
    <x v="12"/>
    <x v="9"/>
    <n v="35000"/>
    <n v="2"/>
    <n v="15"/>
    <n v="70000"/>
    <n v="10500"/>
    <n v="59500"/>
    <n v="74000"/>
    <n v="133500"/>
    <x v="2"/>
    <x v="3"/>
    <x v="0"/>
    <x v="2"/>
    <x v="0"/>
    <s v="Rendah"/>
    <x v="2"/>
    <s v="normal"/>
  </r>
  <r>
    <s v="ORD00714"/>
    <x v="787"/>
    <s v="Arif Fauziah"/>
    <x v="22"/>
    <x v="20"/>
    <n v="40000"/>
    <n v="3"/>
    <n v="0"/>
    <n v="120000"/>
    <n v="0"/>
    <n v="120000"/>
    <n v="80000"/>
    <n v="200000"/>
    <x v="2"/>
    <x v="2"/>
    <x v="2"/>
    <x v="4"/>
    <x v="1"/>
    <s v="Bagus"/>
    <x v="1"/>
    <s v="sangat rendah"/>
  </r>
  <r>
    <s v="ORD00840"/>
    <x v="788"/>
    <s v="Vina Fauziah"/>
    <x v="32"/>
    <x v="3"/>
    <n v="14000"/>
    <n v="1"/>
    <n v="10"/>
    <n v="14000"/>
    <n v="1400"/>
    <n v="12600"/>
    <n v="59000"/>
    <n v="71600"/>
    <x v="0"/>
    <x v="4"/>
    <x v="3"/>
    <x v="4"/>
    <x v="0"/>
    <s v="Bagus"/>
    <x v="1"/>
    <s v="sangat rendah"/>
  </r>
  <r>
    <s v="ORD01372"/>
    <x v="789"/>
    <s v="Budi Hidayat"/>
    <x v="7"/>
    <x v="6"/>
    <n v="55000"/>
    <n v="4"/>
    <n v="5"/>
    <n v="220000"/>
    <n v="11000"/>
    <n v="209000"/>
    <n v="15000"/>
    <n v="224000"/>
    <x v="0"/>
    <x v="2"/>
    <x v="0"/>
    <x v="1"/>
    <x v="1"/>
    <s v="Rendah"/>
    <x v="2"/>
    <s v="normal"/>
  </r>
  <r>
    <s v="ORD00983"/>
    <x v="790"/>
    <s v="Sari Halim"/>
    <x v="19"/>
    <x v="25"/>
    <n v="40000"/>
    <n v="3"/>
    <n v="10"/>
    <n v="120000"/>
    <n v="12000"/>
    <n v="108000"/>
    <n v="55000"/>
    <n v="163000"/>
    <x v="3"/>
    <x v="2"/>
    <x v="2"/>
    <x v="1"/>
    <x v="0"/>
    <s v="Rendah"/>
    <x v="2"/>
    <s v="normal"/>
  </r>
  <r>
    <s v="ORD00941"/>
    <x v="791"/>
    <s v="Sari Kusuma"/>
    <x v="28"/>
    <x v="19"/>
    <n v="35000"/>
    <n v="5"/>
    <n v="15"/>
    <n v="175000"/>
    <n v="26250"/>
    <n v="148750"/>
    <n v="79000"/>
    <n v="227750"/>
    <x v="2"/>
    <x v="2"/>
    <x v="4"/>
    <x v="3"/>
    <x v="0"/>
    <s v="Bagus"/>
    <x v="4"/>
    <s v="tinggi"/>
  </r>
  <r>
    <s v="ORD01452"/>
    <x v="792"/>
    <s v="Dewi Hidayat"/>
    <x v="3"/>
    <x v="17"/>
    <n v="15000"/>
    <n v="1"/>
    <n v="10"/>
    <n v="15000"/>
    <n v="1500"/>
    <n v="13500"/>
    <n v="18000"/>
    <n v="31500"/>
    <x v="0"/>
    <x v="2"/>
    <x v="1"/>
    <x v="0"/>
    <x v="0"/>
    <s v="Standar"/>
    <x v="1"/>
    <s v="sangat rendah"/>
  </r>
  <r>
    <s v="ORD00437"/>
    <x v="793"/>
    <s v="Aulia Hidayat"/>
    <x v="31"/>
    <x v="24"/>
    <n v="22000"/>
    <n v="4"/>
    <n v="10"/>
    <n v="88000"/>
    <n v="8800"/>
    <n v="79200"/>
    <n v="18000"/>
    <n v="97200"/>
    <x v="3"/>
    <x v="2"/>
    <x v="4"/>
    <x v="4"/>
    <x v="0"/>
    <s v="Bagus"/>
    <x v="0"/>
    <s v="rendah"/>
  </r>
  <r>
    <s v="ORD01448"/>
    <x v="794"/>
    <s v="Erna Iskandar"/>
    <x v="21"/>
    <x v="6"/>
    <n v="55000"/>
    <n v="5"/>
    <n v="5"/>
    <n v="275000"/>
    <n v="13750"/>
    <n v="261250"/>
    <n v="72000"/>
    <n v="333250"/>
    <x v="2"/>
    <x v="2"/>
    <x v="2"/>
    <x v="4"/>
    <x v="0"/>
    <s v="Bagus"/>
    <x v="2"/>
    <s v="normal"/>
  </r>
  <r>
    <s v="ORD01534"/>
    <x v="795"/>
    <s v="Bayu Fauziah"/>
    <x v="12"/>
    <x v="1"/>
    <n v="17000"/>
    <n v="5"/>
    <n v="15"/>
    <n v="85000"/>
    <n v="12750"/>
    <n v="72250"/>
    <n v="74000"/>
    <n v="146250"/>
    <x v="1"/>
    <x v="3"/>
    <x v="3"/>
    <x v="1"/>
    <x v="1"/>
    <s v="Rendah"/>
    <x v="2"/>
    <s v="normal"/>
  </r>
  <r>
    <s v="ORD00157"/>
    <x v="796"/>
    <s v="Eka Ananda"/>
    <x v="10"/>
    <x v="10"/>
    <n v="45000"/>
    <n v="2"/>
    <n v="10"/>
    <n v="90000"/>
    <n v="9000"/>
    <n v="81000"/>
    <n v="84000"/>
    <n v="165000"/>
    <x v="2"/>
    <x v="2"/>
    <x v="2"/>
    <x v="4"/>
    <x v="0"/>
    <s v="Bagus"/>
    <x v="0"/>
    <s v="rendah"/>
  </r>
  <r>
    <s v="ORD01020"/>
    <x v="797"/>
    <s v="Dewi Ramadhani"/>
    <x v="5"/>
    <x v="24"/>
    <n v="22000"/>
    <n v="4"/>
    <n v="0"/>
    <n v="88000"/>
    <n v="0"/>
    <n v="88000"/>
    <n v="78000"/>
    <n v="166000"/>
    <x v="3"/>
    <x v="2"/>
    <x v="4"/>
    <x v="0"/>
    <x v="0"/>
    <s v="Standar"/>
    <x v="1"/>
    <s v="sangat rendah"/>
  </r>
  <r>
    <s v="ORD00985"/>
    <x v="798"/>
    <s v="Made Kusuma"/>
    <x v="10"/>
    <x v="6"/>
    <n v="55000"/>
    <n v="5"/>
    <n v="15"/>
    <n v="275000"/>
    <n v="41250"/>
    <n v="233750"/>
    <n v="84000"/>
    <n v="317750"/>
    <x v="2"/>
    <x v="4"/>
    <x v="3"/>
    <x v="2"/>
    <x v="1"/>
    <s v="Rendah"/>
    <x v="3"/>
    <s v="sangat tinggi"/>
  </r>
  <r>
    <s v="ORD01441"/>
    <x v="799"/>
    <s v="Gita Kurniawan"/>
    <x v="5"/>
    <x v="1"/>
    <n v="17000"/>
    <n v="2"/>
    <n v="5"/>
    <n v="34000"/>
    <n v="1700"/>
    <n v="32300"/>
    <n v="78000"/>
    <n v="110300"/>
    <x v="2"/>
    <x v="4"/>
    <x v="1"/>
    <x v="1"/>
    <x v="0"/>
    <s v="Rendah"/>
    <x v="1"/>
    <s v="sangat rendah"/>
  </r>
  <r>
    <s v="ORD00855"/>
    <x v="800"/>
    <s v="Indra Halim"/>
    <x v="2"/>
    <x v="10"/>
    <n v="45000"/>
    <n v="5"/>
    <n v="5"/>
    <n v="225000"/>
    <n v="11250"/>
    <n v="213750"/>
    <n v="26000"/>
    <n v="239750"/>
    <x v="3"/>
    <x v="2"/>
    <x v="4"/>
    <x v="4"/>
    <x v="1"/>
    <s v="Bagus"/>
    <x v="2"/>
    <s v="normal"/>
  </r>
  <r>
    <s v="ORD01592"/>
    <x v="801"/>
    <s v="Sari Utami"/>
    <x v="1"/>
    <x v="5"/>
    <n v="50000"/>
    <n v="1"/>
    <n v="0"/>
    <n v="50000"/>
    <n v="0"/>
    <n v="50000"/>
    <n v="59000"/>
    <n v="109000"/>
    <x v="1"/>
    <x v="2"/>
    <x v="0"/>
    <x v="2"/>
    <x v="0"/>
    <s v="Rendah"/>
    <x v="1"/>
    <s v="sangat rendah"/>
  </r>
  <r>
    <s v="ORD00831"/>
    <x v="802"/>
    <s v="Qori Halim"/>
    <x v="23"/>
    <x v="10"/>
    <n v="45000"/>
    <n v="2"/>
    <n v="20"/>
    <n v="90000"/>
    <n v="18000"/>
    <n v="72000"/>
    <n v="49000"/>
    <n v="121000"/>
    <x v="1"/>
    <x v="3"/>
    <x v="2"/>
    <x v="2"/>
    <x v="0"/>
    <s v="Rendah"/>
    <x v="2"/>
    <s v="normal"/>
  </r>
  <r>
    <s v="ORD00407"/>
    <x v="803"/>
    <s v="Aulia Utami"/>
    <x v="5"/>
    <x v="16"/>
    <n v="28000"/>
    <n v="4"/>
    <n v="5"/>
    <n v="112000"/>
    <n v="5600"/>
    <n v="106400"/>
    <n v="78000"/>
    <n v="184400"/>
    <x v="0"/>
    <x v="2"/>
    <x v="4"/>
    <x v="2"/>
    <x v="0"/>
    <s v="Rendah"/>
    <x v="0"/>
    <s v="rendah"/>
  </r>
  <r>
    <s v="ORD00969"/>
    <x v="804"/>
    <s v="Eka Kurniawan"/>
    <x v="0"/>
    <x v="13"/>
    <n v="17000"/>
    <n v="4"/>
    <n v="0"/>
    <n v="68000"/>
    <n v="0"/>
    <n v="68000"/>
    <n v="67000"/>
    <n v="135000"/>
    <x v="1"/>
    <x v="2"/>
    <x v="1"/>
    <x v="1"/>
    <x v="0"/>
    <s v="Rendah"/>
    <x v="1"/>
    <s v="sangat rendah"/>
  </r>
  <r>
    <s v="ORD01512"/>
    <x v="805"/>
    <s v="Aulia Setiawan"/>
    <x v="23"/>
    <x v="2"/>
    <n v="5000"/>
    <n v="1"/>
    <n v="10"/>
    <n v="5000"/>
    <n v="500"/>
    <n v="4500"/>
    <n v="49000"/>
    <n v="53500"/>
    <x v="2"/>
    <x v="2"/>
    <x v="1"/>
    <x v="3"/>
    <x v="0"/>
    <s v="Bagus"/>
    <x v="1"/>
    <s v="sangat rendah"/>
  </r>
  <r>
    <s v="ORD01015"/>
    <x v="806"/>
    <s v="Sari Pradipta"/>
    <x v="27"/>
    <x v="0"/>
    <n v="16000"/>
    <n v="5"/>
    <n v="15"/>
    <n v="80000"/>
    <n v="12000"/>
    <n v="68000"/>
    <n v="18000"/>
    <n v="86000"/>
    <x v="2"/>
    <x v="2"/>
    <x v="1"/>
    <x v="3"/>
    <x v="0"/>
    <s v="Bagus"/>
    <x v="2"/>
    <s v="normal"/>
  </r>
  <r>
    <s v="ORD01826"/>
    <x v="807"/>
    <s v="Aulia Utami"/>
    <x v="5"/>
    <x v="26"/>
    <n v="16000"/>
    <n v="2"/>
    <n v="0"/>
    <n v="32000"/>
    <n v="0"/>
    <n v="32000"/>
    <n v="78000"/>
    <n v="110000"/>
    <x v="2"/>
    <x v="2"/>
    <x v="0"/>
    <x v="4"/>
    <x v="0"/>
    <s v="Bagus"/>
    <x v="1"/>
    <s v="sangat rendah"/>
  </r>
  <r>
    <s v="ORD00891"/>
    <x v="808"/>
    <s v="Sari Budiman"/>
    <x v="13"/>
    <x v="21"/>
    <n v="10000"/>
    <n v="3"/>
    <n v="20"/>
    <n v="30000"/>
    <n v="6000"/>
    <n v="24000"/>
    <n v="87000"/>
    <n v="111000"/>
    <x v="3"/>
    <x v="2"/>
    <x v="1"/>
    <x v="1"/>
    <x v="0"/>
    <s v="Rendah"/>
    <x v="0"/>
    <s v="rendah"/>
  </r>
  <r>
    <s v="ORD01417"/>
    <x v="809"/>
    <s v="Zahra Pradipta"/>
    <x v="29"/>
    <x v="25"/>
    <n v="40000"/>
    <n v="3"/>
    <n v="0"/>
    <n v="120000"/>
    <n v="0"/>
    <n v="120000"/>
    <n v="89000"/>
    <n v="209000"/>
    <x v="2"/>
    <x v="2"/>
    <x v="2"/>
    <x v="3"/>
    <x v="0"/>
    <s v="Bagus"/>
    <x v="1"/>
    <s v="sangat rendah"/>
  </r>
  <r>
    <s v="ORD00280"/>
    <x v="810"/>
    <s v="Lestari Ananda"/>
    <x v="35"/>
    <x v="26"/>
    <n v="16000"/>
    <n v="5"/>
    <n v="10"/>
    <n v="80000"/>
    <n v="8000"/>
    <n v="72000"/>
    <n v="76000"/>
    <n v="148000"/>
    <x v="1"/>
    <x v="2"/>
    <x v="4"/>
    <x v="1"/>
    <x v="0"/>
    <s v="Rendah"/>
    <x v="0"/>
    <s v="rendah"/>
  </r>
  <r>
    <s v="ORD00973"/>
    <x v="811"/>
    <s v="Tono Kurniawan"/>
    <x v="35"/>
    <x v="25"/>
    <n v="40000"/>
    <n v="3"/>
    <n v="0"/>
    <n v="120000"/>
    <n v="0"/>
    <n v="120000"/>
    <n v="76000"/>
    <n v="196000"/>
    <x v="1"/>
    <x v="2"/>
    <x v="2"/>
    <x v="4"/>
    <x v="1"/>
    <s v="Bagus"/>
    <x v="1"/>
    <s v="sangat rendah"/>
  </r>
  <r>
    <s v="ORD01286"/>
    <x v="812"/>
    <s v="Dewi Rahmawati"/>
    <x v="2"/>
    <x v="2"/>
    <n v="5000"/>
    <n v="2"/>
    <n v="5"/>
    <n v="10000"/>
    <n v="500"/>
    <n v="9500"/>
    <n v="26000"/>
    <n v="35500"/>
    <x v="0"/>
    <x v="2"/>
    <x v="3"/>
    <x v="1"/>
    <x v="0"/>
    <s v="Rendah"/>
    <x v="1"/>
    <s v="sangat rendah"/>
  </r>
  <r>
    <s v="ORD01746"/>
    <x v="813"/>
    <s v="Bella Halim"/>
    <x v="35"/>
    <x v="23"/>
    <n v="45000"/>
    <n v="2"/>
    <n v="5"/>
    <n v="90000"/>
    <n v="4500"/>
    <n v="85500"/>
    <n v="76000"/>
    <n v="161500"/>
    <x v="1"/>
    <x v="2"/>
    <x v="2"/>
    <x v="4"/>
    <x v="0"/>
    <s v="Bagus"/>
    <x v="1"/>
    <s v="sangat rendah"/>
  </r>
  <r>
    <s v="ORD01319"/>
    <x v="814"/>
    <s v="Arif Rahmawati"/>
    <x v="17"/>
    <x v="8"/>
    <n v="14000"/>
    <n v="4"/>
    <n v="20"/>
    <n v="56000"/>
    <n v="11200"/>
    <n v="44800"/>
    <n v="50000"/>
    <n v="94800"/>
    <x v="3"/>
    <x v="2"/>
    <x v="2"/>
    <x v="4"/>
    <x v="1"/>
    <s v="Bagus"/>
    <x v="2"/>
    <s v="normal"/>
  </r>
  <r>
    <s v="ORD00227"/>
    <x v="815"/>
    <s v="Vina Kurniawan"/>
    <x v="5"/>
    <x v="22"/>
    <n v="18000"/>
    <n v="2"/>
    <n v="5"/>
    <n v="36000"/>
    <n v="1800"/>
    <n v="34200"/>
    <n v="78000"/>
    <n v="112200"/>
    <x v="3"/>
    <x v="2"/>
    <x v="0"/>
    <x v="0"/>
    <x v="0"/>
    <s v="Standar"/>
    <x v="1"/>
    <s v="sangat rendah"/>
  </r>
  <r>
    <s v="ORD01847"/>
    <x v="816"/>
    <s v="Citra Budiman"/>
    <x v="4"/>
    <x v="3"/>
    <n v="14000"/>
    <n v="5"/>
    <n v="15"/>
    <n v="70000"/>
    <n v="10500"/>
    <n v="59500"/>
    <n v="0"/>
    <n v="59500"/>
    <x v="2"/>
    <x v="2"/>
    <x v="1"/>
    <x v="2"/>
    <x v="0"/>
    <s v="Rendah"/>
    <x v="2"/>
    <s v="normal"/>
  </r>
  <r>
    <s v="ORD00992"/>
    <x v="817"/>
    <s v="Indra Syahputra"/>
    <x v="35"/>
    <x v="18"/>
    <n v="16000"/>
    <n v="4"/>
    <n v="0"/>
    <n v="64000"/>
    <n v="0"/>
    <n v="64000"/>
    <n v="76000"/>
    <n v="140000"/>
    <x v="2"/>
    <x v="2"/>
    <x v="1"/>
    <x v="2"/>
    <x v="1"/>
    <s v="Rendah"/>
    <x v="1"/>
    <s v="sangat rendah"/>
  </r>
  <r>
    <s v="ORD00497"/>
    <x v="818"/>
    <s v="Putri Santoso"/>
    <x v="5"/>
    <x v="8"/>
    <n v="14000"/>
    <n v="4"/>
    <n v="10"/>
    <n v="56000"/>
    <n v="5600"/>
    <n v="50400"/>
    <n v="78000"/>
    <n v="128400"/>
    <x v="1"/>
    <x v="4"/>
    <x v="2"/>
    <x v="2"/>
    <x v="0"/>
    <s v="Rendah"/>
    <x v="0"/>
    <s v="rendah"/>
  </r>
  <r>
    <s v="ORD01005"/>
    <x v="819"/>
    <s v="Zahra Utami"/>
    <x v="16"/>
    <x v="11"/>
    <n v="30000"/>
    <n v="3"/>
    <n v="10"/>
    <n v="90000"/>
    <n v="9000"/>
    <n v="81000"/>
    <n v="50000"/>
    <n v="131000"/>
    <x v="0"/>
    <x v="2"/>
    <x v="2"/>
    <x v="3"/>
    <x v="0"/>
    <s v="Bagus"/>
    <x v="0"/>
    <s v="rendah"/>
  </r>
  <r>
    <s v="ORD00202"/>
    <x v="820"/>
    <s v="Putri Setiawan"/>
    <x v="32"/>
    <x v="2"/>
    <n v="5000"/>
    <n v="1"/>
    <n v="0"/>
    <n v="5000"/>
    <n v="0"/>
    <n v="5000"/>
    <n v="59000"/>
    <n v="64000"/>
    <x v="3"/>
    <x v="2"/>
    <x v="4"/>
    <x v="1"/>
    <x v="0"/>
    <s v="Rendah"/>
    <x v="1"/>
    <s v="sangat rendah"/>
  </r>
  <r>
    <s v="ORD00744"/>
    <x v="821"/>
    <s v="Eka Rahmawati"/>
    <x v="18"/>
    <x v="25"/>
    <n v="40000"/>
    <n v="4"/>
    <n v="5"/>
    <n v="160000"/>
    <n v="8000"/>
    <n v="152000"/>
    <n v="43000"/>
    <n v="195000"/>
    <x v="0"/>
    <x v="4"/>
    <x v="4"/>
    <x v="1"/>
    <x v="0"/>
    <s v="Rendah"/>
    <x v="0"/>
    <s v="rendah"/>
  </r>
  <r>
    <s v="ORD01072"/>
    <x v="822"/>
    <s v="Andi Wijaya"/>
    <x v="9"/>
    <x v="5"/>
    <n v="50000"/>
    <n v="5"/>
    <n v="0"/>
    <n v="250000"/>
    <n v="0"/>
    <n v="250000"/>
    <n v="21000"/>
    <n v="271000"/>
    <x v="2"/>
    <x v="2"/>
    <x v="1"/>
    <x v="4"/>
    <x v="1"/>
    <s v="Bagus"/>
    <x v="1"/>
    <s v="sangat rendah"/>
  </r>
  <r>
    <s v="ORD01294"/>
    <x v="823"/>
    <s v="Dewi Rahmawati"/>
    <x v="2"/>
    <x v="23"/>
    <n v="45000"/>
    <n v="5"/>
    <n v="5"/>
    <n v="225000"/>
    <n v="11250"/>
    <n v="213750"/>
    <n v="26000"/>
    <n v="239750"/>
    <x v="2"/>
    <x v="2"/>
    <x v="3"/>
    <x v="4"/>
    <x v="0"/>
    <s v="Bagus"/>
    <x v="2"/>
    <s v="normal"/>
  </r>
  <r>
    <s v="ORD00921"/>
    <x v="824"/>
    <s v="Bella Hidayat"/>
    <x v="28"/>
    <x v="13"/>
    <n v="17000"/>
    <n v="1"/>
    <n v="0"/>
    <n v="17000"/>
    <n v="0"/>
    <n v="17000"/>
    <n v="79000"/>
    <n v="96000"/>
    <x v="3"/>
    <x v="2"/>
    <x v="0"/>
    <x v="0"/>
    <x v="0"/>
    <s v="Standar"/>
    <x v="1"/>
    <s v="sangat rendah"/>
  </r>
  <r>
    <s v="ORD01172"/>
    <x v="825"/>
    <s v="Aulia Iskandar"/>
    <x v="12"/>
    <x v="10"/>
    <n v="45000"/>
    <n v="5"/>
    <n v="0"/>
    <n v="225000"/>
    <n v="0"/>
    <n v="225000"/>
    <n v="74000"/>
    <n v="299000"/>
    <x v="3"/>
    <x v="2"/>
    <x v="2"/>
    <x v="2"/>
    <x v="0"/>
    <s v="Rendah"/>
    <x v="1"/>
    <s v="sangat rendah"/>
  </r>
  <r>
    <s v="ORD01102"/>
    <x v="826"/>
    <s v="Eka Pradipta"/>
    <x v="4"/>
    <x v="11"/>
    <n v="30000"/>
    <n v="1"/>
    <n v="0"/>
    <n v="30000"/>
    <n v="0"/>
    <n v="30000"/>
    <n v="0"/>
    <n v="30000"/>
    <x v="0"/>
    <x v="2"/>
    <x v="2"/>
    <x v="4"/>
    <x v="0"/>
    <s v="Bagus"/>
    <x v="1"/>
    <s v="sangat rendah"/>
  </r>
  <r>
    <s v="ORD01383"/>
    <x v="827"/>
    <s v="Lestari Santoso"/>
    <x v="31"/>
    <x v="26"/>
    <n v="16000"/>
    <n v="2"/>
    <n v="15"/>
    <n v="32000"/>
    <n v="4800"/>
    <n v="27200"/>
    <n v="18000"/>
    <n v="45200"/>
    <x v="3"/>
    <x v="4"/>
    <x v="2"/>
    <x v="4"/>
    <x v="0"/>
    <s v="Bagus"/>
    <x v="1"/>
    <s v="sangat rendah"/>
  </r>
  <r>
    <s v="ORD01552"/>
    <x v="828"/>
    <s v="Galih Iskandar"/>
    <x v="36"/>
    <x v="26"/>
    <n v="16000"/>
    <n v="1"/>
    <n v="5"/>
    <n v="16000"/>
    <n v="800"/>
    <n v="15200"/>
    <n v="49000"/>
    <n v="64200"/>
    <x v="3"/>
    <x v="2"/>
    <x v="1"/>
    <x v="1"/>
    <x v="1"/>
    <s v="Rendah"/>
    <x v="1"/>
    <s v="sangat rendah"/>
  </r>
  <r>
    <s v="ORD00771"/>
    <x v="829"/>
    <s v="Qori Halim"/>
    <x v="23"/>
    <x v="17"/>
    <n v="15000"/>
    <n v="5"/>
    <n v="10"/>
    <n v="75000"/>
    <n v="7500"/>
    <n v="67500"/>
    <n v="49000"/>
    <n v="116500"/>
    <x v="3"/>
    <x v="3"/>
    <x v="0"/>
    <x v="3"/>
    <x v="0"/>
    <s v="Bagus"/>
    <x v="0"/>
    <s v="rendah"/>
  </r>
  <r>
    <s v="ORD01313"/>
    <x v="830"/>
    <s v="Rizky Fauziah"/>
    <x v="13"/>
    <x v="23"/>
    <n v="45000"/>
    <n v="4"/>
    <n v="5"/>
    <n v="180000"/>
    <n v="9000"/>
    <n v="171000"/>
    <n v="87000"/>
    <n v="258000"/>
    <x v="3"/>
    <x v="2"/>
    <x v="2"/>
    <x v="2"/>
    <x v="1"/>
    <s v="Rendah"/>
    <x v="0"/>
    <s v="rendah"/>
  </r>
  <r>
    <s v="ORD01692"/>
    <x v="831"/>
    <s v="Vina Ramadhani"/>
    <x v="8"/>
    <x v="19"/>
    <n v="35000"/>
    <n v="2"/>
    <n v="0"/>
    <n v="70000"/>
    <n v="0"/>
    <n v="70000"/>
    <n v="87000"/>
    <n v="157000"/>
    <x v="1"/>
    <x v="2"/>
    <x v="0"/>
    <x v="1"/>
    <x v="0"/>
    <s v="Rendah"/>
    <x v="1"/>
    <s v="sangat rendah"/>
  </r>
  <r>
    <s v="ORD00374"/>
    <x v="832"/>
    <s v="Kartika Saputra"/>
    <x v="0"/>
    <x v="24"/>
    <n v="22000"/>
    <n v="1"/>
    <n v="15"/>
    <n v="22000"/>
    <n v="3300"/>
    <n v="18700"/>
    <n v="67000"/>
    <n v="85700"/>
    <x v="1"/>
    <x v="2"/>
    <x v="3"/>
    <x v="0"/>
    <x v="0"/>
    <s v="Standar"/>
    <x v="1"/>
    <s v="sangat rendah"/>
  </r>
  <r>
    <s v="ORD00374"/>
    <x v="832"/>
    <s v="Kartika Saputra"/>
    <x v="0"/>
    <x v="22"/>
    <n v="18000"/>
    <n v="1"/>
    <n v="10"/>
    <n v="18000"/>
    <n v="1800"/>
    <n v="16200"/>
    <n v="0"/>
    <n v="16200"/>
    <x v="1"/>
    <x v="2"/>
    <x v="3"/>
    <x v="0"/>
    <x v="0"/>
    <s v="Standar"/>
    <x v="1"/>
    <s v="sangat rendah"/>
  </r>
  <r>
    <s v="ORD01774"/>
    <x v="833"/>
    <s v="Bella Ramadhani"/>
    <x v="20"/>
    <x v="1"/>
    <n v="17000"/>
    <n v="5"/>
    <n v="5"/>
    <n v="85000"/>
    <n v="4250"/>
    <n v="80750"/>
    <n v="85000"/>
    <n v="165750"/>
    <x v="2"/>
    <x v="4"/>
    <x v="3"/>
    <x v="1"/>
    <x v="0"/>
    <s v="Rendah"/>
    <x v="1"/>
    <s v="sangat rendah"/>
  </r>
  <r>
    <s v="ORD00257"/>
    <x v="834"/>
    <s v="Kartika Saputra"/>
    <x v="0"/>
    <x v="20"/>
    <n v="40000"/>
    <n v="5"/>
    <n v="20"/>
    <n v="200000"/>
    <n v="40000"/>
    <n v="160000"/>
    <n v="67000"/>
    <n v="227000"/>
    <x v="1"/>
    <x v="2"/>
    <x v="4"/>
    <x v="4"/>
    <x v="0"/>
    <s v="Bagus"/>
    <x v="3"/>
    <s v="sangat tinggi"/>
  </r>
  <r>
    <s v="ORD00257"/>
    <x v="834"/>
    <s v="Kartika Saputra"/>
    <x v="0"/>
    <x v="13"/>
    <n v="17000"/>
    <n v="5"/>
    <n v="20"/>
    <n v="85000"/>
    <n v="17000"/>
    <n v="68000"/>
    <n v="0"/>
    <n v="68000"/>
    <x v="1"/>
    <x v="2"/>
    <x v="4"/>
    <x v="4"/>
    <x v="0"/>
    <s v="Bagus"/>
    <x v="2"/>
    <s v="normal"/>
  </r>
  <r>
    <s v="ORD00834"/>
    <x v="835"/>
    <s v="Clara Budiman"/>
    <x v="24"/>
    <x v="22"/>
    <n v="18000"/>
    <n v="1"/>
    <n v="20"/>
    <n v="18000"/>
    <n v="3600"/>
    <n v="14400"/>
    <n v="93000"/>
    <n v="107400"/>
    <x v="1"/>
    <x v="2"/>
    <x v="4"/>
    <x v="0"/>
    <x v="0"/>
    <s v="Standar"/>
    <x v="1"/>
    <s v="sangat rendah"/>
  </r>
  <r>
    <s v="ORD00971"/>
    <x v="836"/>
    <s v="Tono Ananda"/>
    <x v="1"/>
    <x v="24"/>
    <n v="22000"/>
    <n v="5"/>
    <n v="5"/>
    <n v="110000"/>
    <n v="5500"/>
    <n v="104500"/>
    <n v="59000"/>
    <n v="163500"/>
    <x v="0"/>
    <x v="2"/>
    <x v="0"/>
    <x v="2"/>
    <x v="1"/>
    <s v="Rendah"/>
    <x v="0"/>
    <s v="rendah"/>
  </r>
  <r>
    <s v="ORD01141"/>
    <x v="837"/>
    <s v="Hana Pradipta"/>
    <x v="6"/>
    <x v="24"/>
    <n v="22000"/>
    <n v="2"/>
    <n v="0"/>
    <n v="44000"/>
    <n v="0"/>
    <n v="44000"/>
    <n v="30000"/>
    <n v="74000"/>
    <x v="2"/>
    <x v="4"/>
    <x v="3"/>
    <x v="4"/>
    <x v="0"/>
    <s v="Bagus"/>
    <x v="1"/>
    <s v="sangat rendah"/>
  </r>
  <r>
    <s v="ORD00852"/>
    <x v="838"/>
    <s v="Vina Iskandar"/>
    <x v="3"/>
    <x v="1"/>
    <n v="17000"/>
    <n v="5"/>
    <n v="20"/>
    <n v="85000"/>
    <n v="17000"/>
    <n v="68000"/>
    <n v="18000"/>
    <n v="86000"/>
    <x v="2"/>
    <x v="2"/>
    <x v="0"/>
    <x v="0"/>
    <x v="0"/>
    <s v="Standar"/>
    <x v="2"/>
    <s v="normal"/>
  </r>
  <r>
    <s v="ORD01074"/>
    <x v="839"/>
    <s v="Nanda Iskandar"/>
    <x v="20"/>
    <x v="25"/>
    <n v="40000"/>
    <n v="4"/>
    <n v="0"/>
    <n v="160000"/>
    <n v="0"/>
    <n v="160000"/>
    <n v="85000"/>
    <n v="245000"/>
    <x v="3"/>
    <x v="2"/>
    <x v="3"/>
    <x v="3"/>
    <x v="1"/>
    <s v="Bagus"/>
    <x v="1"/>
    <s v="sangat rendah"/>
  </r>
  <r>
    <s v="ORD00354"/>
    <x v="840"/>
    <s v="Vina Syahputra"/>
    <x v="23"/>
    <x v="14"/>
    <n v="18000"/>
    <n v="1"/>
    <n v="5"/>
    <n v="18000"/>
    <n v="900"/>
    <n v="17100"/>
    <n v="49000"/>
    <n v="66100"/>
    <x v="0"/>
    <x v="3"/>
    <x v="2"/>
    <x v="3"/>
    <x v="0"/>
    <s v="Bagus"/>
    <x v="1"/>
    <s v="sangat rendah"/>
  </r>
  <r>
    <s v="ORD00354"/>
    <x v="840"/>
    <s v="Vina Syahputra"/>
    <x v="23"/>
    <x v="8"/>
    <n v="14000"/>
    <n v="4"/>
    <n v="5"/>
    <n v="56000"/>
    <n v="2800"/>
    <n v="53200"/>
    <n v="0"/>
    <n v="53200"/>
    <x v="0"/>
    <x v="3"/>
    <x v="2"/>
    <x v="3"/>
    <x v="0"/>
    <s v="Bagus"/>
    <x v="1"/>
    <s v="sangat rendah"/>
  </r>
  <r>
    <s v="ORD01221"/>
    <x v="841"/>
    <s v="Citra Halim"/>
    <x v="32"/>
    <x v="8"/>
    <n v="14000"/>
    <n v="4"/>
    <n v="5"/>
    <n v="56000"/>
    <n v="2800"/>
    <n v="53200"/>
    <n v="59000"/>
    <n v="112200"/>
    <x v="3"/>
    <x v="2"/>
    <x v="0"/>
    <x v="0"/>
    <x v="0"/>
    <s v="Standar"/>
    <x v="1"/>
    <s v="sangat rendah"/>
  </r>
  <r>
    <s v="ORD00530"/>
    <x v="842"/>
    <s v="Fitri Setiawan"/>
    <x v="23"/>
    <x v="22"/>
    <n v="18000"/>
    <n v="1"/>
    <n v="20"/>
    <n v="18000"/>
    <n v="3600"/>
    <n v="14400"/>
    <n v="49000"/>
    <n v="63400"/>
    <x v="0"/>
    <x v="2"/>
    <x v="2"/>
    <x v="0"/>
    <x v="0"/>
    <s v="Standar"/>
    <x v="1"/>
    <s v="sangat rendah"/>
  </r>
  <r>
    <s v="ORD01499"/>
    <x v="843"/>
    <s v="Citra Kurniawan"/>
    <x v="32"/>
    <x v="8"/>
    <n v="14000"/>
    <n v="2"/>
    <n v="20"/>
    <n v="28000"/>
    <n v="5600"/>
    <n v="22400"/>
    <n v="59000"/>
    <n v="81400"/>
    <x v="0"/>
    <x v="4"/>
    <x v="0"/>
    <x v="4"/>
    <x v="0"/>
    <s v="Bagus"/>
    <x v="0"/>
    <s v="rendah"/>
  </r>
  <r>
    <s v="ORD00549"/>
    <x v="844"/>
    <s v="Eka Rahmawati"/>
    <x v="18"/>
    <x v="0"/>
    <n v="16000"/>
    <n v="1"/>
    <n v="5"/>
    <n v="16000"/>
    <n v="800"/>
    <n v="15200"/>
    <n v="43000"/>
    <n v="58200"/>
    <x v="0"/>
    <x v="2"/>
    <x v="2"/>
    <x v="0"/>
    <x v="0"/>
    <s v="Standar"/>
    <x v="1"/>
    <s v="sangat rendah"/>
  </r>
  <r>
    <s v="ORD01792"/>
    <x v="845"/>
    <s v="Bella Ananda"/>
    <x v="18"/>
    <x v="15"/>
    <n v="4000"/>
    <n v="4"/>
    <n v="10"/>
    <n v="16000"/>
    <n v="1600"/>
    <n v="14400"/>
    <n v="43000"/>
    <n v="57400"/>
    <x v="0"/>
    <x v="4"/>
    <x v="4"/>
    <x v="1"/>
    <x v="0"/>
    <s v="Rendah"/>
    <x v="1"/>
    <s v="sangat rendah"/>
  </r>
  <r>
    <s v="ORD01473"/>
    <x v="846"/>
    <s v="Bella Pradipta"/>
    <x v="19"/>
    <x v="2"/>
    <n v="5000"/>
    <n v="4"/>
    <n v="15"/>
    <n v="20000"/>
    <n v="3000"/>
    <n v="17000"/>
    <n v="55000"/>
    <n v="72000"/>
    <x v="0"/>
    <x v="2"/>
    <x v="3"/>
    <x v="1"/>
    <x v="0"/>
    <s v="Rendah"/>
    <x v="1"/>
    <s v="sangat rendah"/>
  </r>
  <r>
    <s v="ORD01336"/>
    <x v="847"/>
    <s v="Qori Utami"/>
    <x v="37"/>
    <x v="0"/>
    <n v="16000"/>
    <n v="4"/>
    <n v="20"/>
    <n v="64000"/>
    <n v="12800"/>
    <n v="51200"/>
    <n v="57000"/>
    <n v="108200"/>
    <x v="0"/>
    <x v="2"/>
    <x v="3"/>
    <x v="0"/>
    <x v="0"/>
    <s v="Standar"/>
    <x v="2"/>
    <s v="normal"/>
  </r>
  <r>
    <s v="ORD01269"/>
    <x v="848"/>
    <s v="Aulia Fauziah"/>
    <x v="33"/>
    <x v="26"/>
    <n v="16000"/>
    <n v="1"/>
    <n v="10"/>
    <n v="16000"/>
    <n v="1600"/>
    <n v="14400"/>
    <n v="68000"/>
    <n v="82400"/>
    <x v="2"/>
    <x v="2"/>
    <x v="1"/>
    <x v="0"/>
    <x v="0"/>
    <s v="Standar"/>
    <x v="1"/>
    <s v="sangat rendah"/>
  </r>
  <r>
    <s v="ORD01752"/>
    <x v="849"/>
    <s v="Qori Halim"/>
    <x v="23"/>
    <x v="12"/>
    <n v="25000"/>
    <n v="4"/>
    <n v="5"/>
    <n v="100000"/>
    <n v="5000"/>
    <n v="95000"/>
    <n v="49000"/>
    <n v="144000"/>
    <x v="2"/>
    <x v="2"/>
    <x v="4"/>
    <x v="2"/>
    <x v="0"/>
    <s v="Rendah"/>
    <x v="1"/>
    <s v="sangat rendah"/>
  </r>
  <r>
    <s v="ORD01526"/>
    <x v="850"/>
    <s v="Bayu Maulana"/>
    <x v="29"/>
    <x v="20"/>
    <n v="40000"/>
    <n v="2"/>
    <n v="5"/>
    <n v="80000"/>
    <n v="4000"/>
    <n v="76000"/>
    <n v="89000"/>
    <n v="165000"/>
    <x v="0"/>
    <x v="3"/>
    <x v="4"/>
    <x v="2"/>
    <x v="1"/>
    <s v="Rendah"/>
    <x v="1"/>
    <s v="sangat rendah"/>
  </r>
  <r>
    <s v="ORD00085"/>
    <x v="851"/>
    <s v="Rizky Puspita"/>
    <x v="28"/>
    <x v="14"/>
    <n v="18000"/>
    <n v="1"/>
    <n v="20"/>
    <n v="18000"/>
    <n v="3600"/>
    <n v="14400"/>
    <n v="79000"/>
    <n v="93400"/>
    <x v="3"/>
    <x v="2"/>
    <x v="2"/>
    <x v="1"/>
    <x v="1"/>
    <s v="Rendah"/>
    <x v="1"/>
    <s v="sangat rendah"/>
  </r>
  <r>
    <s v="ORD01563"/>
    <x v="852"/>
    <s v="Putri Ramadhani"/>
    <x v="31"/>
    <x v="4"/>
    <n v="6000"/>
    <n v="1"/>
    <n v="15"/>
    <n v="6000"/>
    <n v="900"/>
    <n v="5100"/>
    <n v="18000"/>
    <n v="23100"/>
    <x v="1"/>
    <x v="4"/>
    <x v="3"/>
    <x v="0"/>
    <x v="0"/>
    <s v="Standar"/>
    <x v="1"/>
    <s v="sangat rendah"/>
  </r>
  <r>
    <s v="ORD01024"/>
    <x v="853"/>
    <s v="Gita Saputra"/>
    <x v="21"/>
    <x v="14"/>
    <n v="18000"/>
    <n v="1"/>
    <n v="20"/>
    <n v="18000"/>
    <n v="3600"/>
    <n v="14400"/>
    <n v="72000"/>
    <n v="86400"/>
    <x v="0"/>
    <x v="2"/>
    <x v="1"/>
    <x v="0"/>
    <x v="0"/>
    <s v="Standar"/>
    <x v="1"/>
    <s v="sangat rendah"/>
  </r>
  <r>
    <s v="ORD01705"/>
    <x v="854"/>
    <s v="Fitri Puspita"/>
    <x v="5"/>
    <x v="16"/>
    <n v="28000"/>
    <n v="3"/>
    <n v="0"/>
    <n v="84000"/>
    <n v="0"/>
    <n v="84000"/>
    <n v="78000"/>
    <n v="162000"/>
    <x v="2"/>
    <x v="2"/>
    <x v="3"/>
    <x v="1"/>
    <x v="0"/>
    <s v="Rendah"/>
    <x v="1"/>
    <s v="sangat rendah"/>
  </r>
  <r>
    <s v="ORD00772"/>
    <x v="855"/>
    <s v="Eka Ananda"/>
    <x v="10"/>
    <x v="20"/>
    <n v="40000"/>
    <n v="3"/>
    <n v="5"/>
    <n v="120000"/>
    <n v="6000"/>
    <n v="114000"/>
    <n v="84000"/>
    <n v="198000"/>
    <x v="2"/>
    <x v="2"/>
    <x v="0"/>
    <x v="4"/>
    <x v="0"/>
    <s v="Bagus"/>
    <x v="0"/>
    <s v="rendah"/>
  </r>
  <r>
    <s v="ORD01686"/>
    <x v="856"/>
    <s v="Wahyu Hidayat"/>
    <x v="7"/>
    <x v="14"/>
    <n v="18000"/>
    <n v="3"/>
    <n v="5"/>
    <n v="54000"/>
    <n v="2700"/>
    <n v="51300"/>
    <n v="15000"/>
    <n v="66300"/>
    <x v="1"/>
    <x v="2"/>
    <x v="4"/>
    <x v="1"/>
    <x v="1"/>
    <s v="Rendah"/>
    <x v="1"/>
    <s v="sangat rendah"/>
  </r>
  <r>
    <s v="ORD01759"/>
    <x v="857"/>
    <s v="Vina Maulana"/>
    <x v="7"/>
    <x v="8"/>
    <n v="14000"/>
    <n v="5"/>
    <n v="0"/>
    <n v="70000"/>
    <n v="0"/>
    <n v="70000"/>
    <n v="15000"/>
    <n v="85000"/>
    <x v="3"/>
    <x v="2"/>
    <x v="3"/>
    <x v="3"/>
    <x v="0"/>
    <s v="Bagus"/>
    <x v="1"/>
    <s v="sangat rendah"/>
  </r>
  <r>
    <s v="ORD01355"/>
    <x v="858"/>
    <s v="Fitri Ananda"/>
    <x v="15"/>
    <x v="10"/>
    <n v="45000"/>
    <n v="3"/>
    <n v="20"/>
    <n v="135000"/>
    <n v="27000"/>
    <n v="108000"/>
    <n v="17000"/>
    <n v="125000"/>
    <x v="2"/>
    <x v="2"/>
    <x v="4"/>
    <x v="1"/>
    <x v="0"/>
    <s v="Rendah"/>
    <x v="4"/>
    <s v="tinggi"/>
  </r>
  <r>
    <s v="ORD00625"/>
    <x v="859"/>
    <s v="Dewi Wijaya"/>
    <x v="6"/>
    <x v="24"/>
    <n v="22000"/>
    <n v="4"/>
    <n v="20"/>
    <n v="88000"/>
    <n v="17600"/>
    <n v="70400"/>
    <n v="30000"/>
    <n v="100400"/>
    <x v="0"/>
    <x v="2"/>
    <x v="3"/>
    <x v="2"/>
    <x v="0"/>
    <s v="Rendah"/>
    <x v="2"/>
    <s v="normal"/>
  </r>
  <r>
    <s v="ORD01258"/>
    <x v="860"/>
    <s v="Zahra Puspita"/>
    <x v="5"/>
    <x v="4"/>
    <n v="6000"/>
    <n v="5"/>
    <n v="5"/>
    <n v="30000"/>
    <n v="1500"/>
    <n v="28500"/>
    <n v="78000"/>
    <n v="106500"/>
    <x v="1"/>
    <x v="2"/>
    <x v="4"/>
    <x v="2"/>
    <x v="0"/>
    <s v="Rendah"/>
    <x v="1"/>
    <s v="sangat rendah"/>
  </r>
  <r>
    <s v="ORD00841"/>
    <x v="861"/>
    <s v="Putri Setiawan"/>
    <x v="32"/>
    <x v="26"/>
    <n v="16000"/>
    <n v="1"/>
    <n v="15"/>
    <n v="16000"/>
    <n v="2400"/>
    <n v="13600"/>
    <n v="59000"/>
    <n v="72600"/>
    <x v="0"/>
    <x v="2"/>
    <x v="3"/>
    <x v="0"/>
    <x v="0"/>
    <s v="Standar"/>
    <x v="1"/>
    <s v="sangat rendah"/>
  </r>
  <r>
    <s v="ORD00296"/>
    <x v="862"/>
    <s v="Erna Iskandar"/>
    <x v="21"/>
    <x v="17"/>
    <n v="15000"/>
    <n v="1"/>
    <n v="10"/>
    <n v="15000"/>
    <n v="1500"/>
    <n v="13500"/>
    <n v="72000"/>
    <n v="85500"/>
    <x v="2"/>
    <x v="2"/>
    <x v="1"/>
    <x v="1"/>
    <x v="0"/>
    <s v="Rendah"/>
    <x v="1"/>
    <s v="sangat rendah"/>
  </r>
  <r>
    <s v="ORD00159"/>
    <x v="863"/>
    <s v="Yani Ananda"/>
    <x v="11"/>
    <x v="25"/>
    <n v="40000"/>
    <n v="4"/>
    <n v="5"/>
    <n v="160000"/>
    <n v="8000"/>
    <n v="152000"/>
    <n v="56000"/>
    <n v="208000"/>
    <x v="2"/>
    <x v="2"/>
    <x v="3"/>
    <x v="2"/>
    <x v="0"/>
    <s v="Rendah"/>
    <x v="0"/>
    <s v="rendah"/>
  </r>
  <r>
    <s v="ORD00159"/>
    <x v="863"/>
    <s v="Yani Ananda"/>
    <x v="11"/>
    <x v="17"/>
    <n v="15000"/>
    <n v="2"/>
    <n v="10"/>
    <n v="30000"/>
    <n v="3000"/>
    <n v="27000"/>
    <n v="0"/>
    <n v="27000"/>
    <x v="2"/>
    <x v="2"/>
    <x v="3"/>
    <x v="2"/>
    <x v="0"/>
    <s v="Rendah"/>
    <x v="1"/>
    <s v="sangat rendah"/>
  </r>
  <r>
    <s v="ORD01107"/>
    <x v="864"/>
    <s v="Tono Fauziah"/>
    <x v="37"/>
    <x v="15"/>
    <n v="4000"/>
    <n v="1"/>
    <n v="10"/>
    <n v="4000"/>
    <n v="400"/>
    <n v="3600"/>
    <n v="57000"/>
    <n v="60600"/>
    <x v="2"/>
    <x v="2"/>
    <x v="0"/>
    <x v="0"/>
    <x v="1"/>
    <s v="Standar"/>
    <x v="1"/>
    <s v="sangat rendah"/>
  </r>
  <r>
    <s v="ORD00787"/>
    <x v="865"/>
    <s v="Yani Ananda"/>
    <x v="11"/>
    <x v="19"/>
    <n v="35000"/>
    <n v="3"/>
    <n v="0"/>
    <n v="105000"/>
    <n v="0"/>
    <n v="105000"/>
    <n v="56000"/>
    <n v="161000"/>
    <x v="0"/>
    <x v="4"/>
    <x v="2"/>
    <x v="2"/>
    <x v="0"/>
    <s v="Rendah"/>
    <x v="1"/>
    <s v="sangat rendah"/>
  </r>
  <r>
    <s v="ORD00251"/>
    <x v="866"/>
    <s v="Putri Saputra"/>
    <x v="20"/>
    <x v="0"/>
    <n v="16000"/>
    <n v="2"/>
    <n v="0"/>
    <n v="32000"/>
    <n v="0"/>
    <n v="32000"/>
    <n v="85000"/>
    <n v="117000"/>
    <x v="0"/>
    <x v="2"/>
    <x v="4"/>
    <x v="2"/>
    <x v="0"/>
    <s v="Rendah"/>
    <x v="1"/>
    <s v="sangat rendah"/>
  </r>
  <r>
    <s v="ORD00603"/>
    <x v="867"/>
    <s v="Bella Budiman"/>
    <x v="15"/>
    <x v="19"/>
    <n v="35000"/>
    <n v="3"/>
    <n v="5"/>
    <n v="105000"/>
    <n v="5250"/>
    <n v="99750"/>
    <n v="17000"/>
    <n v="116750"/>
    <x v="1"/>
    <x v="2"/>
    <x v="1"/>
    <x v="4"/>
    <x v="0"/>
    <s v="Bagus"/>
    <x v="0"/>
    <s v="rendah"/>
  </r>
  <r>
    <s v="ORD01608"/>
    <x v="868"/>
    <s v="Bella Nugroho"/>
    <x v="19"/>
    <x v="18"/>
    <n v="16000"/>
    <n v="2"/>
    <n v="15"/>
    <n v="32000"/>
    <n v="4800"/>
    <n v="27200"/>
    <n v="55000"/>
    <n v="82200"/>
    <x v="3"/>
    <x v="2"/>
    <x v="2"/>
    <x v="3"/>
    <x v="0"/>
    <s v="Bagus"/>
    <x v="1"/>
    <s v="sangat rendah"/>
  </r>
  <r>
    <s v="ORD00728"/>
    <x v="869"/>
    <s v="Qori Ananda"/>
    <x v="16"/>
    <x v="24"/>
    <n v="22000"/>
    <n v="1"/>
    <n v="10"/>
    <n v="22000"/>
    <n v="2200"/>
    <n v="19800"/>
    <n v="50000"/>
    <n v="69800"/>
    <x v="2"/>
    <x v="2"/>
    <x v="3"/>
    <x v="3"/>
    <x v="0"/>
    <s v="Bagus"/>
    <x v="1"/>
    <s v="sangat rendah"/>
  </r>
  <r>
    <s v="ORD01194"/>
    <x v="870"/>
    <s v="Indra Ananda"/>
    <x v="10"/>
    <x v="0"/>
    <n v="16000"/>
    <n v="4"/>
    <n v="0"/>
    <n v="64000"/>
    <n v="0"/>
    <n v="64000"/>
    <n v="84000"/>
    <n v="148000"/>
    <x v="0"/>
    <x v="2"/>
    <x v="2"/>
    <x v="2"/>
    <x v="1"/>
    <s v="Rendah"/>
    <x v="1"/>
    <s v="sangat rendah"/>
  </r>
  <r>
    <s v="ORD00838"/>
    <x v="871"/>
    <s v="Budi Saputra"/>
    <x v="11"/>
    <x v="24"/>
    <n v="22000"/>
    <n v="1"/>
    <n v="10"/>
    <n v="22000"/>
    <n v="2200"/>
    <n v="19800"/>
    <n v="56000"/>
    <n v="75800"/>
    <x v="3"/>
    <x v="2"/>
    <x v="0"/>
    <x v="0"/>
    <x v="1"/>
    <s v="Standar"/>
    <x v="1"/>
    <s v="sangat rendah"/>
  </r>
  <r>
    <s v="ORD01296"/>
    <x v="872"/>
    <s v="Clara Setiawan"/>
    <x v="3"/>
    <x v="12"/>
    <n v="25000"/>
    <n v="2"/>
    <n v="5"/>
    <n v="50000"/>
    <n v="2500"/>
    <n v="47500"/>
    <n v="18000"/>
    <n v="65500"/>
    <x v="1"/>
    <x v="2"/>
    <x v="4"/>
    <x v="3"/>
    <x v="0"/>
    <s v="Bagus"/>
    <x v="1"/>
    <s v="sangat rendah"/>
  </r>
  <r>
    <s v="ORD00606"/>
    <x v="873"/>
    <s v="Gita Ramadhani"/>
    <x v="17"/>
    <x v="4"/>
    <n v="6000"/>
    <n v="3"/>
    <n v="20"/>
    <n v="18000"/>
    <n v="3600"/>
    <n v="14400"/>
    <n v="50000"/>
    <n v="64400"/>
    <x v="2"/>
    <x v="2"/>
    <x v="4"/>
    <x v="2"/>
    <x v="0"/>
    <s v="Rendah"/>
    <x v="1"/>
    <s v="sangat rendah"/>
  </r>
  <r>
    <s v="ORD01021"/>
    <x v="874"/>
    <s v="Zahra Kurniawan"/>
    <x v="7"/>
    <x v="9"/>
    <n v="35000"/>
    <n v="2"/>
    <n v="0"/>
    <n v="70000"/>
    <n v="0"/>
    <n v="70000"/>
    <n v="15000"/>
    <n v="85000"/>
    <x v="0"/>
    <x v="2"/>
    <x v="3"/>
    <x v="2"/>
    <x v="0"/>
    <s v="Rendah"/>
    <x v="1"/>
    <s v="sangat rendah"/>
  </r>
  <r>
    <s v="ORD01818"/>
    <x v="875"/>
    <s v="Aulia Iskandar"/>
    <x v="12"/>
    <x v="0"/>
    <n v="16000"/>
    <n v="4"/>
    <n v="5"/>
    <n v="64000"/>
    <n v="3200"/>
    <n v="60800"/>
    <n v="74000"/>
    <n v="134800"/>
    <x v="1"/>
    <x v="2"/>
    <x v="4"/>
    <x v="4"/>
    <x v="0"/>
    <s v="Bagus"/>
    <x v="1"/>
    <s v="sangat rendah"/>
  </r>
  <r>
    <s v="ORD00949"/>
    <x v="876"/>
    <s v="Fitri Wijaya"/>
    <x v="37"/>
    <x v="25"/>
    <n v="40000"/>
    <n v="5"/>
    <n v="0"/>
    <n v="200000"/>
    <n v="0"/>
    <n v="200000"/>
    <n v="57000"/>
    <n v="257000"/>
    <x v="3"/>
    <x v="2"/>
    <x v="3"/>
    <x v="4"/>
    <x v="0"/>
    <s v="Bagus"/>
    <x v="1"/>
    <s v="sangat rendah"/>
  </r>
  <r>
    <s v="ORD01416"/>
    <x v="877"/>
    <s v="Zahra Kusuma"/>
    <x v="2"/>
    <x v="20"/>
    <n v="40000"/>
    <n v="2"/>
    <n v="15"/>
    <n v="80000"/>
    <n v="12000"/>
    <n v="68000"/>
    <n v="26000"/>
    <n v="94000"/>
    <x v="0"/>
    <x v="4"/>
    <x v="2"/>
    <x v="0"/>
    <x v="0"/>
    <s v="Standar"/>
    <x v="2"/>
    <s v="normal"/>
  </r>
  <r>
    <s v="ORD01484"/>
    <x v="878"/>
    <s v="Ani Hidayat"/>
    <x v="18"/>
    <x v="23"/>
    <n v="45000"/>
    <n v="4"/>
    <n v="15"/>
    <n v="180000"/>
    <n v="27000"/>
    <n v="153000"/>
    <n v="43000"/>
    <n v="196000"/>
    <x v="1"/>
    <x v="2"/>
    <x v="1"/>
    <x v="3"/>
    <x v="0"/>
    <s v="Bagus"/>
    <x v="4"/>
    <s v="tinggi"/>
  </r>
  <r>
    <s v="ORD01772"/>
    <x v="879"/>
    <s v="Yani Nugroho"/>
    <x v="15"/>
    <x v="13"/>
    <n v="17000"/>
    <n v="5"/>
    <n v="10"/>
    <n v="85000"/>
    <n v="8500"/>
    <n v="76500"/>
    <n v="17000"/>
    <n v="93500"/>
    <x v="2"/>
    <x v="2"/>
    <x v="4"/>
    <x v="2"/>
    <x v="0"/>
    <s v="Rendah"/>
    <x v="0"/>
    <s v="rendah"/>
  </r>
  <r>
    <s v="ORD01577"/>
    <x v="880"/>
    <s v="Dewi Budiman"/>
    <x v="9"/>
    <x v="8"/>
    <n v="14000"/>
    <n v="2"/>
    <n v="10"/>
    <n v="28000"/>
    <n v="2800"/>
    <n v="25200"/>
    <n v="21000"/>
    <n v="46200"/>
    <x v="1"/>
    <x v="2"/>
    <x v="0"/>
    <x v="1"/>
    <x v="0"/>
    <s v="Rendah"/>
    <x v="1"/>
    <s v="sangat rendah"/>
  </r>
  <r>
    <s v="ORD01450"/>
    <x v="881"/>
    <s v="Rizky Puspita"/>
    <x v="28"/>
    <x v="6"/>
    <n v="55000"/>
    <n v="1"/>
    <n v="5"/>
    <n v="55000"/>
    <n v="2750"/>
    <n v="52250"/>
    <n v="79000"/>
    <n v="131250"/>
    <x v="3"/>
    <x v="2"/>
    <x v="1"/>
    <x v="1"/>
    <x v="1"/>
    <s v="Rendah"/>
    <x v="1"/>
    <s v="sangat rendah"/>
  </r>
  <r>
    <s v="ORD00349"/>
    <x v="882"/>
    <s v="Lestari Fauziah"/>
    <x v="19"/>
    <x v="1"/>
    <n v="17000"/>
    <n v="4"/>
    <n v="15"/>
    <n v="68000"/>
    <n v="10200"/>
    <n v="57800"/>
    <n v="55000"/>
    <n v="112800"/>
    <x v="3"/>
    <x v="2"/>
    <x v="2"/>
    <x v="1"/>
    <x v="0"/>
    <s v="Rendah"/>
    <x v="2"/>
    <s v="normal"/>
  </r>
  <r>
    <s v="ORD00349"/>
    <x v="882"/>
    <s v="Lestari Fauziah"/>
    <x v="19"/>
    <x v="12"/>
    <n v="25000"/>
    <n v="5"/>
    <n v="10"/>
    <n v="125000"/>
    <n v="12500"/>
    <n v="112500"/>
    <n v="0"/>
    <n v="112500"/>
    <x v="3"/>
    <x v="2"/>
    <x v="2"/>
    <x v="1"/>
    <x v="0"/>
    <s v="Rendah"/>
    <x v="2"/>
    <s v="normal"/>
  </r>
  <r>
    <s v="ORD01445"/>
    <x v="883"/>
    <s v="Yoga Nugroho"/>
    <x v="27"/>
    <x v="10"/>
    <n v="45000"/>
    <n v="3"/>
    <n v="10"/>
    <n v="135000"/>
    <n v="13500"/>
    <n v="121500"/>
    <n v="18000"/>
    <n v="139500"/>
    <x v="3"/>
    <x v="2"/>
    <x v="3"/>
    <x v="0"/>
    <x v="1"/>
    <s v="Standar"/>
    <x v="2"/>
    <s v="normal"/>
  </r>
  <r>
    <s v="ORD01219"/>
    <x v="884"/>
    <s v="Zahra Wijaya"/>
    <x v="6"/>
    <x v="10"/>
    <n v="45000"/>
    <n v="1"/>
    <n v="10"/>
    <n v="45000"/>
    <n v="4500"/>
    <n v="40500"/>
    <n v="30000"/>
    <n v="70500"/>
    <x v="0"/>
    <x v="2"/>
    <x v="0"/>
    <x v="3"/>
    <x v="0"/>
    <s v="Bagus"/>
    <x v="1"/>
    <s v="sangat rendah"/>
  </r>
  <r>
    <s v="ORD01527"/>
    <x v="885"/>
    <s v="Zahra Pradipta"/>
    <x v="29"/>
    <x v="9"/>
    <n v="35000"/>
    <n v="4"/>
    <n v="10"/>
    <n v="140000"/>
    <n v="14000"/>
    <n v="126000"/>
    <n v="89000"/>
    <n v="215000"/>
    <x v="0"/>
    <x v="2"/>
    <x v="3"/>
    <x v="3"/>
    <x v="0"/>
    <s v="Bagus"/>
    <x v="2"/>
    <s v="normal"/>
  </r>
  <r>
    <s v="ORD01274"/>
    <x v="886"/>
    <s v="Fitri Saputra"/>
    <x v="30"/>
    <x v="13"/>
    <n v="17000"/>
    <n v="4"/>
    <n v="10"/>
    <n v="68000"/>
    <n v="6800"/>
    <n v="61200"/>
    <n v="97000"/>
    <n v="158200"/>
    <x v="3"/>
    <x v="3"/>
    <x v="2"/>
    <x v="2"/>
    <x v="0"/>
    <s v="Rendah"/>
    <x v="0"/>
    <s v="rendah"/>
  </r>
  <r>
    <s v="ORD00470"/>
    <x v="887"/>
    <s v="Ani Maulana"/>
    <x v="29"/>
    <x v="13"/>
    <n v="17000"/>
    <n v="2"/>
    <n v="20"/>
    <n v="34000"/>
    <n v="6800"/>
    <n v="27200"/>
    <n v="89000"/>
    <n v="116200"/>
    <x v="0"/>
    <x v="2"/>
    <x v="4"/>
    <x v="4"/>
    <x v="0"/>
    <s v="Bagus"/>
    <x v="0"/>
    <s v="rendah"/>
  </r>
  <r>
    <s v="ORD00806"/>
    <x v="888"/>
    <s v="Yani Setiawan"/>
    <x v="35"/>
    <x v="2"/>
    <n v="5000"/>
    <n v="1"/>
    <n v="10"/>
    <n v="5000"/>
    <n v="500"/>
    <n v="4500"/>
    <n v="76000"/>
    <n v="80500"/>
    <x v="2"/>
    <x v="2"/>
    <x v="1"/>
    <x v="2"/>
    <x v="0"/>
    <s v="Rendah"/>
    <x v="1"/>
    <s v="sangat rendah"/>
  </r>
  <r>
    <s v="ORD00160"/>
    <x v="889"/>
    <s v="Erna Pradipta"/>
    <x v="4"/>
    <x v="13"/>
    <n v="17000"/>
    <n v="2"/>
    <n v="15"/>
    <n v="34000"/>
    <n v="5100"/>
    <n v="28900"/>
    <n v="0"/>
    <n v="28900"/>
    <x v="2"/>
    <x v="2"/>
    <x v="0"/>
    <x v="1"/>
    <x v="0"/>
    <s v="Rendah"/>
    <x v="0"/>
    <s v="rendah"/>
  </r>
  <r>
    <s v="ORD01076"/>
    <x v="890"/>
    <s v="Tono Hidayat"/>
    <x v="31"/>
    <x v="7"/>
    <n v="12000"/>
    <n v="4"/>
    <n v="0"/>
    <n v="48000"/>
    <n v="0"/>
    <n v="48000"/>
    <n v="18000"/>
    <n v="66000"/>
    <x v="2"/>
    <x v="2"/>
    <x v="2"/>
    <x v="2"/>
    <x v="1"/>
    <s v="Rendah"/>
    <x v="1"/>
    <s v="sangat rendah"/>
  </r>
  <r>
    <s v="ORD00436"/>
    <x v="891"/>
    <s v="Dewi Maulana"/>
    <x v="11"/>
    <x v="25"/>
    <n v="40000"/>
    <n v="4"/>
    <n v="10"/>
    <n v="160000"/>
    <n v="16000"/>
    <n v="144000"/>
    <n v="56000"/>
    <n v="200000"/>
    <x v="2"/>
    <x v="4"/>
    <x v="1"/>
    <x v="2"/>
    <x v="0"/>
    <s v="Rendah"/>
    <x v="2"/>
    <s v="normal"/>
  </r>
  <r>
    <s v="ORD01348"/>
    <x v="892"/>
    <s v="Yani Maulana"/>
    <x v="5"/>
    <x v="3"/>
    <n v="14000"/>
    <n v="3"/>
    <n v="15"/>
    <n v="42000"/>
    <n v="6300"/>
    <n v="35700"/>
    <n v="78000"/>
    <n v="113700"/>
    <x v="3"/>
    <x v="3"/>
    <x v="1"/>
    <x v="3"/>
    <x v="0"/>
    <s v="Bagus"/>
    <x v="0"/>
    <s v="rendah"/>
  </r>
  <r>
    <s v="ORD00363"/>
    <x v="893"/>
    <s v="Qori Halim"/>
    <x v="23"/>
    <x v="2"/>
    <n v="5000"/>
    <n v="1"/>
    <n v="20"/>
    <n v="5000"/>
    <n v="1000"/>
    <n v="4000"/>
    <n v="49000"/>
    <n v="53000"/>
    <x v="1"/>
    <x v="2"/>
    <x v="1"/>
    <x v="2"/>
    <x v="0"/>
    <s v="Rendah"/>
    <x v="1"/>
    <s v="sangat rendah"/>
  </r>
  <r>
    <s v="ORD00341"/>
    <x v="894"/>
    <s v="Citra Kurniawan"/>
    <x v="32"/>
    <x v="19"/>
    <n v="35000"/>
    <n v="1"/>
    <n v="20"/>
    <n v="35000"/>
    <n v="7000"/>
    <n v="28000"/>
    <n v="59000"/>
    <n v="87000"/>
    <x v="2"/>
    <x v="2"/>
    <x v="1"/>
    <x v="2"/>
    <x v="0"/>
    <s v="Rendah"/>
    <x v="0"/>
    <s v="rendah"/>
  </r>
  <r>
    <s v="ORD01083"/>
    <x v="895"/>
    <s v="Citra Rahmawati"/>
    <x v="16"/>
    <x v="10"/>
    <n v="45000"/>
    <n v="5"/>
    <n v="15"/>
    <n v="225000"/>
    <n v="33750"/>
    <n v="191250"/>
    <n v="50000"/>
    <n v="241250"/>
    <x v="3"/>
    <x v="2"/>
    <x v="4"/>
    <x v="2"/>
    <x v="0"/>
    <s v="Rendah"/>
    <x v="4"/>
    <s v="tinggi"/>
  </r>
  <r>
    <s v="ORD01279"/>
    <x v="896"/>
    <s v="Wahyu Budiman"/>
    <x v="25"/>
    <x v="11"/>
    <n v="30000"/>
    <n v="5"/>
    <n v="20"/>
    <n v="150000"/>
    <n v="30000"/>
    <n v="120000"/>
    <n v="48000"/>
    <n v="168000"/>
    <x v="1"/>
    <x v="2"/>
    <x v="2"/>
    <x v="1"/>
    <x v="1"/>
    <s v="Rendah"/>
    <x v="4"/>
    <s v="tinggi"/>
  </r>
  <r>
    <s v="ORD01317"/>
    <x v="897"/>
    <s v="Indra Rahmawati"/>
    <x v="3"/>
    <x v="19"/>
    <n v="35000"/>
    <n v="4"/>
    <n v="5"/>
    <n v="140000"/>
    <n v="7000"/>
    <n v="133000"/>
    <n v="18000"/>
    <n v="151000"/>
    <x v="2"/>
    <x v="2"/>
    <x v="0"/>
    <x v="0"/>
    <x v="1"/>
    <s v="Standar"/>
    <x v="0"/>
    <s v="rendah"/>
  </r>
  <r>
    <s v="ORD00750"/>
    <x v="898"/>
    <s v="Erna Setiawan"/>
    <x v="22"/>
    <x v="9"/>
    <n v="35000"/>
    <n v="3"/>
    <n v="20"/>
    <n v="105000"/>
    <n v="21000"/>
    <n v="84000"/>
    <n v="80000"/>
    <n v="164000"/>
    <x v="3"/>
    <x v="2"/>
    <x v="0"/>
    <x v="2"/>
    <x v="0"/>
    <s v="Rendah"/>
    <x v="4"/>
    <s v="tinggi"/>
  </r>
  <r>
    <s v="ORD01402"/>
    <x v="899"/>
    <s v="Tono Hidayat"/>
    <x v="31"/>
    <x v="2"/>
    <n v="5000"/>
    <n v="1"/>
    <n v="0"/>
    <n v="5000"/>
    <n v="0"/>
    <n v="5000"/>
    <n v="18000"/>
    <n v="23000"/>
    <x v="0"/>
    <x v="2"/>
    <x v="3"/>
    <x v="2"/>
    <x v="1"/>
    <s v="Rendah"/>
    <x v="1"/>
    <s v="sangat rendah"/>
  </r>
  <r>
    <s v="ORD01301"/>
    <x v="900"/>
    <s v="Clara Puspita"/>
    <x v="28"/>
    <x v="23"/>
    <n v="45000"/>
    <n v="1"/>
    <n v="20"/>
    <n v="45000"/>
    <n v="9000"/>
    <n v="36000"/>
    <n v="79000"/>
    <n v="115000"/>
    <x v="3"/>
    <x v="2"/>
    <x v="3"/>
    <x v="0"/>
    <x v="0"/>
    <s v="Standar"/>
    <x v="0"/>
    <s v="rendah"/>
  </r>
  <r>
    <s v="ORD00813"/>
    <x v="901"/>
    <s v="Dina Kurniawan"/>
    <x v="13"/>
    <x v="17"/>
    <n v="15000"/>
    <n v="5"/>
    <n v="10"/>
    <n v="75000"/>
    <n v="7500"/>
    <n v="67500"/>
    <n v="87000"/>
    <n v="154500"/>
    <x v="2"/>
    <x v="2"/>
    <x v="2"/>
    <x v="3"/>
    <x v="0"/>
    <s v="Bagus"/>
    <x v="0"/>
    <s v="rendah"/>
  </r>
  <r>
    <s v="ORD01632"/>
    <x v="902"/>
    <s v="Nanda Halim"/>
    <x v="23"/>
    <x v="15"/>
    <n v="4000"/>
    <n v="3"/>
    <n v="10"/>
    <n v="12000"/>
    <n v="1200"/>
    <n v="10800"/>
    <n v="49000"/>
    <n v="59800"/>
    <x v="1"/>
    <x v="4"/>
    <x v="3"/>
    <x v="3"/>
    <x v="1"/>
    <s v="Bagus"/>
    <x v="1"/>
    <s v="sangat rendah"/>
  </r>
  <r>
    <s v="ORD01276"/>
    <x v="903"/>
    <s v="Citra Rahmawati"/>
    <x v="16"/>
    <x v="3"/>
    <n v="14000"/>
    <n v="2"/>
    <n v="5"/>
    <n v="28000"/>
    <n v="1400"/>
    <n v="26600"/>
    <n v="50000"/>
    <n v="76600"/>
    <x v="0"/>
    <x v="2"/>
    <x v="2"/>
    <x v="0"/>
    <x v="0"/>
    <s v="Standar"/>
    <x v="1"/>
    <s v="sangat rendah"/>
  </r>
  <r>
    <s v="ORD00596"/>
    <x v="904"/>
    <s v="Clara Ramadhani"/>
    <x v="25"/>
    <x v="18"/>
    <n v="16000"/>
    <n v="2"/>
    <n v="20"/>
    <n v="32000"/>
    <n v="6400"/>
    <n v="25600"/>
    <n v="48000"/>
    <n v="73600"/>
    <x v="2"/>
    <x v="2"/>
    <x v="2"/>
    <x v="1"/>
    <x v="0"/>
    <s v="Rendah"/>
    <x v="0"/>
    <s v="rendah"/>
  </r>
  <r>
    <s v="ORD01150"/>
    <x v="905"/>
    <s v="Aulia Hidayat"/>
    <x v="31"/>
    <x v="21"/>
    <n v="10000"/>
    <n v="4"/>
    <n v="5"/>
    <n v="40000"/>
    <n v="2000"/>
    <n v="38000"/>
    <n v="18000"/>
    <n v="56000"/>
    <x v="3"/>
    <x v="2"/>
    <x v="0"/>
    <x v="3"/>
    <x v="0"/>
    <s v="Bagus"/>
    <x v="1"/>
    <s v="sangat rendah"/>
  </r>
  <r>
    <s v="ORD01478"/>
    <x v="906"/>
    <s v="Dewi Syahputra"/>
    <x v="3"/>
    <x v="21"/>
    <n v="10000"/>
    <n v="3"/>
    <n v="5"/>
    <n v="30000"/>
    <n v="1500"/>
    <n v="28500"/>
    <n v="18000"/>
    <n v="46500"/>
    <x v="2"/>
    <x v="2"/>
    <x v="4"/>
    <x v="0"/>
    <x v="0"/>
    <s v="Standar"/>
    <x v="1"/>
    <s v="sangat rendah"/>
  </r>
  <r>
    <s v="ORD00886"/>
    <x v="907"/>
    <s v="Galih Iskandar"/>
    <x v="36"/>
    <x v="18"/>
    <n v="16000"/>
    <n v="4"/>
    <n v="20"/>
    <n v="64000"/>
    <n v="12800"/>
    <n v="51200"/>
    <n v="49000"/>
    <n v="100200"/>
    <x v="0"/>
    <x v="2"/>
    <x v="1"/>
    <x v="1"/>
    <x v="1"/>
    <s v="Rendah"/>
    <x v="2"/>
    <s v="normal"/>
  </r>
  <r>
    <s v="ORD01843"/>
    <x v="908"/>
    <s v="Bella Hidayat"/>
    <x v="28"/>
    <x v="6"/>
    <n v="55000"/>
    <n v="5"/>
    <n v="10"/>
    <n v="275000"/>
    <n v="27500"/>
    <n v="247500"/>
    <n v="79000"/>
    <n v="326500"/>
    <x v="1"/>
    <x v="2"/>
    <x v="0"/>
    <x v="3"/>
    <x v="0"/>
    <s v="Bagus"/>
    <x v="4"/>
    <s v="tinggi"/>
  </r>
  <r>
    <s v="ORD00163"/>
    <x v="909"/>
    <s v="Gita Syahputra"/>
    <x v="32"/>
    <x v="21"/>
    <n v="10000"/>
    <n v="5"/>
    <n v="0"/>
    <n v="50000"/>
    <n v="0"/>
    <n v="50000"/>
    <n v="59000"/>
    <n v="109000"/>
    <x v="2"/>
    <x v="2"/>
    <x v="2"/>
    <x v="3"/>
    <x v="0"/>
    <s v="Bagus"/>
    <x v="1"/>
    <s v="sangat rendah"/>
  </r>
  <r>
    <s v="ORD00163"/>
    <x v="909"/>
    <s v="Gita Syahputra"/>
    <x v="32"/>
    <x v="25"/>
    <n v="40000"/>
    <n v="3"/>
    <n v="20"/>
    <n v="120000"/>
    <n v="24000"/>
    <n v="96000"/>
    <n v="0"/>
    <n v="96000"/>
    <x v="2"/>
    <x v="2"/>
    <x v="2"/>
    <x v="3"/>
    <x v="0"/>
    <s v="Bagus"/>
    <x v="4"/>
    <s v="tinggi"/>
  </r>
  <r>
    <s v="ORD01721"/>
    <x v="910"/>
    <s v="Sari Hidayat"/>
    <x v="35"/>
    <x v="19"/>
    <n v="35000"/>
    <n v="4"/>
    <n v="15"/>
    <n v="140000"/>
    <n v="21000"/>
    <n v="119000"/>
    <n v="76000"/>
    <n v="195000"/>
    <x v="1"/>
    <x v="2"/>
    <x v="4"/>
    <x v="2"/>
    <x v="0"/>
    <s v="Rendah"/>
    <x v="4"/>
    <s v="tinggi"/>
  </r>
  <r>
    <s v="ORD01040"/>
    <x v="911"/>
    <s v="Lestari Budiman"/>
    <x v="20"/>
    <x v="19"/>
    <n v="35000"/>
    <n v="1"/>
    <n v="20"/>
    <n v="35000"/>
    <n v="7000"/>
    <n v="28000"/>
    <n v="85000"/>
    <n v="113000"/>
    <x v="3"/>
    <x v="2"/>
    <x v="3"/>
    <x v="3"/>
    <x v="0"/>
    <s v="Bagus"/>
    <x v="0"/>
    <s v="rendah"/>
  </r>
  <r>
    <s v="ORD01188"/>
    <x v="912"/>
    <s v="Dina Halim"/>
    <x v="7"/>
    <x v="4"/>
    <n v="6000"/>
    <n v="2"/>
    <n v="10"/>
    <n v="12000"/>
    <n v="1200"/>
    <n v="10800"/>
    <n v="15000"/>
    <n v="25800"/>
    <x v="3"/>
    <x v="2"/>
    <x v="4"/>
    <x v="4"/>
    <x v="0"/>
    <s v="Bagus"/>
    <x v="1"/>
    <s v="sangat rendah"/>
  </r>
  <r>
    <s v="ORD00856"/>
    <x v="913"/>
    <s v="Made Santoso"/>
    <x v="28"/>
    <x v="26"/>
    <n v="16000"/>
    <n v="5"/>
    <n v="15"/>
    <n v="80000"/>
    <n v="12000"/>
    <n v="68000"/>
    <n v="79000"/>
    <n v="147000"/>
    <x v="2"/>
    <x v="2"/>
    <x v="2"/>
    <x v="3"/>
    <x v="1"/>
    <s v="Bagus"/>
    <x v="2"/>
    <s v="normal"/>
  </r>
  <r>
    <s v="ORD01502"/>
    <x v="914"/>
    <s v="Kartika Saputra"/>
    <x v="0"/>
    <x v="21"/>
    <n v="10000"/>
    <n v="3"/>
    <n v="20"/>
    <n v="30000"/>
    <n v="6000"/>
    <n v="24000"/>
    <n v="67000"/>
    <n v="91000"/>
    <x v="2"/>
    <x v="4"/>
    <x v="3"/>
    <x v="2"/>
    <x v="0"/>
    <s v="Rendah"/>
    <x v="0"/>
    <s v="rendah"/>
  </r>
  <r>
    <s v="ORD01009"/>
    <x v="915"/>
    <s v="Made Kusuma"/>
    <x v="10"/>
    <x v="2"/>
    <n v="5000"/>
    <n v="2"/>
    <n v="10"/>
    <n v="10000"/>
    <n v="1000"/>
    <n v="9000"/>
    <n v="84000"/>
    <n v="93000"/>
    <x v="0"/>
    <x v="2"/>
    <x v="4"/>
    <x v="2"/>
    <x v="1"/>
    <s v="Rendah"/>
    <x v="1"/>
    <s v="sangat rendah"/>
  </r>
  <r>
    <s v="ORD00537"/>
    <x v="916"/>
    <s v="Vina Kurniawan"/>
    <x v="5"/>
    <x v="23"/>
    <n v="45000"/>
    <n v="3"/>
    <n v="15"/>
    <n v="135000"/>
    <n v="20250"/>
    <n v="114750"/>
    <n v="78000"/>
    <n v="192750"/>
    <x v="0"/>
    <x v="4"/>
    <x v="1"/>
    <x v="4"/>
    <x v="0"/>
    <s v="Bagus"/>
    <x v="4"/>
    <s v="tinggi"/>
  </r>
  <r>
    <s v="ORD01254"/>
    <x v="917"/>
    <s v="Ani Budiman"/>
    <x v="21"/>
    <x v="18"/>
    <n v="16000"/>
    <n v="1"/>
    <n v="5"/>
    <n v="16000"/>
    <n v="800"/>
    <n v="15200"/>
    <n v="72000"/>
    <n v="87200"/>
    <x v="3"/>
    <x v="4"/>
    <x v="1"/>
    <x v="4"/>
    <x v="0"/>
    <s v="Bagus"/>
    <x v="1"/>
    <s v="sangat rendah"/>
  </r>
  <r>
    <s v="ORD01211"/>
    <x v="918"/>
    <s v="Gita Utami"/>
    <x v="31"/>
    <x v="25"/>
    <n v="40000"/>
    <n v="1"/>
    <n v="15"/>
    <n v="40000"/>
    <n v="6000"/>
    <n v="34000"/>
    <n v="18000"/>
    <n v="52000"/>
    <x v="1"/>
    <x v="2"/>
    <x v="3"/>
    <x v="4"/>
    <x v="0"/>
    <s v="Bagus"/>
    <x v="0"/>
    <s v="rendah"/>
  </r>
  <r>
    <s v="ORD00306"/>
    <x v="919"/>
    <s v="Fitri Wijaya"/>
    <x v="37"/>
    <x v="15"/>
    <n v="4000"/>
    <n v="2"/>
    <n v="0"/>
    <n v="8000"/>
    <n v="0"/>
    <n v="8000"/>
    <n v="0"/>
    <n v="8000"/>
    <x v="3"/>
    <x v="2"/>
    <x v="1"/>
    <x v="0"/>
    <x v="0"/>
    <s v="Standar"/>
    <x v="1"/>
    <s v="sangat rendah"/>
  </r>
  <r>
    <s v="ORD00306"/>
    <x v="919"/>
    <s v="Fitri Wijaya"/>
    <x v="37"/>
    <x v="23"/>
    <n v="45000"/>
    <n v="3"/>
    <n v="15"/>
    <n v="135000"/>
    <n v="20250"/>
    <n v="114750"/>
    <n v="57000"/>
    <n v="171750"/>
    <x v="3"/>
    <x v="2"/>
    <x v="1"/>
    <x v="0"/>
    <x v="0"/>
    <s v="Standar"/>
    <x v="4"/>
    <s v="tinggi"/>
  </r>
  <r>
    <s v="ORD01776"/>
    <x v="920"/>
    <s v="Galih Puspita"/>
    <x v="24"/>
    <x v="16"/>
    <n v="28000"/>
    <n v="2"/>
    <n v="20"/>
    <n v="56000"/>
    <n v="11200"/>
    <n v="44800"/>
    <n v="93000"/>
    <n v="137800"/>
    <x v="2"/>
    <x v="2"/>
    <x v="4"/>
    <x v="2"/>
    <x v="1"/>
    <s v="Rendah"/>
    <x v="2"/>
    <s v="normal"/>
  </r>
  <r>
    <s v="ORD01806"/>
    <x v="921"/>
    <s v="Vina Maulana"/>
    <x v="7"/>
    <x v="12"/>
    <n v="25000"/>
    <n v="1"/>
    <n v="20"/>
    <n v="25000"/>
    <n v="5000"/>
    <n v="20000"/>
    <n v="15000"/>
    <n v="35000"/>
    <x v="0"/>
    <x v="2"/>
    <x v="1"/>
    <x v="4"/>
    <x v="0"/>
    <s v="Bagus"/>
    <x v="1"/>
    <s v="sangat rendah"/>
  </r>
  <r>
    <s v="ORD01016"/>
    <x v="922"/>
    <s v="Aulia Pradipta"/>
    <x v="5"/>
    <x v="19"/>
    <n v="35000"/>
    <n v="4"/>
    <n v="20"/>
    <n v="140000"/>
    <n v="28000"/>
    <n v="112000"/>
    <n v="78000"/>
    <n v="190000"/>
    <x v="0"/>
    <x v="4"/>
    <x v="0"/>
    <x v="4"/>
    <x v="0"/>
    <s v="Bagus"/>
    <x v="4"/>
    <s v="tinggi"/>
  </r>
  <r>
    <s v="ORD00323"/>
    <x v="923"/>
    <s v="Ani Maulana"/>
    <x v="29"/>
    <x v="11"/>
    <n v="30000"/>
    <n v="2"/>
    <n v="10"/>
    <n v="60000"/>
    <n v="6000"/>
    <n v="54000"/>
    <n v="89000"/>
    <n v="143000"/>
    <x v="1"/>
    <x v="2"/>
    <x v="1"/>
    <x v="2"/>
    <x v="0"/>
    <s v="Rendah"/>
    <x v="0"/>
    <s v="rendah"/>
  </r>
  <r>
    <s v="ORD01388"/>
    <x v="924"/>
    <s v="Clara Pradipta"/>
    <x v="30"/>
    <x v="10"/>
    <n v="45000"/>
    <n v="1"/>
    <n v="15"/>
    <n v="45000"/>
    <n v="6750"/>
    <n v="38250"/>
    <n v="97000"/>
    <n v="135250"/>
    <x v="0"/>
    <x v="2"/>
    <x v="2"/>
    <x v="2"/>
    <x v="0"/>
    <s v="Rendah"/>
    <x v="0"/>
    <s v="rendah"/>
  </r>
  <r>
    <s v="ORD00172"/>
    <x v="925"/>
    <s v="Eka Kurniawan"/>
    <x v="0"/>
    <x v="25"/>
    <n v="40000"/>
    <n v="2"/>
    <n v="10"/>
    <n v="80000"/>
    <n v="8000"/>
    <n v="72000"/>
    <n v="67000"/>
    <n v="139000"/>
    <x v="1"/>
    <x v="2"/>
    <x v="3"/>
    <x v="1"/>
    <x v="0"/>
    <s v="Rendah"/>
    <x v="0"/>
    <s v="rendah"/>
  </r>
  <r>
    <s v="ORD01488"/>
    <x v="926"/>
    <s v="Ani Puspita"/>
    <x v="0"/>
    <x v="8"/>
    <n v="14000"/>
    <n v="4"/>
    <n v="0"/>
    <n v="56000"/>
    <n v="0"/>
    <n v="56000"/>
    <n v="67000"/>
    <n v="123000"/>
    <x v="3"/>
    <x v="2"/>
    <x v="0"/>
    <x v="2"/>
    <x v="0"/>
    <s v="Rendah"/>
    <x v="1"/>
    <s v="sangat rendah"/>
  </r>
  <r>
    <s v="ORD00414"/>
    <x v="927"/>
    <s v="Bella Hidayat"/>
    <x v="28"/>
    <x v="8"/>
    <n v="14000"/>
    <n v="5"/>
    <n v="0"/>
    <n v="70000"/>
    <n v="0"/>
    <n v="70000"/>
    <n v="79000"/>
    <n v="149000"/>
    <x v="0"/>
    <x v="4"/>
    <x v="0"/>
    <x v="3"/>
    <x v="0"/>
    <s v="Bagus"/>
    <x v="1"/>
    <s v="sangat rendah"/>
  </r>
  <r>
    <s v="ORD00414"/>
    <x v="927"/>
    <s v="Bella Hidayat"/>
    <x v="28"/>
    <x v="15"/>
    <n v="4000"/>
    <n v="1"/>
    <n v="5"/>
    <n v="4000"/>
    <n v="200"/>
    <n v="3800"/>
    <n v="0"/>
    <n v="3800"/>
    <x v="0"/>
    <x v="4"/>
    <x v="0"/>
    <x v="3"/>
    <x v="0"/>
    <s v="Bagus"/>
    <x v="1"/>
    <s v="sangat rendah"/>
  </r>
  <r>
    <s v="ORD01459"/>
    <x v="928"/>
    <s v="Eka Iskandar"/>
    <x v="12"/>
    <x v="7"/>
    <n v="12000"/>
    <n v="3"/>
    <n v="5"/>
    <n v="36000"/>
    <n v="1800"/>
    <n v="34200"/>
    <n v="74000"/>
    <n v="108200"/>
    <x v="2"/>
    <x v="4"/>
    <x v="3"/>
    <x v="4"/>
    <x v="0"/>
    <s v="Bagus"/>
    <x v="1"/>
    <s v="sangat rendah"/>
  </r>
  <r>
    <s v="ORD00196"/>
    <x v="929"/>
    <s v="Hana Puspita"/>
    <x v="31"/>
    <x v="20"/>
    <n v="40000"/>
    <n v="2"/>
    <n v="0"/>
    <n v="80000"/>
    <n v="0"/>
    <n v="80000"/>
    <n v="18000"/>
    <n v="98000"/>
    <x v="3"/>
    <x v="2"/>
    <x v="3"/>
    <x v="4"/>
    <x v="0"/>
    <s v="Bagus"/>
    <x v="1"/>
    <s v="sangat rendah"/>
  </r>
  <r>
    <s v="ORD00955"/>
    <x v="930"/>
    <s v="Lestari Puspita"/>
    <x v="5"/>
    <x v="13"/>
    <n v="17000"/>
    <n v="2"/>
    <n v="5"/>
    <n v="34000"/>
    <n v="1700"/>
    <n v="32300"/>
    <n v="78000"/>
    <n v="110300"/>
    <x v="0"/>
    <x v="2"/>
    <x v="0"/>
    <x v="3"/>
    <x v="0"/>
    <s v="Bagus"/>
    <x v="1"/>
    <s v="sangat rendah"/>
  </r>
  <r>
    <s v="ORD00651"/>
    <x v="931"/>
    <s v="Bella Iskandar"/>
    <x v="1"/>
    <x v="15"/>
    <n v="4000"/>
    <n v="5"/>
    <n v="15"/>
    <n v="20000"/>
    <n v="3000"/>
    <n v="17000"/>
    <n v="59000"/>
    <n v="76000"/>
    <x v="0"/>
    <x v="2"/>
    <x v="4"/>
    <x v="4"/>
    <x v="0"/>
    <s v="Bagus"/>
    <x v="1"/>
    <s v="sangat rendah"/>
  </r>
  <r>
    <s v="ORD00003"/>
    <x v="932"/>
    <s v="Bayu Ananda"/>
    <x v="24"/>
    <x v="22"/>
    <n v="18000"/>
    <n v="3"/>
    <n v="15"/>
    <n v="54000"/>
    <n v="8100"/>
    <n v="45900"/>
    <n v="93000"/>
    <n v="138900"/>
    <x v="2"/>
    <x v="4"/>
    <x v="2"/>
    <x v="3"/>
    <x v="1"/>
    <s v="Bagus"/>
    <x v="0"/>
    <s v="rendah"/>
  </r>
  <r>
    <s v="ORD00265"/>
    <x v="933"/>
    <s v="Citra Hidayat"/>
    <x v="32"/>
    <x v="7"/>
    <n v="12000"/>
    <n v="5"/>
    <n v="5"/>
    <n v="60000"/>
    <n v="3000"/>
    <n v="57000"/>
    <n v="59000"/>
    <n v="116000"/>
    <x v="1"/>
    <x v="2"/>
    <x v="4"/>
    <x v="2"/>
    <x v="0"/>
    <s v="Rendah"/>
    <x v="1"/>
    <s v="sangat rendah"/>
  </r>
  <r>
    <s v="ORD01217"/>
    <x v="934"/>
    <s v="Aulia Ramadhani"/>
    <x v="35"/>
    <x v="7"/>
    <n v="12000"/>
    <n v="4"/>
    <n v="5"/>
    <n v="48000"/>
    <n v="2400"/>
    <n v="45600"/>
    <n v="76000"/>
    <n v="121600"/>
    <x v="0"/>
    <x v="2"/>
    <x v="1"/>
    <x v="3"/>
    <x v="0"/>
    <s v="Bagus"/>
    <x v="1"/>
    <s v="sangat rendah"/>
  </r>
  <r>
    <s v="ORD00565"/>
    <x v="935"/>
    <s v="Aulia Iskandar"/>
    <x v="12"/>
    <x v="22"/>
    <n v="18000"/>
    <n v="2"/>
    <n v="10"/>
    <n v="36000"/>
    <n v="3600"/>
    <n v="32400"/>
    <n v="74000"/>
    <n v="106400"/>
    <x v="2"/>
    <x v="2"/>
    <x v="4"/>
    <x v="3"/>
    <x v="0"/>
    <s v="Bagus"/>
    <x v="1"/>
    <s v="sangat rendah"/>
  </r>
  <r>
    <s v="ORD01656"/>
    <x v="936"/>
    <s v="Zahra Ananda"/>
    <x v="4"/>
    <x v="12"/>
    <n v="25000"/>
    <n v="4"/>
    <n v="15"/>
    <n v="100000"/>
    <n v="15000"/>
    <n v="85000"/>
    <n v="0"/>
    <n v="85000"/>
    <x v="1"/>
    <x v="2"/>
    <x v="2"/>
    <x v="3"/>
    <x v="0"/>
    <s v="Bagus"/>
    <x v="2"/>
    <s v="normal"/>
  </r>
  <r>
    <s v="ORD00784"/>
    <x v="937"/>
    <s v="Yoga Utami"/>
    <x v="19"/>
    <x v="14"/>
    <n v="18000"/>
    <n v="3"/>
    <n v="20"/>
    <n v="54000"/>
    <n v="10800"/>
    <n v="43200"/>
    <n v="55000"/>
    <n v="98200"/>
    <x v="0"/>
    <x v="3"/>
    <x v="4"/>
    <x v="2"/>
    <x v="1"/>
    <s v="Rendah"/>
    <x v="2"/>
    <s v="normal"/>
  </r>
  <r>
    <s v="ORD00141"/>
    <x v="938"/>
    <s v="Gita Saputra"/>
    <x v="21"/>
    <x v="11"/>
    <n v="30000"/>
    <n v="3"/>
    <n v="10"/>
    <n v="90000"/>
    <n v="9000"/>
    <n v="81000"/>
    <n v="72000"/>
    <n v="153000"/>
    <x v="3"/>
    <x v="2"/>
    <x v="4"/>
    <x v="0"/>
    <x v="0"/>
    <s v="Standar"/>
    <x v="0"/>
    <s v="rendah"/>
  </r>
  <r>
    <s v="ORD01568"/>
    <x v="939"/>
    <s v="Gita Pradipta"/>
    <x v="8"/>
    <x v="12"/>
    <n v="25000"/>
    <n v="5"/>
    <n v="5"/>
    <n v="125000"/>
    <n v="6250"/>
    <n v="118750"/>
    <n v="87000"/>
    <n v="205750"/>
    <x v="3"/>
    <x v="2"/>
    <x v="1"/>
    <x v="2"/>
    <x v="0"/>
    <s v="Rendah"/>
    <x v="0"/>
    <s v="rendah"/>
  </r>
  <r>
    <s v="ORD00608"/>
    <x v="940"/>
    <s v="Tono Hidayat"/>
    <x v="31"/>
    <x v="15"/>
    <n v="4000"/>
    <n v="4"/>
    <n v="0"/>
    <n v="16000"/>
    <n v="0"/>
    <n v="16000"/>
    <n v="18000"/>
    <n v="34000"/>
    <x v="0"/>
    <x v="2"/>
    <x v="3"/>
    <x v="0"/>
    <x v="1"/>
    <s v="Standar"/>
    <x v="1"/>
    <s v="sangat rendah"/>
  </r>
  <r>
    <s v="ORD01841"/>
    <x v="941"/>
    <s v="Nanda Utami"/>
    <x v="24"/>
    <x v="19"/>
    <n v="35000"/>
    <n v="1"/>
    <n v="5"/>
    <n v="35000"/>
    <n v="1750"/>
    <n v="33250"/>
    <n v="93000"/>
    <n v="126250"/>
    <x v="1"/>
    <x v="2"/>
    <x v="3"/>
    <x v="0"/>
    <x v="1"/>
    <s v="Standar"/>
    <x v="1"/>
    <s v="sangat rendah"/>
  </r>
  <r>
    <s v="ORD01849"/>
    <x v="942"/>
    <s v="Gita Utami"/>
    <x v="31"/>
    <x v="2"/>
    <n v="5000"/>
    <n v="2"/>
    <n v="10"/>
    <n v="10000"/>
    <n v="1000"/>
    <n v="9000"/>
    <n v="18000"/>
    <n v="27000"/>
    <x v="1"/>
    <x v="2"/>
    <x v="1"/>
    <x v="3"/>
    <x v="0"/>
    <s v="Bagus"/>
    <x v="1"/>
    <s v="sangat rendah"/>
  </r>
  <r>
    <s v="ORD01834"/>
    <x v="943"/>
    <s v="Joko Nugroho"/>
    <x v="26"/>
    <x v="14"/>
    <n v="18000"/>
    <n v="3"/>
    <n v="0"/>
    <n v="54000"/>
    <n v="0"/>
    <n v="54000"/>
    <n v="28000"/>
    <n v="82000"/>
    <x v="0"/>
    <x v="2"/>
    <x v="2"/>
    <x v="3"/>
    <x v="1"/>
    <s v="Bagus"/>
    <x v="1"/>
    <s v="sangat rendah"/>
  </r>
  <r>
    <s v="ORD00915"/>
    <x v="944"/>
    <s v="Dewi Rahmawati"/>
    <x v="2"/>
    <x v="15"/>
    <n v="4000"/>
    <n v="1"/>
    <n v="15"/>
    <n v="4000"/>
    <n v="600"/>
    <n v="3400"/>
    <n v="26000"/>
    <n v="29400"/>
    <x v="0"/>
    <x v="4"/>
    <x v="0"/>
    <x v="2"/>
    <x v="0"/>
    <s v="Rendah"/>
    <x v="1"/>
    <s v="sangat rendah"/>
  </r>
  <r>
    <s v="ORD00021"/>
    <x v="945"/>
    <s v="Dimas Utami"/>
    <x v="4"/>
    <x v="12"/>
    <n v="25000"/>
    <n v="2"/>
    <n v="0"/>
    <n v="50000"/>
    <n v="0"/>
    <n v="50000"/>
    <n v="0"/>
    <n v="50000"/>
    <x v="1"/>
    <x v="2"/>
    <x v="4"/>
    <x v="2"/>
    <x v="1"/>
    <s v="Rendah"/>
    <x v="1"/>
    <s v="sangat rendah"/>
  </r>
  <r>
    <s v="ORD01175"/>
    <x v="946"/>
    <s v="Dina Halim"/>
    <x v="7"/>
    <x v="19"/>
    <n v="35000"/>
    <n v="1"/>
    <n v="15"/>
    <n v="35000"/>
    <n v="5250"/>
    <n v="29750"/>
    <n v="15000"/>
    <n v="44750"/>
    <x v="3"/>
    <x v="2"/>
    <x v="1"/>
    <x v="1"/>
    <x v="0"/>
    <s v="Rendah"/>
    <x v="0"/>
    <s v="rendah"/>
  </r>
  <r>
    <s v="ORD01178"/>
    <x v="947"/>
    <s v="Qori Saputra"/>
    <x v="15"/>
    <x v="6"/>
    <n v="55000"/>
    <n v="4"/>
    <n v="20"/>
    <n v="220000"/>
    <n v="44000"/>
    <n v="176000"/>
    <n v="17000"/>
    <n v="193000"/>
    <x v="3"/>
    <x v="4"/>
    <x v="3"/>
    <x v="2"/>
    <x v="0"/>
    <s v="Rendah"/>
    <x v="3"/>
    <s v="sangat tinggi"/>
  </r>
  <r>
    <s v="ORD00473"/>
    <x v="948"/>
    <s v="Lestari Fauziah"/>
    <x v="19"/>
    <x v="6"/>
    <n v="55000"/>
    <n v="4"/>
    <n v="5"/>
    <n v="220000"/>
    <n v="11000"/>
    <n v="209000"/>
    <n v="55000"/>
    <n v="264000"/>
    <x v="0"/>
    <x v="2"/>
    <x v="0"/>
    <x v="1"/>
    <x v="0"/>
    <s v="Rendah"/>
    <x v="2"/>
    <s v="normal"/>
  </r>
  <r>
    <s v="ORD00473"/>
    <x v="948"/>
    <s v="Lestari Fauziah"/>
    <x v="19"/>
    <x v="11"/>
    <n v="30000"/>
    <n v="3"/>
    <n v="5"/>
    <n v="90000"/>
    <n v="4500"/>
    <n v="85500"/>
    <n v="0"/>
    <n v="85500"/>
    <x v="0"/>
    <x v="2"/>
    <x v="0"/>
    <x v="1"/>
    <x v="0"/>
    <s v="Rendah"/>
    <x v="1"/>
    <s v="sangat rendah"/>
  </r>
  <r>
    <s v="ORD01255"/>
    <x v="949"/>
    <s v="Dina Kusuma"/>
    <x v="25"/>
    <x v="10"/>
    <n v="45000"/>
    <n v="3"/>
    <n v="20"/>
    <n v="135000"/>
    <n v="27000"/>
    <n v="108000"/>
    <n v="48000"/>
    <n v="156000"/>
    <x v="0"/>
    <x v="2"/>
    <x v="4"/>
    <x v="2"/>
    <x v="0"/>
    <s v="Rendah"/>
    <x v="4"/>
    <s v="tinggi"/>
  </r>
  <r>
    <s v="ORD00216"/>
    <x v="950"/>
    <s v="Aulia Ananda"/>
    <x v="20"/>
    <x v="21"/>
    <n v="10000"/>
    <n v="4"/>
    <n v="20"/>
    <n v="40000"/>
    <n v="8000"/>
    <n v="32000"/>
    <n v="85000"/>
    <n v="117000"/>
    <x v="3"/>
    <x v="2"/>
    <x v="1"/>
    <x v="3"/>
    <x v="0"/>
    <s v="Bagus"/>
    <x v="0"/>
    <s v="rendah"/>
  </r>
  <r>
    <s v="ORD01226"/>
    <x v="951"/>
    <s v="Qori Budiman"/>
    <x v="25"/>
    <x v="6"/>
    <n v="55000"/>
    <n v="2"/>
    <n v="10"/>
    <n v="110000"/>
    <n v="11000"/>
    <n v="99000"/>
    <n v="48000"/>
    <n v="147000"/>
    <x v="1"/>
    <x v="2"/>
    <x v="3"/>
    <x v="0"/>
    <x v="0"/>
    <s v="Standar"/>
    <x v="2"/>
    <s v="normal"/>
  </r>
  <r>
    <s v="ORD00151"/>
    <x v="952"/>
    <s v="Bella Rahmawati"/>
    <x v="1"/>
    <x v="9"/>
    <n v="35000"/>
    <n v="4"/>
    <n v="10"/>
    <n v="140000"/>
    <n v="14000"/>
    <n v="126000"/>
    <n v="59000"/>
    <n v="185000"/>
    <x v="0"/>
    <x v="2"/>
    <x v="1"/>
    <x v="1"/>
    <x v="0"/>
    <s v="Rendah"/>
    <x v="2"/>
    <s v="normal"/>
  </r>
  <r>
    <s v="ORD01794"/>
    <x v="953"/>
    <s v="Dewi Utami"/>
    <x v="4"/>
    <x v="26"/>
    <n v="16000"/>
    <n v="3"/>
    <n v="0"/>
    <n v="48000"/>
    <n v="0"/>
    <n v="48000"/>
    <n v="0"/>
    <n v="48000"/>
    <x v="1"/>
    <x v="2"/>
    <x v="2"/>
    <x v="3"/>
    <x v="0"/>
    <s v="Bagus"/>
    <x v="1"/>
    <s v="sangat rendah"/>
  </r>
  <r>
    <s v="ORD00759"/>
    <x v="954"/>
    <s v="Clara Syahputra"/>
    <x v="10"/>
    <x v="24"/>
    <n v="22000"/>
    <n v="1"/>
    <n v="0"/>
    <n v="22000"/>
    <n v="0"/>
    <n v="22000"/>
    <n v="84000"/>
    <n v="106000"/>
    <x v="3"/>
    <x v="2"/>
    <x v="1"/>
    <x v="2"/>
    <x v="0"/>
    <s v="Rendah"/>
    <x v="1"/>
    <s v="sangat rendah"/>
  </r>
  <r>
    <s v="ORD00805"/>
    <x v="955"/>
    <s v="Sari Saputra"/>
    <x v="34"/>
    <x v="4"/>
    <n v="6000"/>
    <n v="5"/>
    <n v="0"/>
    <n v="30000"/>
    <n v="0"/>
    <n v="30000"/>
    <n v="80000"/>
    <n v="110000"/>
    <x v="2"/>
    <x v="4"/>
    <x v="4"/>
    <x v="4"/>
    <x v="0"/>
    <s v="Bagus"/>
    <x v="1"/>
    <s v="sangat rendah"/>
  </r>
  <r>
    <s v="ORD00077"/>
    <x v="956"/>
    <s v="Arif Fauziah"/>
    <x v="22"/>
    <x v="16"/>
    <n v="28000"/>
    <n v="3"/>
    <n v="5"/>
    <n v="84000"/>
    <n v="4200"/>
    <n v="79800"/>
    <n v="80000"/>
    <n v="159800"/>
    <x v="3"/>
    <x v="3"/>
    <x v="4"/>
    <x v="0"/>
    <x v="1"/>
    <s v="Standar"/>
    <x v="1"/>
    <s v="sangat rendah"/>
  </r>
  <r>
    <s v="ORD00412"/>
    <x v="957"/>
    <s v="Aulia Budiman"/>
    <x v="30"/>
    <x v="25"/>
    <n v="40000"/>
    <n v="3"/>
    <n v="15"/>
    <n v="120000"/>
    <n v="18000"/>
    <n v="102000"/>
    <n v="97000"/>
    <n v="199000"/>
    <x v="1"/>
    <x v="2"/>
    <x v="4"/>
    <x v="0"/>
    <x v="0"/>
    <s v="Standar"/>
    <x v="2"/>
    <s v="normal"/>
  </r>
  <r>
    <s v="ORD00620"/>
    <x v="958"/>
    <s v="Eka Rahmawati"/>
    <x v="18"/>
    <x v="1"/>
    <n v="17000"/>
    <n v="4"/>
    <n v="10"/>
    <n v="68000"/>
    <n v="6800"/>
    <n v="61200"/>
    <n v="43000"/>
    <n v="104200"/>
    <x v="0"/>
    <x v="2"/>
    <x v="3"/>
    <x v="0"/>
    <x v="0"/>
    <s v="Standar"/>
    <x v="0"/>
    <s v="rendah"/>
  </r>
  <r>
    <s v="ORD01025"/>
    <x v="959"/>
    <s v="Yani Ananda"/>
    <x v="11"/>
    <x v="7"/>
    <n v="12000"/>
    <n v="2"/>
    <n v="10"/>
    <n v="24000"/>
    <n v="2400"/>
    <n v="21600"/>
    <n v="56000"/>
    <n v="77600"/>
    <x v="3"/>
    <x v="2"/>
    <x v="3"/>
    <x v="4"/>
    <x v="0"/>
    <s v="Bagus"/>
    <x v="1"/>
    <s v="sangat rendah"/>
  </r>
  <r>
    <s v="ORD00182"/>
    <x v="960"/>
    <s v="Fitri Syahputra"/>
    <x v="9"/>
    <x v="0"/>
    <n v="16000"/>
    <n v="5"/>
    <n v="0"/>
    <n v="80000"/>
    <n v="0"/>
    <n v="80000"/>
    <n v="21000"/>
    <n v="101000"/>
    <x v="0"/>
    <x v="2"/>
    <x v="4"/>
    <x v="4"/>
    <x v="0"/>
    <s v="Bagus"/>
    <x v="1"/>
    <s v="sangat rendah"/>
  </r>
  <r>
    <s v="ORD01364"/>
    <x v="961"/>
    <s v="Bayu Nugroho"/>
    <x v="6"/>
    <x v="8"/>
    <n v="14000"/>
    <n v="3"/>
    <n v="15"/>
    <n v="42000"/>
    <n v="6300"/>
    <n v="35700"/>
    <n v="30000"/>
    <n v="65700"/>
    <x v="0"/>
    <x v="2"/>
    <x v="3"/>
    <x v="4"/>
    <x v="1"/>
    <s v="Bagus"/>
    <x v="0"/>
    <s v="rendah"/>
  </r>
  <r>
    <s v="ORD01361"/>
    <x v="962"/>
    <s v="Zahra Budiman"/>
    <x v="36"/>
    <x v="22"/>
    <n v="18000"/>
    <n v="3"/>
    <n v="0"/>
    <n v="54000"/>
    <n v="0"/>
    <n v="54000"/>
    <n v="49000"/>
    <n v="103000"/>
    <x v="0"/>
    <x v="2"/>
    <x v="1"/>
    <x v="0"/>
    <x v="0"/>
    <s v="Standar"/>
    <x v="1"/>
    <s v="sangat rendah"/>
  </r>
  <r>
    <s v="ORD00240"/>
    <x v="963"/>
    <s v="Vina Ramadhani"/>
    <x v="8"/>
    <x v="18"/>
    <n v="16000"/>
    <n v="2"/>
    <n v="10"/>
    <n v="32000"/>
    <n v="3200"/>
    <n v="28800"/>
    <n v="87000"/>
    <n v="115800"/>
    <x v="2"/>
    <x v="2"/>
    <x v="4"/>
    <x v="3"/>
    <x v="0"/>
    <s v="Bagus"/>
    <x v="1"/>
    <s v="sangat rendah"/>
  </r>
  <r>
    <s v="ORD01374"/>
    <x v="964"/>
    <s v="Arif Rahmawati"/>
    <x v="17"/>
    <x v="19"/>
    <n v="35000"/>
    <n v="5"/>
    <n v="10"/>
    <n v="175000"/>
    <n v="17500"/>
    <n v="157500"/>
    <n v="50000"/>
    <n v="207500"/>
    <x v="0"/>
    <x v="2"/>
    <x v="0"/>
    <x v="4"/>
    <x v="1"/>
    <s v="Bagus"/>
    <x v="2"/>
    <s v="normal"/>
  </r>
  <r>
    <s v="ORD00232"/>
    <x v="965"/>
    <s v="Fitri Kusuma"/>
    <x v="10"/>
    <x v="23"/>
    <n v="45000"/>
    <n v="5"/>
    <n v="10"/>
    <n v="225000"/>
    <n v="22500"/>
    <n v="202500"/>
    <n v="84000"/>
    <n v="286500"/>
    <x v="1"/>
    <x v="2"/>
    <x v="1"/>
    <x v="2"/>
    <x v="0"/>
    <s v="Rendah"/>
    <x v="4"/>
    <s v="tinggi"/>
  </r>
  <r>
    <s v="ORD00893"/>
    <x v="966"/>
    <s v="Iwan Maulana"/>
    <x v="20"/>
    <x v="5"/>
    <n v="50000"/>
    <n v="4"/>
    <n v="15"/>
    <n v="200000"/>
    <n v="30000"/>
    <n v="170000"/>
    <n v="85000"/>
    <n v="255000"/>
    <x v="3"/>
    <x v="2"/>
    <x v="0"/>
    <x v="2"/>
    <x v="1"/>
    <s v="Rendah"/>
    <x v="4"/>
    <s v="tinggi"/>
  </r>
  <r>
    <s v="ORD00040"/>
    <x v="967"/>
    <s v="Tono Kurniawan"/>
    <x v="35"/>
    <x v="10"/>
    <n v="45000"/>
    <n v="3"/>
    <n v="5"/>
    <n v="135000"/>
    <n v="6750"/>
    <n v="128250"/>
    <n v="76000"/>
    <n v="204250"/>
    <x v="3"/>
    <x v="2"/>
    <x v="1"/>
    <x v="1"/>
    <x v="1"/>
    <s v="Rendah"/>
    <x v="0"/>
    <s v="rendah"/>
  </r>
  <r>
    <s v="ORD01132"/>
    <x v="968"/>
    <s v="Sari Pradipta"/>
    <x v="27"/>
    <x v="17"/>
    <n v="15000"/>
    <n v="4"/>
    <n v="10"/>
    <n v="60000"/>
    <n v="6000"/>
    <n v="54000"/>
    <n v="18000"/>
    <n v="72000"/>
    <x v="1"/>
    <x v="3"/>
    <x v="4"/>
    <x v="2"/>
    <x v="0"/>
    <s v="Rendah"/>
    <x v="0"/>
    <s v="rendah"/>
  </r>
  <r>
    <s v="ORD00053"/>
    <x v="969"/>
    <s v="Andi Wijaya"/>
    <x v="9"/>
    <x v="19"/>
    <n v="35000"/>
    <n v="3"/>
    <n v="5"/>
    <n v="105000"/>
    <n v="5250"/>
    <n v="99750"/>
    <n v="21000"/>
    <n v="120750"/>
    <x v="3"/>
    <x v="2"/>
    <x v="0"/>
    <x v="4"/>
    <x v="1"/>
    <s v="Bagus"/>
    <x v="0"/>
    <s v="rendah"/>
  </r>
  <r>
    <s v="ORD00275"/>
    <x v="970"/>
    <s v="Sari Kusuma"/>
    <x v="28"/>
    <x v="16"/>
    <n v="28000"/>
    <n v="2"/>
    <n v="10"/>
    <n v="56000"/>
    <n v="5600"/>
    <n v="50400"/>
    <n v="79000"/>
    <n v="129400"/>
    <x v="3"/>
    <x v="4"/>
    <x v="1"/>
    <x v="0"/>
    <x v="0"/>
    <s v="Standar"/>
    <x v="0"/>
    <s v="rendah"/>
  </r>
  <r>
    <s v="ORD01578"/>
    <x v="971"/>
    <s v="Bella Rahmawati"/>
    <x v="1"/>
    <x v="21"/>
    <n v="10000"/>
    <n v="2"/>
    <n v="15"/>
    <n v="20000"/>
    <n v="3000"/>
    <n v="17000"/>
    <n v="59000"/>
    <n v="76000"/>
    <x v="2"/>
    <x v="2"/>
    <x v="1"/>
    <x v="3"/>
    <x v="0"/>
    <s v="Bagus"/>
    <x v="1"/>
    <s v="sangat rendah"/>
  </r>
  <r>
    <s v="ORD01795"/>
    <x v="972"/>
    <s v="Indra Setiawan"/>
    <x v="11"/>
    <x v="26"/>
    <n v="16000"/>
    <n v="5"/>
    <n v="15"/>
    <n v="80000"/>
    <n v="12000"/>
    <n v="68000"/>
    <n v="56000"/>
    <n v="124000"/>
    <x v="0"/>
    <x v="2"/>
    <x v="3"/>
    <x v="3"/>
    <x v="1"/>
    <s v="Bagus"/>
    <x v="2"/>
    <s v="normal"/>
  </r>
  <r>
    <s v="ORD00194"/>
    <x v="973"/>
    <s v="Dina Maulana"/>
    <x v="9"/>
    <x v="10"/>
    <n v="45000"/>
    <n v="5"/>
    <n v="20"/>
    <n v="225000"/>
    <n v="45000"/>
    <n v="180000"/>
    <n v="21000"/>
    <n v="201000"/>
    <x v="0"/>
    <x v="2"/>
    <x v="0"/>
    <x v="1"/>
    <x v="0"/>
    <s v="Rendah"/>
    <x v="3"/>
    <s v="sangat tinggi"/>
  </r>
  <r>
    <s v="ORD01271"/>
    <x v="974"/>
    <s v="Dewi Setiawan"/>
    <x v="30"/>
    <x v="20"/>
    <n v="40000"/>
    <n v="5"/>
    <n v="5"/>
    <n v="200000"/>
    <n v="10000"/>
    <n v="190000"/>
    <n v="97000"/>
    <n v="287000"/>
    <x v="0"/>
    <x v="2"/>
    <x v="0"/>
    <x v="3"/>
    <x v="0"/>
    <s v="Bagus"/>
    <x v="0"/>
    <s v="rendah"/>
  </r>
  <r>
    <s v="ORD01536"/>
    <x v="975"/>
    <s v="Yoga Saputra"/>
    <x v="7"/>
    <x v="5"/>
    <n v="50000"/>
    <n v="1"/>
    <n v="15"/>
    <n v="50000"/>
    <n v="7500"/>
    <n v="42500"/>
    <n v="15000"/>
    <n v="57500"/>
    <x v="0"/>
    <x v="2"/>
    <x v="2"/>
    <x v="0"/>
    <x v="1"/>
    <s v="Standar"/>
    <x v="0"/>
    <s v="rendah"/>
  </r>
  <r>
    <s v="ORD00095"/>
    <x v="976"/>
    <s v="Galih Saputra"/>
    <x v="30"/>
    <x v="15"/>
    <n v="4000"/>
    <n v="3"/>
    <n v="10"/>
    <n v="12000"/>
    <n v="1200"/>
    <n v="10800"/>
    <n v="97000"/>
    <n v="107800"/>
    <x v="3"/>
    <x v="3"/>
    <x v="4"/>
    <x v="4"/>
    <x v="1"/>
    <s v="Bagus"/>
    <x v="1"/>
    <s v="sangat rendah"/>
  </r>
  <r>
    <s v="ORD00994"/>
    <x v="977"/>
    <s v="Zahra Iskandar"/>
    <x v="3"/>
    <x v="23"/>
    <n v="45000"/>
    <n v="2"/>
    <n v="0"/>
    <n v="90000"/>
    <n v="0"/>
    <n v="90000"/>
    <n v="18000"/>
    <n v="108000"/>
    <x v="3"/>
    <x v="2"/>
    <x v="0"/>
    <x v="0"/>
    <x v="0"/>
    <s v="Standar"/>
    <x v="1"/>
    <s v="sangat rendah"/>
  </r>
  <r>
    <s v="ORD00790"/>
    <x v="978"/>
    <s v="Aulia Wijaya"/>
    <x v="17"/>
    <x v="9"/>
    <n v="35000"/>
    <n v="1"/>
    <n v="5"/>
    <n v="35000"/>
    <n v="1750"/>
    <n v="33250"/>
    <n v="50000"/>
    <n v="83250"/>
    <x v="0"/>
    <x v="2"/>
    <x v="0"/>
    <x v="4"/>
    <x v="0"/>
    <s v="Bagus"/>
    <x v="1"/>
    <s v="sangat rendah"/>
  </r>
  <r>
    <s v="ORD01483"/>
    <x v="979"/>
    <s v="Dina Ramadhani"/>
    <x v="16"/>
    <x v="3"/>
    <n v="14000"/>
    <n v="4"/>
    <n v="0"/>
    <n v="56000"/>
    <n v="0"/>
    <n v="56000"/>
    <n v="50000"/>
    <n v="106000"/>
    <x v="3"/>
    <x v="4"/>
    <x v="0"/>
    <x v="4"/>
    <x v="0"/>
    <s v="Bagus"/>
    <x v="1"/>
    <s v="sangat rendah"/>
  </r>
  <r>
    <s v="ORD00083"/>
    <x v="980"/>
    <s v="Nanda Halim"/>
    <x v="23"/>
    <x v="18"/>
    <n v="16000"/>
    <n v="3"/>
    <n v="5"/>
    <n v="48000"/>
    <n v="2400"/>
    <n v="45600"/>
    <n v="49000"/>
    <n v="94600"/>
    <x v="2"/>
    <x v="2"/>
    <x v="0"/>
    <x v="1"/>
    <x v="1"/>
    <s v="Rendah"/>
    <x v="1"/>
    <s v="sangat rendah"/>
  </r>
  <r>
    <s v="ORD01603"/>
    <x v="981"/>
    <s v="Ani Setiawan"/>
    <x v="14"/>
    <x v="11"/>
    <n v="30000"/>
    <n v="1"/>
    <n v="10"/>
    <n v="30000"/>
    <n v="3000"/>
    <n v="27000"/>
    <n v="46000"/>
    <n v="73000"/>
    <x v="1"/>
    <x v="3"/>
    <x v="3"/>
    <x v="4"/>
    <x v="0"/>
    <s v="Bagus"/>
    <x v="1"/>
    <s v="sangat rendah"/>
  </r>
  <r>
    <s v="ORD00398"/>
    <x v="982"/>
    <s v="Sari Halim"/>
    <x v="19"/>
    <x v="23"/>
    <n v="45000"/>
    <n v="3"/>
    <n v="0"/>
    <n v="135000"/>
    <n v="0"/>
    <n v="135000"/>
    <n v="55000"/>
    <n v="190000"/>
    <x v="3"/>
    <x v="2"/>
    <x v="1"/>
    <x v="0"/>
    <x v="0"/>
    <s v="Standar"/>
    <x v="1"/>
    <s v="sangat rendah"/>
  </r>
  <r>
    <s v="ORD00171"/>
    <x v="983"/>
    <s v="Yani Budiman"/>
    <x v="16"/>
    <x v="24"/>
    <n v="22000"/>
    <n v="3"/>
    <n v="0"/>
    <n v="66000"/>
    <n v="0"/>
    <n v="66000"/>
    <n v="50000"/>
    <n v="116000"/>
    <x v="2"/>
    <x v="2"/>
    <x v="4"/>
    <x v="1"/>
    <x v="0"/>
    <s v="Rendah"/>
    <x v="1"/>
    <s v="sangat rendah"/>
  </r>
  <r>
    <s v="ORD00171"/>
    <x v="983"/>
    <s v="Yani Budiman"/>
    <x v="16"/>
    <x v="11"/>
    <n v="30000"/>
    <n v="1"/>
    <n v="0"/>
    <n v="30000"/>
    <n v="0"/>
    <n v="30000"/>
    <n v="0"/>
    <n v="30000"/>
    <x v="2"/>
    <x v="2"/>
    <x v="4"/>
    <x v="1"/>
    <x v="0"/>
    <s v="Rendah"/>
    <x v="1"/>
    <s v="sangat rendah"/>
  </r>
  <r>
    <s v="ORD00957"/>
    <x v="984"/>
    <s v="Hana Nugroho"/>
    <x v="12"/>
    <x v="16"/>
    <n v="28000"/>
    <n v="5"/>
    <n v="15"/>
    <n v="140000"/>
    <n v="21000"/>
    <n v="119000"/>
    <n v="74000"/>
    <n v="193000"/>
    <x v="0"/>
    <x v="2"/>
    <x v="0"/>
    <x v="3"/>
    <x v="0"/>
    <s v="Bagus"/>
    <x v="4"/>
    <s v="tinggi"/>
  </r>
  <r>
    <s v="ORD01703"/>
    <x v="985"/>
    <s v="Putri Ananda"/>
    <x v="2"/>
    <x v="8"/>
    <n v="14000"/>
    <n v="2"/>
    <n v="5"/>
    <n v="28000"/>
    <n v="1400"/>
    <n v="26600"/>
    <n v="26000"/>
    <n v="52600"/>
    <x v="3"/>
    <x v="3"/>
    <x v="4"/>
    <x v="3"/>
    <x v="0"/>
    <s v="Bagus"/>
    <x v="1"/>
    <s v="sangat rendah"/>
  </r>
  <r>
    <s v="ORD00211"/>
    <x v="986"/>
    <s v="Fitri Nugroho"/>
    <x v="36"/>
    <x v="21"/>
    <n v="10000"/>
    <n v="5"/>
    <n v="5"/>
    <n v="50000"/>
    <n v="2500"/>
    <n v="47500"/>
    <n v="49000"/>
    <n v="96500"/>
    <x v="3"/>
    <x v="2"/>
    <x v="3"/>
    <x v="0"/>
    <x v="0"/>
    <s v="Standar"/>
    <x v="1"/>
    <s v="sangat rendah"/>
  </r>
  <r>
    <s v="ORD00605"/>
    <x v="987"/>
    <s v="Yani Ananda"/>
    <x v="11"/>
    <x v="26"/>
    <n v="16000"/>
    <n v="4"/>
    <n v="0"/>
    <n v="64000"/>
    <n v="0"/>
    <n v="64000"/>
    <n v="56000"/>
    <n v="120000"/>
    <x v="2"/>
    <x v="2"/>
    <x v="1"/>
    <x v="2"/>
    <x v="0"/>
    <s v="Rendah"/>
    <x v="1"/>
    <s v="sangat rendah"/>
  </r>
  <r>
    <s v="ORD01581"/>
    <x v="988"/>
    <s v="Eka Hidayat"/>
    <x v="18"/>
    <x v="26"/>
    <n v="16000"/>
    <n v="2"/>
    <n v="5"/>
    <n v="32000"/>
    <n v="1600"/>
    <n v="30400"/>
    <n v="43000"/>
    <n v="73400"/>
    <x v="1"/>
    <x v="2"/>
    <x v="4"/>
    <x v="1"/>
    <x v="0"/>
    <s v="Rendah"/>
    <x v="1"/>
    <s v="sangat rendah"/>
  </r>
  <r>
    <s v="ORD00222"/>
    <x v="989"/>
    <s v="Vina Ananda"/>
    <x v="6"/>
    <x v="19"/>
    <n v="35000"/>
    <n v="3"/>
    <n v="0"/>
    <n v="105000"/>
    <n v="0"/>
    <n v="105000"/>
    <n v="30000"/>
    <n v="135000"/>
    <x v="0"/>
    <x v="2"/>
    <x v="4"/>
    <x v="0"/>
    <x v="0"/>
    <s v="Standar"/>
    <x v="1"/>
    <s v="sangat rendah"/>
  </r>
  <r>
    <s v="ORD00866"/>
    <x v="990"/>
    <s v="Dewi Santoso"/>
    <x v="14"/>
    <x v="16"/>
    <n v="28000"/>
    <n v="2"/>
    <n v="5"/>
    <n v="56000"/>
    <n v="2800"/>
    <n v="53200"/>
    <n v="46000"/>
    <n v="99200"/>
    <x v="0"/>
    <x v="2"/>
    <x v="4"/>
    <x v="4"/>
    <x v="0"/>
    <s v="Bagus"/>
    <x v="1"/>
    <s v="sangat rendah"/>
  </r>
  <r>
    <s v="ORD00068"/>
    <x v="991"/>
    <s v="Yoga Utami"/>
    <x v="19"/>
    <x v="1"/>
    <n v="17000"/>
    <n v="3"/>
    <n v="20"/>
    <n v="51000"/>
    <n v="10200"/>
    <n v="40800"/>
    <n v="55000"/>
    <n v="95800"/>
    <x v="0"/>
    <x v="2"/>
    <x v="2"/>
    <x v="1"/>
    <x v="1"/>
    <s v="Rendah"/>
    <x v="2"/>
    <s v="normal"/>
  </r>
  <r>
    <s v="ORD00208"/>
    <x v="992"/>
    <s v="Dewi Saputra"/>
    <x v="8"/>
    <x v="21"/>
    <n v="10000"/>
    <n v="5"/>
    <n v="20"/>
    <n v="50000"/>
    <n v="10000"/>
    <n v="40000"/>
    <n v="87000"/>
    <n v="127000"/>
    <x v="1"/>
    <x v="2"/>
    <x v="4"/>
    <x v="4"/>
    <x v="0"/>
    <s v="Bagus"/>
    <x v="0"/>
    <s v="rendah"/>
  </r>
  <r>
    <s v="ORD01734"/>
    <x v="993"/>
    <s v="Citra Ananda"/>
    <x v="3"/>
    <x v="23"/>
    <n v="45000"/>
    <n v="5"/>
    <n v="5"/>
    <n v="225000"/>
    <n v="11250"/>
    <n v="213750"/>
    <n v="18000"/>
    <n v="231750"/>
    <x v="2"/>
    <x v="2"/>
    <x v="3"/>
    <x v="3"/>
    <x v="0"/>
    <s v="Bagus"/>
    <x v="2"/>
    <s v="normal"/>
  </r>
  <r>
    <s v="ORD00500"/>
    <x v="994"/>
    <s v="Aulia Puspita"/>
    <x v="25"/>
    <x v="18"/>
    <n v="16000"/>
    <n v="5"/>
    <n v="20"/>
    <n v="80000"/>
    <n v="16000"/>
    <n v="64000"/>
    <n v="48000"/>
    <n v="112000"/>
    <x v="3"/>
    <x v="2"/>
    <x v="0"/>
    <x v="2"/>
    <x v="0"/>
    <s v="Rendah"/>
    <x v="2"/>
    <s v="normal"/>
  </r>
  <r>
    <s v="ORD00500"/>
    <x v="994"/>
    <s v="Aulia Puspita"/>
    <x v="25"/>
    <x v="8"/>
    <n v="14000"/>
    <n v="3"/>
    <n v="20"/>
    <n v="42000"/>
    <n v="8400"/>
    <n v="33600"/>
    <n v="0"/>
    <n v="33600"/>
    <x v="3"/>
    <x v="2"/>
    <x v="0"/>
    <x v="2"/>
    <x v="0"/>
    <s v="Rendah"/>
    <x v="0"/>
    <s v="rendah"/>
  </r>
  <r>
    <s v="ORD00713"/>
    <x v="995"/>
    <s v="Vina Hidayat"/>
    <x v="29"/>
    <x v="4"/>
    <n v="6000"/>
    <n v="4"/>
    <n v="0"/>
    <n v="24000"/>
    <n v="0"/>
    <n v="24000"/>
    <n v="89000"/>
    <n v="113000"/>
    <x v="1"/>
    <x v="2"/>
    <x v="1"/>
    <x v="2"/>
    <x v="0"/>
    <s v="Rendah"/>
    <x v="1"/>
    <s v="sangat rendah"/>
  </r>
  <r>
    <s v="ORD00008"/>
    <x v="996"/>
    <s v="Indra Rahmawati"/>
    <x v="3"/>
    <x v="5"/>
    <n v="50000"/>
    <n v="3"/>
    <n v="15"/>
    <n v="150000"/>
    <n v="22500"/>
    <n v="127500"/>
    <n v="18000"/>
    <n v="145500"/>
    <x v="1"/>
    <x v="4"/>
    <x v="0"/>
    <x v="1"/>
    <x v="1"/>
    <s v="Rendah"/>
    <x v="4"/>
    <s v="tinggi"/>
  </r>
  <r>
    <s v="ORD01058"/>
    <x v="997"/>
    <s v="Aulia Santoso"/>
    <x v="26"/>
    <x v="0"/>
    <n v="16000"/>
    <n v="3"/>
    <n v="10"/>
    <n v="48000"/>
    <n v="4800"/>
    <n v="43200"/>
    <n v="28000"/>
    <n v="71200"/>
    <x v="3"/>
    <x v="2"/>
    <x v="1"/>
    <x v="3"/>
    <x v="0"/>
    <s v="Bagus"/>
    <x v="1"/>
    <s v="sangat rendah"/>
  </r>
  <r>
    <s v="ORD01118"/>
    <x v="998"/>
    <s v="Aulia Saputra"/>
    <x v="1"/>
    <x v="10"/>
    <n v="45000"/>
    <n v="4"/>
    <n v="15"/>
    <n v="180000"/>
    <n v="27000"/>
    <n v="153000"/>
    <n v="59000"/>
    <n v="212000"/>
    <x v="3"/>
    <x v="2"/>
    <x v="4"/>
    <x v="2"/>
    <x v="0"/>
    <s v="Rendah"/>
    <x v="4"/>
    <s v="tinggi"/>
  </r>
  <r>
    <s v="ORD01738"/>
    <x v="999"/>
    <s v="Kartika Kusuma"/>
    <x v="20"/>
    <x v="23"/>
    <n v="45000"/>
    <n v="5"/>
    <n v="5"/>
    <n v="225000"/>
    <n v="11250"/>
    <n v="213750"/>
    <n v="85000"/>
    <n v="298750"/>
    <x v="1"/>
    <x v="4"/>
    <x v="4"/>
    <x v="1"/>
    <x v="0"/>
    <s v="Rendah"/>
    <x v="2"/>
    <s v="normal"/>
  </r>
  <r>
    <s v="ORD00788"/>
    <x v="1000"/>
    <s v="Erna Halim"/>
    <x v="18"/>
    <x v="25"/>
    <n v="40000"/>
    <n v="4"/>
    <n v="10"/>
    <n v="160000"/>
    <n v="16000"/>
    <n v="144000"/>
    <n v="43000"/>
    <n v="187000"/>
    <x v="1"/>
    <x v="2"/>
    <x v="1"/>
    <x v="1"/>
    <x v="0"/>
    <s v="Rendah"/>
    <x v="2"/>
    <s v="normal"/>
  </r>
  <r>
    <s v="ORD01028"/>
    <x v="1001"/>
    <s v="Zahra Kurniawan"/>
    <x v="7"/>
    <x v="10"/>
    <n v="45000"/>
    <n v="2"/>
    <n v="20"/>
    <n v="90000"/>
    <n v="18000"/>
    <n v="72000"/>
    <n v="15000"/>
    <n v="87000"/>
    <x v="2"/>
    <x v="2"/>
    <x v="3"/>
    <x v="4"/>
    <x v="0"/>
    <s v="Bagus"/>
    <x v="2"/>
    <s v="normal"/>
  </r>
  <r>
    <s v="ORD00964"/>
    <x v="1002"/>
    <s v="Eka Syahputra"/>
    <x v="30"/>
    <x v="1"/>
    <n v="17000"/>
    <n v="1"/>
    <n v="20"/>
    <n v="17000"/>
    <n v="3400"/>
    <n v="13600"/>
    <n v="97000"/>
    <n v="110600"/>
    <x v="3"/>
    <x v="2"/>
    <x v="3"/>
    <x v="1"/>
    <x v="0"/>
    <s v="Rendah"/>
    <x v="1"/>
    <s v="sangat rendah"/>
  </r>
  <r>
    <s v="ORD01537"/>
    <x v="1003"/>
    <s v="Dina Rahmawati"/>
    <x v="32"/>
    <x v="16"/>
    <n v="28000"/>
    <n v="5"/>
    <n v="5"/>
    <n v="140000"/>
    <n v="7000"/>
    <n v="133000"/>
    <n v="59000"/>
    <n v="192000"/>
    <x v="0"/>
    <x v="2"/>
    <x v="0"/>
    <x v="1"/>
    <x v="0"/>
    <s v="Rendah"/>
    <x v="0"/>
    <s v="rendah"/>
  </r>
  <r>
    <s v="ORD01135"/>
    <x v="1004"/>
    <s v="Wahyu Fauziah"/>
    <x v="28"/>
    <x v="26"/>
    <n v="16000"/>
    <n v="1"/>
    <n v="5"/>
    <n v="16000"/>
    <n v="800"/>
    <n v="15200"/>
    <n v="79000"/>
    <n v="94200"/>
    <x v="0"/>
    <x v="2"/>
    <x v="1"/>
    <x v="3"/>
    <x v="1"/>
    <s v="Bagus"/>
    <x v="1"/>
    <s v="sangat rendah"/>
  </r>
  <r>
    <s v="ORD00799"/>
    <x v="1005"/>
    <s v="Putri Halim"/>
    <x v="33"/>
    <x v="26"/>
    <n v="16000"/>
    <n v="3"/>
    <n v="20"/>
    <n v="48000"/>
    <n v="9600"/>
    <n v="38400"/>
    <n v="68000"/>
    <n v="106400"/>
    <x v="2"/>
    <x v="2"/>
    <x v="1"/>
    <x v="1"/>
    <x v="0"/>
    <s v="Rendah"/>
    <x v="0"/>
    <s v="rendah"/>
  </r>
  <r>
    <s v="ORD00777"/>
    <x v="1006"/>
    <s v="Dimas Utami"/>
    <x v="4"/>
    <x v="24"/>
    <n v="22000"/>
    <n v="4"/>
    <n v="5"/>
    <n v="88000"/>
    <n v="4400"/>
    <n v="83600"/>
    <n v="0"/>
    <n v="83600"/>
    <x v="0"/>
    <x v="2"/>
    <x v="4"/>
    <x v="1"/>
    <x v="1"/>
    <s v="Rendah"/>
    <x v="1"/>
    <s v="sangat rendah"/>
  </r>
  <r>
    <s v="ORD00514"/>
    <x v="1007"/>
    <s v="Sari Puspita"/>
    <x v="30"/>
    <x v="17"/>
    <n v="15000"/>
    <n v="1"/>
    <n v="5"/>
    <n v="15000"/>
    <n v="750"/>
    <n v="14250"/>
    <n v="97000"/>
    <n v="111250"/>
    <x v="0"/>
    <x v="2"/>
    <x v="0"/>
    <x v="4"/>
    <x v="0"/>
    <s v="Bagus"/>
    <x v="1"/>
    <s v="sangat rendah"/>
  </r>
  <r>
    <s v="ORD01437"/>
    <x v="1008"/>
    <s v="Gita Ramadhani"/>
    <x v="17"/>
    <x v="5"/>
    <n v="50000"/>
    <n v="3"/>
    <n v="15"/>
    <n v="150000"/>
    <n v="22500"/>
    <n v="127500"/>
    <n v="50000"/>
    <n v="177500"/>
    <x v="0"/>
    <x v="2"/>
    <x v="2"/>
    <x v="2"/>
    <x v="0"/>
    <s v="Rendah"/>
    <x v="4"/>
    <s v="tinggi"/>
  </r>
  <r>
    <s v="ORD00231"/>
    <x v="1009"/>
    <s v="Dina Halim"/>
    <x v="7"/>
    <x v="17"/>
    <n v="15000"/>
    <n v="4"/>
    <n v="10"/>
    <n v="60000"/>
    <n v="6000"/>
    <n v="54000"/>
    <n v="15000"/>
    <n v="69000"/>
    <x v="0"/>
    <x v="2"/>
    <x v="0"/>
    <x v="2"/>
    <x v="0"/>
    <s v="Rendah"/>
    <x v="0"/>
    <s v="rendah"/>
  </r>
  <r>
    <s v="ORD00139"/>
    <x v="1010"/>
    <s v="Aulia Maulana"/>
    <x v="31"/>
    <x v="24"/>
    <n v="22000"/>
    <n v="3"/>
    <n v="0"/>
    <n v="66000"/>
    <n v="0"/>
    <n v="66000"/>
    <n v="18000"/>
    <n v="84000"/>
    <x v="2"/>
    <x v="2"/>
    <x v="1"/>
    <x v="0"/>
    <x v="0"/>
    <s v="Standar"/>
    <x v="1"/>
    <s v="sangat rendah"/>
  </r>
  <r>
    <s v="ORD00529"/>
    <x v="1011"/>
    <s v="Rizky Fauziah"/>
    <x v="13"/>
    <x v="11"/>
    <n v="30000"/>
    <n v="3"/>
    <n v="5"/>
    <n v="90000"/>
    <n v="4500"/>
    <n v="85500"/>
    <n v="87000"/>
    <n v="172500"/>
    <x v="0"/>
    <x v="3"/>
    <x v="0"/>
    <x v="0"/>
    <x v="1"/>
    <s v="Standar"/>
    <x v="1"/>
    <s v="sangat rendah"/>
  </r>
  <r>
    <s v="ORD00495"/>
    <x v="1012"/>
    <s v="Sari Puspita"/>
    <x v="30"/>
    <x v="13"/>
    <n v="17000"/>
    <n v="2"/>
    <n v="10"/>
    <n v="34000"/>
    <n v="3400"/>
    <n v="30600"/>
    <n v="97000"/>
    <n v="127600"/>
    <x v="0"/>
    <x v="4"/>
    <x v="4"/>
    <x v="1"/>
    <x v="0"/>
    <s v="Rendah"/>
    <x v="1"/>
    <s v="sangat rendah"/>
  </r>
  <r>
    <s v="ORD00495"/>
    <x v="1012"/>
    <s v="Sari Puspita"/>
    <x v="30"/>
    <x v="15"/>
    <n v="4000"/>
    <n v="4"/>
    <n v="0"/>
    <n v="16000"/>
    <n v="0"/>
    <n v="16000"/>
    <n v="0"/>
    <n v="16000"/>
    <x v="0"/>
    <x v="4"/>
    <x v="4"/>
    <x v="1"/>
    <x v="0"/>
    <s v="Rendah"/>
    <x v="1"/>
    <s v="sangat rendah"/>
  </r>
  <r>
    <s v="ORD01453"/>
    <x v="1013"/>
    <s v="Clara Pradipta"/>
    <x v="30"/>
    <x v="9"/>
    <n v="35000"/>
    <n v="3"/>
    <n v="15"/>
    <n v="105000"/>
    <n v="15750"/>
    <n v="89250"/>
    <n v="97000"/>
    <n v="186250"/>
    <x v="3"/>
    <x v="2"/>
    <x v="4"/>
    <x v="1"/>
    <x v="0"/>
    <s v="Rendah"/>
    <x v="2"/>
    <s v="normal"/>
  </r>
  <r>
    <s v="ORD00441"/>
    <x v="1014"/>
    <s v="Sari Puspita"/>
    <x v="30"/>
    <x v="3"/>
    <n v="14000"/>
    <n v="4"/>
    <n v="10"/>
    <n v="56000"/>
    <n v="5600"/>
    <n v="50400"/>
    <n v="97000"/>
    <n v="147400"/>
    <x v="1"/>
    <x v="3"/>
    <x v="4"/>
    <x v="4"/>
    <x v="0"/>
    <s v="Bagus"/>
    <x v="0"/>
    <s v="rendah"/>
  </r>
  <r>
    <s v="ORD00441"/>
    <x v="1014"/>
    <s v="Sari Puspita"/>
    <x v="30"/>
    <x v="12"/>
    <n v="25000"/>
    <n v="5"/>
    <n v="0"/>
    <n v="125000"/>
    <n v="0"/>
    <n v="125000"/>
    <n v="0"/>
    <n v="125000"/>
    <x v="1"/>
    <x v="3"/>
    <x v="4"/>
    <x v="4"/>
    <x v="0"/>
    <s v="Bagus"/>
    <x v="1"/>
    <s v="sangat rendah"/>
  </r>
  <r>
    <s v="ORD00327"/>
    <x v="1015"/>
    <s v="Qori Fauziah"/>
    <x v="12"/>
    <x v="16"/>
    <n v="28000"/>
    <n v="2"/>
    <n v="5"/>
    <n v="56000"/>
    <n v="2800"/>
    <n v="53200"/>
    <n v="74000"/>
    <n v="127200"/>
    <x v="0"/>
    <x v="4"/>
    <x v="2"/>
    <x v="1"/>
    <x v="0"/>
    <s v="Rendah"/>
    <x v="1"/>
    <s v="sangat rendah"/>
  </r>
  <r>
    <s v="ORD01415"/>
    <x v="1016"/>
    <s v="Bella Fauziah"/>
    <x v="24"/>
    <x v="4"/>
    <n v="6000"/>
    <n v="3"/>
    <n v="0"/>
    <n v="18000"/>
    <n v="0"/>
    <n v="18000"/>
    <n v="93000"/>
    <n v="111000"/>
    <x v="1"/>
    <x v="2"/>
    <x v="2"/>
    <x v="1"/>
    <x v="0"/>
    <s v="Rendah"/>
    <x v="1"/>
    <s v="sangat rendah"/>
  </r>
  <r>
    <s v="ORD00798"/>
    <x v="1017"/>
    <s v="Yani Kusuma"/>
    <x v="1"/>
    <x v="7"/>
    <n v="12000"/>
    <n v="1"/>
    <n v="0"/>
    <n v="12000"/>
    <n v="0"/>
    <n v="12000"/>
    <n v="59000"/>
    <n v="71000"/>
    <x v="2"/>
    <x v="2"/>
    <x v="3"/>
    <x v="0"/>
    <x v="0"/>
    <s v="Standar"/>
    <x v="1"/>
    <s v="sangat rendah"/>
  </r>
  <r>
    <s v="ORD01583"/>
    <x v="1018"/>
    <s v="Arif Fauziah"/>
    <x v="22"/>
    <x v="0"/>
    <n v="16000"/>
    <n v="1"/>
    <n v="10"/>
    <n v="16000"/>
    <n v="1600"/>
    <n v="14400"/>
    <n v="80000"/>
    <n v="94400"/>
    <x v="1"/>
    <x v="2"/>
    <x v="2"/>
    <x v="2"/>
    <x v="1"/>
    <s v="Rendah"/>
    <x v="1"/>
    <s v="sangat rendah"/>
  </r>
  <r>
    <s v="ORD00496"/>
    <x v="1019"/>
    <s v="Dewi Wijaya"/>
    <x v="6"/>
    <x v="10"/>
    <n v="45000"/>
    <n v="2"/>
    <n v="20"/>
    <n v="90000"/>
    <n v="18000"/>
    <n v="72000"/>
    <n v="30000"/>
    <n v="102000"/>
    <x v="1"/>
    <x v="2"/>
    <x v="1"/>
    <x v="2"/>
    <x v="0"/>
    <s v="Rendah"/>
    <x v="2"/>
    <s v="normal"/>
  </r>
  <r>
    <s v="ORD01669"/>
    <x v="1020"/>
    <s v="Bella Hidayat"/>
    <x v="28"/>
    <x v="0"/>
    <n v="16000"/>
    <n v="5"/>
    <n v="5"/>
    <n v="80000"/>
    <n v="4000"/>
    <n v="76000"/>
    <n v="79000"/>
    <n v="155000"/>
    <x v="3"/>
    <x v="2"/>
    <x v="2"/>
    <x v="0"/>
    <x v="0"/>
    <s v="Standar"/>
    <x v="1"/>
    <s v="sangat rendah"/>
  </r>
  <r>
    <s v="ORD01819"/>
    <x v="1021"/>
    <s v="Zahra Budiman"/>
    <x v="36"/>
    <x v="24"/>
    <n v="22000"/>
    <n v="4"/>
    <n v="0"/>
    <n v="88000"/>
    <n v="0"/>
    <n v="88000"/>
    <n v="49000"/>
    <n v="137000"/>
    <x v="0"/>
    <x v="2"/>
    <x v="0"/>
    <x v="0"/>
    <x v="0"/>
    <s v="Standar"/>
    <x v="1"/>
    <s v="sangat rendah"/>
  </r>
  <r>
    <s v="ORD01237"/>
    <x v="1022"/>
    <s v="Nanda Setiawan"/>
    <x v="13"/>
    <x v="13"/>
    <n v="17000"/>
    <n v="1"/>
    <n v="0"/>
    <n v="17000"/>
    <n v="0"/>
    <n v="17000"/>
    <n v="87000"/>
    <n v="104000"/>
    <x v="3"/>
    <x v="3"/>
    <x v="1"/>
    <x v="1"/>
    <x v="1"/>
    <s v="Rendah"/>
    <x v="1"/>
    <s v="sangat rendah"/>
  </r>
  <r>
    <s v="ORD00283"/>
    <x v="1023"/>
    <s v="Qori Ananda"/>
    <x v="16"/>
    <x v="22"/>
    <n v="18000"/>
    <n v="2"/>
    <n v="5"/>
    <n v="36000"/>
    <n v="1800"/>
    <n v="34200"/>
    <n v="50000"/>
    <n v="84200"/>
    <x v="3"/>
    <x v="2"/>
    <x v="0"/>
    <x v="3"/>
    <x v="0"/>
    <s v="Bagus"/>
    <x v="1"/>
    <s v="sangat rendah"/>
  </r>
  <r>
    <s v="ORD00260"/>
    <x v="1024"/>
    <s v="Ani Hidayat"/>
    <x v="18"/>
    <x v="10"/>
    <n v="45000"/>
    <n v="1"/>
    <n v="5"/>
    <n v="45000"/>
    <n v="2250"/>
    <n v="42750"/>
    <n v="43000"/>
    <n v="85750"/>
    <x v="1"/>
    <x v="2"/>
    <x v="3"/>
    <x v="4"/>
    <x v="0"/>
    <s v="Bagus"/>
    <x v="1"/>
    <s v="sangat rendah"/>
  </r>
  <r>
    <s v="ORD00260"/>
    <x v="1024"/>
    <s v="Ani Hidayat"/>
    <x v="18"/>
    <x v="11"/>
    <n v="30000"/>
    <n v="2"/>
    <n v="0"/>
    <n v="60000"/>
    <n v="0"/>
    <n v="60000"/>
    <n v="0"/>
    <n v="60000"/>
    <x v="1"/>
    <x v="2"/>
    <x v="3"/>
    <x v="4"/>
    <x v="0"/>
    <s v="Bagus"/>
    <x v="1"/>
    <s v="sangat rendah"/>
  </r>
  <r>
    <s v="ORD01572"/>
    <x v="1025"/>
    <s v="Zahra Ananda"/>
    <x v="4"/>
    <x v="14"/>
    <n v="18000"/>
    <n v="4"/>
    <n v="5"/>
    <n v="72000"/>
    <n v="3600"/>
    <n v="68400"/>
    <n v="0"/>
    <n v="68400"/>
    <x v="2"/>
    <x v="2"/>
    <x v="0"/>
    <x v="2"/>
    <x v="0"/>
    <s v="Rendah"/>
    <x v="1"/>
    <s v="sangat rendah"/>
  </r>
  <r>
    <s v="ORD01490"/>
    <x v="1026"/>
    <s v="Ani Halim"/>
    <x v="16"/>
    <x v="17"/>
    <n v="15000"/>
    <n v="2"/>
    <n v="10"/>
    <n v="30000"/>
    <n v="3000"/>
    <n v="27000"/>
    <n v="50000"/>
    <n v="77000"/>
    <x v="3"/>
    <x v="2"/>
    <x v="1"/>
    <x v="1"/>
    <x v="0"/>
    <s v="Rendah"/>
    <x v="1"/>
    <s v="sangat rendah"/>
  </r>
  <r>
    <s v="ORD01154"/>
    <x v="1027"/>
    <s v="Fajar Fauziah"/>
    <x v="33"/>
    <x v="15"/>
    <n v="4000"/>
    <n v="1"/>
    <n v="5"/>
    <n v="4000"/>
    <n v="200"/>
    <n v="3800"/>
    <n v="68000"/>
    <n v="71800"/>
    <x v="1"/>
    <x v="2"/>
    <x v="4"/>
    <x v="3"/>
    <x v="1"/>
    <s v="Bagus"/>
    <x v="1"/>
    <s v="sangat rendah"/>
  </r>
  <r>
    <s v="ORD00900"/>
    <x v="1028"/>
    <s v="Ani Budiman"/>
    <x v="21"/>
    <x v="25"/>
    <n v="40000"/>
    <n v="4"/>
    <n v="0"/>
    <n v="160000"/>
    <n v="0"/>
    <n v="160000"/>
    <n v="72000"/>
    <n v="232000"/>
    <x v="3"/>
    <x v="2"/>
    <x v="4"/>
    <x v="3"/>
    <x v="0"/>
    <s v="Bagus"/>
    <x v="1"/>
    <s v="sangat rendah"/>
  </r>
  <r>
    <s v="ORD01647"/>
    <x v="1029"/>
    <s v="Erna Utami"/>
    <x v="8"/>
    <x v="17"/>
    <n v="15000"/>
    <n v="1"/>
    <n v="10"/>
    <n v="15000"/>
    <n v="1500"/>
    <n v="13500"/>
    <n v="87000"/>
    <n v="100500"/>
    <x v="3"/>
    <x v="4"/>
    <x v="0"/>
    <x v="2"/>
    <x v="0"/>
    <s v="Rendah"/>
    <x v="1"/>
    <s v="sangat rendah"/>
  </r>
  <r>
    <s v="ORD00302"/>
    <x v="1030"/>
    <s v="Fitri Maulana"/>
    <x v="17"/>
    <x v="5"/>
    <n v="50000"/>
    <n v="1"/>
    <n v="0"/>
    <n v="50000"/>
    <n v="0"/>
    <n v="50000"/>
    <n v="50000"/>
    <n v="100000"/>
    <x v="2"/>
    <x v="2"/>
    <x v="2"/>
    <x v="0"/>
    <x v="0"/>
    <s v="Standar"/>
    <x v="1"/>
    <s v="sangat rendah"/>
  </r>
  <r>
    <s v="ORD00094"/>
    <x v="1031"/>
    <s v="Galih Iskandar"/>
    <x v="36"/>
    <x v="16"/>
    <n v="28000"/>
    <n v="1"/>
    <n v="15"/>
    <n v="28000"/>
    <n v="4200"/>
    <n v="23800"/>
    <n v="49000"/>
    <n v="72800"/>
    <x v="1"/>
    <x v="2"/>
    <x v="4"/>
    <x v="0"/>
    <x v="1"/>
    <s v="Standar"/>
    <x v="1"/>
    <s v="sangat rendah"/>
  </r>
  <r>
    <s v="ORD01401"/>
    <x v="1032"/>
    <s v="Aulia Puspita"/>
    <x v="25"/>
    <x v="15"/>
    <n v="4000"/>
    <n v="1"/>
    <n v="10"/>
    <n v="4000"/>
    <n v="400"/>
    <n v="3600"/>
    <n v="48000"/>
    <n v="51600"/>
    <x v="2"/>
    <x v="4"/>
    <x v="3"/>
    <x v="2"/>
    <x v="0"/>
    <s v="Rendah"/>
    <x v="1"/>
    <s v="sangat rendah"/>
  </r>
  <r>
    <s v="ORD01633"/>
    <x v="1033"/>
    <s v="Gita Hidayat"/>
    <x v="6"/>
    <x v="3"/>
    <n v="14000"/>
    <n v="1"/>
    <n v="10"/>
    <n v="14000"/>
    <n v="1400"/>
    <n v="12600"/>
    <n v="30000"/>
    <n v="42600"/>
    <x v="2"/>
    <x v="2"/>
    <x v="4"/>
    <x v="4"/>
    <x v="0"/>
    <s v="Bagus"/>
    <x v="1"/>
    <s v="sangat rendah"/>
  </r>
  <r>
    <s v="ORD01392"/>
    <x v="1034"/>
    <s v="Clara Utami"/>
    <x v="31"/>
    <x v="8"/>
    <n v="14000"/>
    <n v="1"/>
    <n v="5"/>
    <n v="14000"/>
    <n v="700"/>
    <n v="13300"/>
    <n v="18000"/>
    <n v="31300"/>
    <x v="3"/>
    <x v="2"/>
    <x v="1"/>
    <x v="3"/>
    <x v="0"/>
    <s v="Bagus"/>
    <x v="1"/>
    <s v="sangat rendah"/>
  </r>
  <r>
    <s v="ORD00174"/>
    <x v="1035"/>
    <s v="Dewi Budiman"/>
    <x v="9"/>
    <x v="21"/>
    <n v="10000"/>
    <n v="2"/>
    <n v="15"/>
    <n v="20000"/>
    <n v="3000"/>
    <n v="17000"/>
    <n v="21000"/>
    <n v="38000"/>
    <x v="3"/>
    <x v="2"/>
    <x v="1"/>
    <x v="0"/>
    <x v="0"/>
    <s v="Standar"/>
    <x v="1"/>
    <s v="sangat rendah"/>
  </r>
  <r>
    <s v="ORD01789"/>
    <x v="1036"/>
    <s v="Citra Utami"/>
    <x v="25"/>
    <x v="24"/>
    <n v="22000"/>
    <n v="3"/>
    <n v="15"/>
    <n v="66000"/>
    <n v="9900"/>
    <n v="56100"/>
    <n v="48000"/>
    <n v="104100"/>
    <x v="3"/>
    <x v="2"/>
    <x v="2"/>
    <x v="0"/>
    <x v="0"/>
    <s v="Standar"/>
    <x v="0"/>
    <s v="rendah"/>
  </r>
  <r>
    <s v="ORD00011"/>
    <x v="1037"/>
    <s v="Indra Ananda"/>
    <x v="10"/>
    <x v="6"/>
    <n v="55000"/>
    <n v="1"/>
    <n v="20"/>
    <n v="55000"/>
    <n v="11000"/>
    <n v="44000"/>
    <n v="84000"/>
    <n v="128000"/>
    <x v="1"/>
    <x v="2"/>
    <x v="2"/>
    <x v="3"/>
    <x v="1"/>
    <s v="Bagus"/>
    <x v="2"/>
    <s v="normal"/>
  </r>
  <r>
    <s v="ORD01220"/>
    <x v="1038"/>
    <s v="Eka Iskandar"/>
    <x v="12"/>
    <x v="6"/>
    <n v="55000"/>
    <n v="4"/>
    <n v="15"/>
    <n v="220000"/>
    <n v="33000"/>
    <n v="187000"/>
    <n v="74000"/>
    <n v="261000"/>
    <x v="2"/>
    <x v="2"/>
    <x v="4"/>
    <x v="1"/>
    <x v="0"/>
    <s v="Rendah"/>
    <x v="4"/>
    <s v="tinggi"/>
  </r>
  <r>
    <s v="ORD00982"/>
    <x v="1039"/>
    <s v="Citra Hidayat"/>
    <x v="32"/>
    <x v="2"/>
    <n v="5000"/>
    <n v="4"/>
    <n v="0"/>
    <n v="20000"/>
    <n v="0"/>
    <n v="20000"/>
    <n v="59000"/>
    <n v="79000"/>
    <x v="1"/>
    <x v="2"/>
    <x v="2"/>
    <x v="3"/>
    <x v="0"/>
    <s v="Bagus"/>
    <x v="1"/>
    <s v="sangat rendah"/>
  </r>
  <r>
    <s v="ORD00970"/>
    <x v="1040"/>
    <s v="Indra Ananda"/>
    <x v="10"/>
    <x v="9"/>
    <n v="35000"/>
    <n v="2"/>
    <n v="15"/>
    <n v="70000"/>
    <n v="10500"/>
    <n v="59500"/>
    <n v="84000"/>
    <n v="143500"/>
    <x v="0"/>
    <x v="2"/>
    <x v="4"/>
    <x v="3"/>
    <x v="1"/>
    <s v="Bagus"/>
    <x v="2"/>
    <s v="normal"/>
  </r>
  <r>
    <s v="ORD01427"/>
    <x v="1041"/>
    <s v="Citra Rahmawati"/>
    <x v="16"/>
    <x v="25"/>
    <n v="40000"/>
    <n v="5"/>
    <n v="15"/>
    <n v="200000"/>
    <n v="30000"/>
    <n v="170000"/>
    <n v="50000"/>
    <n v="220000"/>
    <x v="1"/>
    <x v="2"/>
    <x v="1"/>
    <x v="4"/>
    <x v="0"/>
    <s v="Bagus"/>
    <x v="4"/>
    <s v="tinggi"/>
  </r>
  <r>
    <s v="ORD01389"/>
    <x v="1042"/>
    <s v="Eka Kurniawan"/>
    <x v="0"/>
    <x v="9"/>
    <n v="35000"/>
    <n v="1"/>
    <n v="5"/>
    <n v="35000"/>
    <n v="1750"/>
    <n v="33250"/>
    <n v="67000"/>
    <n v="100250"/>
    <x v="0"/>
    <x v="2"/>
    <x v="4"/>
    <x v="0"/>
    <x v="0"/>
    <s v="Standar"/>
    <x v="1"/>
    <s v="sangat rendah"/>
  </r>
  <r>
    <s v="ORD00313"/>
    <x v="1043"/>
    <s v="Citra Santoso"/>
    <x v="20"/>
    <x v="4"/>
    <n v="6000"/>
    <n v="4"/>
    <n v="0"/>
    <n v="24000"/>
    <n v="0"/>
    <n v="24000"/>
    <n v="85000"/>
    <n v="109000"/>
    <x v="0"/>
    <x v="4"/>
    <x v="3"/>
    <x v="0"/>
    <x v="0"/>
    <s v="Standar"/>
    <x v="1"/>
    <s v="sangat rendah"/>
  </r>
  <r>
    <s v="ORD01055"/>
    <x v="1044"/>
    <s v="Aulia Fauziah"/>
    <x v="33"/>
    <x v="18"/>
    <n v="16000"/>
    <n v="2"/>
    <n v="0"/>
    <n v="32000"/>
    <n v="0"/>
    <n v="32000"/>
    <n v="68000"/>
    <n v="100000"/>
    <x v="0"/>
    <x v="2"/>
    <x v="1"/>
    <x v="1"/>
    <x v="0"/>
    <s v="Rendah"/>
    <x v="1"/>
    <s v="sangat rendah"/>
  </r>
  <r>
    <s v="ORD01282"/>
    <x v="1045"/>
    <s v="Arif Maulana"/>
    <x v="30"/>
    <x v="26"/>
    <n v="16000"/>
    <n v="5"/>
    <n v="15"/>
    <n v="80000"/>
    <n v="12000"/>
    <n v="68000"/>
    <n v="97000"/>
    <n v="165000"/>
    <x v="1"/>
    <x v="2"/>
    <x v="4"/>
    <x v="3"/>
    <x v="1"/>
    <s v="Bagus"/>
    <x v="2"/>
    <s v="normal"/>
  </r>
  <r>
    <s v="ORD00287"/>
    <x v="1046"/>
    <s v="Sari Wijaya"/>
    <x v="18"/>
    <x v="26"/>
    <n v="16000"/>
    <n v="5"/>
    <n v="5"/>
    <n v="80000"/>
    <n v="4000"/>
    <n v="76000"/>
    <n v="43000"/>
    <n v="119000"/>
    <x v="0"/>
    <x v="2"/>
    <x v="4"/>
    <x v="2"/>
    <x v="0"/>
    <s v="Rendah"/>
    <x v="1"/>
    <s v="sangat rendah"/>
  </r>
  <r>
    <s v="ORD00524"/>
    <x v="1047"/>
    <s v="Bella Ramadhani"/>
    <x v="20"/>
    <x v="17"/>
    <n v="15000"/>
    <n v="5"/>
    <n v="15"/>
    <n v="75000"/>
    <n v="11250"/>
    <n v="63750"/>
    <n v="85000"/>
    <n v="148750"/>
    <x v="2"/>
    <x v="2"/>
    <x v="0"/>
    <x v="1"/>
    <x v="0"/>
    <s v="Rendah"/>
    <x v="2"/>
    <s v="normal"/>
  </r>
  <r>
    <s v="ORD01493"/>
    <x v="1048"/>
    <s v="Putri Halim"/>
    <x v="33"/>
    <x v="25"/>
    <n v="40000"/>
    <n v="4"/>
    <n v="5"/>
    <n v="160000"/>
    <n v="8000"/>
    <n v="152000"/>
    <n v="68000"/>
    <n v="220000"/>
    <x v="0"/>
    <x v="2"/>
    <x v="2"/>
    <x v="2"/>
    <x v="0"/>
    <s v="Rendah"/>
    <x v="0"/>
    <s v="rendah"/>
  </r>
  <r>
    <s v="ORD01073"/>
    <x v="1049"/>
    <s v="Bella Rahmawati"/>
    <x v="1"/>
    <x v="2"/>
    <n v="5000"/>
    <n v="1"/>
    <n v="0"/>
    <n v="5000"/>
    <n v="0"/>
    <n v="5000"/>
    <n v="59000"/>
    <n v="64000"/>
    <x v="3"/>
    <x v="2"/>
    <x v="4"/>
    <x v="2"/>
    <x v="0"/>
    <s v="Rendah"/>
    <x v="1"/>
    <s v="sangat rendah"/>
  </r>
  <r>
    <s v="ORD00892"/>
    <x v="1050"/>
    <s v="Erna Iskandar"/>
    <x v="21"/>
    <x v="26"/>
    <n v="16000"/>
    <n v="2"/>
    <n v="20"/>
    <n v="32000"/>
    <n v="6400"/>
    <n v="25600"/>
    <n v="72000"/>
    <n v="97600"/>
    <x v="2"/>
    <x v="3"/>
    <x v="4"/>
    <x v="3"/>
    <x v="0"/>
    <s v="Bagus"/>
    <x v="0"/>
    <s v="rendah"/>
  </r>
  <r>
    <s v="ORD01696"/>
    <x v="1051"/>
    <s v="Ani Budiman"/>
    <x v="21"/>
    <x v="16"/>
    <n v="28000"/>
    <n v="1"/>
    <n v="0"/>
    <n v="28000"/>
    <n v="0"/>
    <n v="28000"/>
    <n v="72000"/>
    <n v="100000"/>
    <x v="3"/>
    <x v="2"/>
    <x v="4"/>
    <x v="2"/>
    <x v="0"/>
    <s v="Rendah"/>
    <x v="1"/>
    <s v="sangat rendah"/>
  </r>
  <r>
    <s v="ORD00889"/>
    <x v="1052"/>
    <s v="Yani Maulana"/>
    <x v="5"/>
    <x v="13"/>
    <n v="17000"/>
    <n v="1"/>
    <n v="20"/>
    <n v="17000"/>
    <n v="3400"/>
    <n v="13600"/>
    <n v="78000"/>
    <n v="91600"/>
    <x v="0"/>
    <x v="2"/>
    <x v="4"/>
    <x v="4"/>
    <x v="0"/>
    <s v="Bagus"/>
    <x v="1"/>
    <s v="sangat rendah"/>
  </r>
  <r>
    <s v="ORD01829"/>
    <x v="1053"/>
    <s v="Eka Ramadhani"/>
    <x v="13"/>
    <x v="9"/>
    <n v="35000"/>
    <n v="5"/>
    <n v="10"/>
    <n v="175000"/>
    <n v="17500"/>
    <n v="157500"/>
    <n v="87000"/>
    <n v="244500"/>
    <x v="1"/>
    <x v="2"/>
    <x v="1"/>
    <x v="3"/>
    <x v="0"/>
    <s v="Bagus"/>
    <x v="2"/>
    <s v="normal"/>
  </r>
  <r>
    <s v="ORD00474"/>
    <x v="1054"/>
    <s v="Erna Setiawan"/>
    <x v="22"/>
    <x v="17"/>
    <n v="15000"/>
    <n v="4"/>
    <n v="15"/>
    <n v="60000"/>
    <n v="9000"/>
    <n v="51000"/>
    <n v="80000"/>
    <n v="131000"/>
    <x v="0"/>
    <x v="2"/>
    <x v="4"/>
    <x v="1"/>
    <x v="0"/>
    <s v="Rendah"/>
    <x v="0"/>
    <s v="rendah"/>
  </r>
  <r>
    <s v="ORD00405"/>
    <x v="1055"/>
    <s v="Lestari Puspita"/>
    <x v="5"/>
    <x v="9"/>
    <n v="35000"/>
    <n v="1"/>
    <n v="5"/>
    <n v="35000"/>
    <n v="1750"/>
    <n v="33250"/>
    <n v="78000"/>
    <n v="111250"/>
    <x v="0"/>
    <x v="2"/>
    <x v="4"/>
    <x v="4"/>
    <x v="0"/>
    <s v="Bagus"/>
    <x v="1"/>
    <s v="sangat rendah"/>
  </r>
  <r>
    <s v="ORD01147"/>
    <x v="1056"/>
    <s v="Kartika Saputra"/>
    <x v="0"/>
    <x v="4"/>
    <n v="6000"/>
    <n v="2"/>
    <n v="15"/>
    <n v="12000"/>
    <n v="1800"/>
    <n v="10200"/>
    <n v="67000"/>
    <n v="77200"/>
    <x v="1"/>
    <x v="2"/>
    <x v="2"/>
    <x v="3"/>
    <x v="0"/>
    <s v="Bagus"/>
    <x v="1"/>
    <s v="sangat rendah"/>
  </r>
  <r>
    <s v="ORD00420"/>
    <x v="1057"/>
    <s v="Fitri Hidayat"/>
    <x v="21"/>
    <x v="25"/>
    <n v="40000"/>
    <n v="4"/>
    <n v="0"/>
    <n v="160000"/>
    <n v="0"/>
    <n v="160000"/>
    <n v="72000"/>
    <n v="232000"/>
    <x v="1"/>
    <x v="4"/>
    <x v="4"/>
    <x v="0"/>
    <x v="0"/>
    <s v="Standar"/>
    <x v="1"/>
    <s v="sangat rendah"/>
  </r>
  <r>
    <s v="ORD00153"/>
    <x v="1058"/>
    <s v="Fitri Setiawan"/>
    <x v="23"/>
    <x v="21"/>
    <n v="10000"/>
    <n v="2"/>
    <n v="0"/>
    <n v="20000"/>
    <n v="0"/>
    <n v="20000"/>
    <n v="49000"/>
    <n v="69000"/>
    <x v="3"/>
    <x v="2"/>
    <x v="2"/>
    <x v="2"/>
    <x v="0"/>
    <s v="Rendah"/>
    <x v="1"/>
    <s v="sangat rendah"/>
  </r>
  <r>
    <s v="ORD00435"/>
    <x v="1059"/>
    <s v="Lestari Pradipta"/>
    <x v="11"/>
    <x v="17"/>
    <n v="15000"/>
    <n v="5"/>
    <n v="15"/>
    <n v="75000"/>
    <n v="11250"/>
    <n v="63750"/>
    <n v="56000"/>
    <n v="119750"/>
    <x v="3"/>
    <x v="2"/>
    <x v="0"/>
    <x v="2"/>
    <x v="0"/>
    <s v="Rendah"/>
    <x v="2"/>
    <s v="normal"/>
  </r>
  <r>
    <s v="ORD00793"/>
    <x v="1060"/>
    <s v="Yani Budiman"/>
    <x v="16"/>
    <x v="20"/>
    <n v="40000"/>
    <n v="5"/>
    <n v="0"/>
    <n v="200000"/>
    <n v="0"/>
    <n v="200000"/>
    <n v="50000"/>
    <n v="250000"/>
    <x v="1"/>
    <x v="2"/>
    <x v="1"/>
    <x v="3"/>
    <x v="0"/>
    <s v="Bagus"/>
    <x v="1"/>
    <s v="sangat rendah"/>
  </r>
  <r>
    <s v="ORD00217"/>
    <x v="1061"/>
    <s v="Citra Saputra"/>
    <x v="12"/>
    <x v="26"/>
    <n v="16000"/>
    <n v="2"/>
    <n v="0"/>
    <n v="32000"/>
    <n v="0"/>
    <n v="32000"/>
    <n v="74000"/>
    <n v="106000"/>
    <x v="1"/>
    <x v="2"/>
    <x v="2"/>
    <x v="3"/>
    <x v="0"/>
    <s v="Bagus"/>
    <x v="1"/>
    <s v="sangat rendah"/>
  </r>
  <r>
    <s v="ORD00217"/>
    <x v="1061"/>
    <s v="Citra Saputra"/>
    <x v="12"/>
    <x v="3"/>
    <n v="14000"/>
    <n v="3"/>
    <n v="20"/>
    <n v="42000"/>
    <n v="8400"/>
    <n v="33600"/>
    <n v="0"/>
    <n v="33600"/>
    <x v="1"/>
    <x v="2"/>
    <x v="2"/>
    <x v="3"/>
    <x v="0"/>
    <s v="Bagus"/>
    <x v="0"/>
    <s v="rendah"/>
  </r>
  <r>
    <s v="ORD01545"/>
    <x v="1062"/>
    <s v="Yani Puspita"/>
    <x v="15"/>
    <x v="17"/>
    <n v="15000"/>
    <n v="1"/>
    <n v="0"/>
    <n v="15000"/>
    <n v="0"/>
    <n v="15000"/>
    <n v="17000"/>
    <n v="32000"/>
    <x v="1"/>
    <x v="2"/>
    <x v="4"/>
    <x v="3"/>
    <x v="0"/>
    <s v="Bagus"/>
    <x v="1"/>
    <s v="sangat rendah"/>
  </r>
  <r>
    <s v="ORD01462"/>
    <x v="1063"/>
    <s v="Eka Maulana"/>
    <x v="35"/>
    <x v="20"/>
    <n v="40000"/>
    <n v="2"/>
    <n v="20"/>
    <n v="80000"/>
    <n v="16000"/>
    <n v="64000"/>
    <n v="76000"/>
    <n v="140000"/>
    <x v="0"/>
    <x v="4"/>
    <x v="3"/>
    <x v="3"/>
    <x v="0"/>
    <s v="Bagus"/>
    <x v="2"/>
    <s v="normal"/>
  </r>
  <r>
    <s v="ORD01275"/>
    <x v="1064"/>
    <s v="Zahra Wijaya"/>
    <x v="6"/>
    <x v="12"/>
    <n v="25000"/>
    <n v="5"/>
    <n v="0"/>
    <n v="125000"/>
    <n v="0"/>
    <n v="125000"/>
    <n v="30000"/>
    <n v="155000"/>
    <x v="0"/>
    <x v="2"/>
    <x v="1"/>
    <x v="2"/>
    <x v="0"/>
    <s v="Rendah"/>
    <x v="1"/>
    <s v="sangat rendah"/>
  </r>
  <r>
    <s v="ORD01731"/>
    <x v="1065"/>
    <s v="Zahra Budiman"/>
    <x v="36"/>
    <x v="4"/>
    <n v="6000"/>
    <n v="1"/>
    <n v="0"/>
    <n v="6000"/>
    <n v="0"/>
    <n v="6000"/>
    <n v="49000"/>
    <n v="55000"/>
    <x v="2"/>
    <x v="2"/>
    <x v="3"/>
    <x v="2"/>
    <x v="0"/>
    <s v="Rendah"/>
    <x v="1"/>
    <s v="sangat rendah"/>
  </r>
  <r>
    <s v="ORD01575"/>
    <x v="1066"/>
    <s v="Dewi Santoso"/>
    <x v="14"/>
    <x v="7"/>
    <n v="12000"/>
    <n v="4"/>
    <n v="10"/>
    <n v="48000"/>
    <n v="4800"/>
    <n v="43200"/>
    <n v="46000"/>
    <n v="89200"/>
    <x v="0"/>
    <x v="4"/>
    <x v="1"/>
    <x v="0"/>
    <x v="0"/>
    <s v="Standar"/>
    <x v="1"/>
    <s v="sangat rendah"/>
  </r>
  <r>
    <s v="ORD00926"/>
    <x v="1067"/>
    <s v="Putri Saputra"/>
    <x v="20"/>
    <x v="22"/>
    <n v="18000"/>
    <n v="3"/>
    <n v="0"/>
    <n v="54000"/>
    <n v="0"/>
    <n v="54000"/>
    <n v="85000"/>
    <n v="139000"/>
    <x v="0"/>
    <x v="2"/>
    <x v="0"/>
    <x v="4"/>
    <x v="0"/>
    <s v="Bagus"/>
    <x v="1"/>
    <s v="sangat rendah"/>
  </r>
  <r>
    <s v="ORD00450"/>
    <x v="1068"/>
    <s v="Aulia Santoso"/>
    <x v="26"/>
    <x v="20"/>
    <n v="40000"/>
    <n v="4"/>
    <n v="0"/>
    <n v="160000"/>
    <n v="0"/>
    <n v="160000"/>
    <n v="28000"/>
    <n v="188000"/>
    <x v="2"/>
    <x v="2"/>
    <x v="2"/>
    <x v="3"/>
    <x v="0"/>
    <s v="Bagus"/>
    <x v="1"/>
    <s v="sangat rendah"/>
  </r>
  <r>
    <s v="ORD01209"/>
    <x v="1069"/>
    <s v="Vina Maulana"/>
    <x v="7"/>
    <x v="9"/>
    <n v="35000"/>
    <n v="2"/>
    <n v="0"/>
    <n v="70000"/>
    <n v="0"/>
    <n v="70000"/>
    <n v="15000"/>
    <n v="85000"/>
    <x v="3"/>
    <x v="3"/>
    <x v="2"/>
    <x v="1"/>
    <x v="0"/>
    <s v="Rendah"/>
    <x v="1"/>
    <s v="sangat rendah"/>
  </r>
  <r>
    <s v="ORD01244"/>
    <x v="1070"/>
    <s v="Eka Pradipta"/>
    <x v="4"/>
    <x v="13"/>
    <n v="17000"/>
    <n v="1"/>
    <n v="5"/>
    <n v="17000"/>
    <n v="850"/>
    <n v="16150"/>
    <n v="0"/>
    <n v="16150"/>
    <x v="2"/>
    <x v="2"/>
    <x v="2"/>
    <x v="0"/>
    <x v="0"/>
    <s v="Standar"/>
    <x v="1"/>
    <s v="sangat rendah"/>
  </r>
  <r>
    <s v="ORD01087"/>
    <x v="1071"/>
    <s v="Putri Ramadhani"/>
    <x v="31"/>
    <x v="18"/>
    <n v="16000"/>
    <n v="1"/>
    <n v="10"/>
    <n v="16000"/>
    <n v="1600"/>
    <n v="14400"/>
    <n v="18000"/>
    <n v="32400"/>
    <x v="3"/>
    <x v="2"/>
    <x v="2"/>
    <x v="3"/>
    <x v="0"/>
    <s v="Bagus"/>
    <x v="1"/>
    <s v="sangat rendah"/>
  </r>
  <r>
    <s v="ORD01662"/>
    <x v="1072"/>
    <s v="Gita Nugroho"/>
    <x v="35"/>
    <x v="15"/>
    <n v="4000"/>
    <n v="4"/>
    <n v="15"/>
    <n v="16000"/>
    <n v="2400"/>
    <n v="13600"/>
    <n v="76000"/>
    <n v="89600"/>
    <x v="0"/>
    <x v="2"/>
    <x v="0"/>
    <x v="3"/>
    <x v="0"/>
    <s v="Bagus"/>
    <x v="1"/>
    <s v="sangat rendah"/>
  </r>
  <r>
    <s v="ORD01617"/>
    <x v="1073"/>
    <s v="Hana Fauziah"/>
    <x v="20"/>
    <x v="25"/>
    <n v="40000"/>
    <n v="1"/>
    <n v="10"/>
    <n v="40000"/>
    <n v="4000"/>
    <n v="36000"/>
    <n v="85000"/>
    <n v="121000"/>
    <x v="2"/>
    <x v="2"/>
    <x v="1"/>
    <x v="3"/>
    <x v="0"/>
    <s v="Bagus"/>
    <x v="1"/>
    <s v="sangat rendah"/>
  </r>
  <r>
    <s v="ORD01281"/>
    <x v="1074"/>
    <s v="Aulia Wijaya"/>
    <x v="17"/>
    <x v="22"/>
    <n v="18000"/>
    <n v="1"/>
    <n v="20"/>
    <n v="18000"/>
    <n v="3600"/>
    <n v="14400"/>
    <n v="50000"/>
    <n v="64400"/>
    <x v="0"/>
    <x v="2"/>
    <x v="2"/>
    <x v="1"/>
    <x v="0"/>
    <s v="Rendah"/>
    <x v="1"/>
    <s v="sangat rendah"/>
  </r>
  <r>
    <s v="ORD01471"/>
    <x v="1075"/>
    <s v="Ani Kusuma"/>
    <x v="25"/>
    <x v="8"/>
    <n v="14000"/>
    <n v="2"/>
    <n v="5"/>
    <n v="28000"/>
    <n v="1400"/>
    <n v="26600"/>
    <n v="48000"/>
    <n v="74600"/>
    <x v="1"/>
    <x v="2"/>
    <x v="4"/>
    <x v="2"/>
    <x v="0"/>
    <s v="Rendah"/>
    <x v="1"/>
    <s v="sangat rendah"/>
  </r>
  <r>
    <s v="ORD01657"/>
    <x v="1076"/>
    <s v="Eka Saputra"/>
    <x v="25"/>
    <x v="0"/>
    <n v="16000"/>
    <n v="3"/>
    <n v="5"/>
    <n v="48000"/>
    <n v="2400"/>
    <n v="45600"/>
    <n v="48000"/>
    <n v="93600"/>
    <x v="0"/>
    <x v="2"/>
    <x v="3"/>
    <x v="3"/>
    <x v="0"/>
    <s v="Bagus"/>
    <x v="1"/>
    <s v="sangat rendah"/>
  </r>
  <r>
    <s v="ORD00449"/>
    <x v="1077"/>
    <s v="Dina Kusuma"/>
    <x v="25"/>
    <x v="7"/>
    <n v="12000"/>
    <n v="2"/>
    <n v="5"/>
    <n v="24000"/>
    <n v="1200"/>
    <n v="22800"/>
    <n v="48000"/>
    <n v="70800"/>
    <x v="1"/>
    <x v="2"/>
    <x v="1"/>
    <x v="1"/>
    <x v="0"/>
    <s v="Rendah"/>
    <x v="1"/>
    <s v="sangat rendah"/>
  </r>
  <r>
    <s v="ORD00042"/>
    <x v="1078"/>
    <s v="Yoga Nugroho"/>
    <x v="27"/>
    <x v="9"/>
    <n v="35000"/>
    <n v="5"/>
    <n v="15"/>
    <n v="175000"/>
    <n v="26250"/>
    <n v="148750"/>
    <n v="18000"/>
    <n v="166750"/>
    <x v="0"/>
    <x v="2"/>
    <x v="1"/>
    <x v="3"/>
    <x v="1"/>
    <s v="Bagus"/>
    <x v="4"/>
    <s v="tinggi"/>
  </r>
  <r>
    <s v="ORD00149"/>
    <x v="1079"/>
    <s v="Putri Kurniawan"/>
    <x v="29"/>
    <x v="8"/>
    <n v="14000"/>
    <n v="5"/>
    <n v="10"/>
    <n v="70000"/>
    <n v="7000"/>
    <n v="63000"/>
    <n v="89000"/>
    <n v="152000"/>
    <x v="3"/>
    <x v="4"/>
    <x v="4"/>
    <x v="3"/>
    <x v="0"/>
    <s v="Bagus"/>
    <x v="0"/>
    <s v="rendah"/>
  </r>
  <r>
    <s v="ORD01799"/>
    <x v="1080"/>
    <s v="Yani Hidayat"/>
    <x v="34"/>
    <x v="20"/>
    <n v="40000"/>
    <n v="3"/>
    <n v="0"/>
    <n v="120000"/>
    <n v="0"/>
    <n v="120000"/>
    <n v="80000"/>
    <n v="200000"/>
    <x v="2"/>
    <x v="4"/>
    <x v="0"/>
    <x v="4"/>
    <x v="0"/>
    <s v="Bagus"/>
    <x v="1"/>
    <s v="sangat rendah"/>
  </r>
  <r>
    <s v="ORD01735"/>
    <x v="1081"/>
    <s v="Bella Hidayat"/>
    <x v="28"/>
    <x v="9"/>
    <n v="35000"/>
    <n v="4"/>
    <n v="5"/>
    <n v="140000"/>
    <n v="7000"/>
    <n v="133000"/>
    <n v="79000"/>
    <n v="212000"/>
    <x v="3"/>
    <x v="2"/>
    <x v="2"/>
    <x v="1"/>
    <x v="0"/>
    <s v="Rendah"/>
    <x v="0"/>
    <s v="rendah"/>
  </r>
  <r>
    <s v="ORD01311"/>
    <x v="1082"/>
    <s v="Hana Puspita"/>
    <x v="31"/>
    <x v="3"/>
    <n v="14000"/>
    <n v="1"/>
    <n v="5"/>
    <n v="14000"/>
    <n v="700"/>
    <n v="13300"/>
    <n v="18000"/>
    <n v="31300"/>
    <x v="2"/>
    <x v="2"/>
    <x v="3"/>
    <x v="1"/>
    <x v="0"/>
    <s v="Rendah"/>
    <x v="1"/>
    <s v="sangat rendah"/>
  </r>
  <r>
    <s v="ORD01596"/>
    <x v="1083"/>
    <s v="Qori Setiawan"/>
    <x v="8"/>
    <x v="3"/>
    <n v="14000"/>
    <n v="2"/>
    <n v="0"/>
    <n v="28000"/>
    <n v="0"/>
    <n v="28000"/>
    <n v="87000"/>
    <n v="115000"/>
    <x v="3"/>
    <x v="2"/>
    <x v="4"/>
    <x v="4"/>
    <x v="0"/>
    <s v="Bagus"/>
    <x v="1"/>
    <s v="sangat rendah"/>
  </r>
  <r>
    <s v="ORD00075"/>
    <x v="1084"/>
    <s v="Iwan Maulana"/>
    <x v="20"/>
    <x v="16"/>
    <n v="28000"/>
    <n v="2"/>
    <n v="15"/>
    <n v="56000"/>
    <n v="8400"/>
    <n v="47600"/>
    <n v="85000"/>
    <n v="132600"/>
    <x v="2"/>
    <x v="3"/>
    <x v="0"/>
    <x v="4"/>
    <x v="1"/>
    <s v="Bagus"/>
    <x v="0"/>
    <s v="rendah"/>
  </r>
  <r>
    <s v="ORD00966"/>
    <x v="1085"/>
    <s v="Zahra Santoso"/>
    <x v="29"/>
    <x v="5"/>
    <n v="50000"/>
    <n v="5"/>
    <n v="15"/>
    <n v="250000"/>
    <n v="37500"/>
    <n v="212500"/>
    <n v="89000"/>
    <n v="301500"/>
    <x v="1"/>
    <x v="2"/>
    <x v="4"/>
    <x v="3"/>
    <x v="0"/>
    <s v="Bagus"/>
    <x v="3"/>
    <s v="sangat tinggi"/>
  </r>
  <r>
    <s v="ORD00643"/>
    <x v="1086"/>
    <s v="Dewi Wijaya"/>
    <x v="6"/>
    <x v="9"/>
    <n v="35000"/>
    <n v="3"/>
    <n v="10"/>
    <n v="105000"/>
    <n v="10500"/>
    <n v="94500"/>
    <n v="30000"/>
    <n v="124500"/>
    <x v="3"/>
    <x v="4"/>
    <x v="4"/>
    <x v="2"/>
    <x v="0"/>
    <s v="Rendah"/>
    <x v="2"/>
    <s v="normal"/>
  </r>
  <r>
    <s v="ORD00353"/>
    <x v="1087"/>
    <s v="Hana Fauziah"/>
    <x v="20"/>
    <x v="17"/>
    <n v="15000"/>
    <n v="2"/>
    <n v="5"/>
    <n v="30000"/>
    <n v="1500"/>
    <n v="28500"/>
    <n v="85000"/>
    <n v="113500"/>
    <x v="0"/>
    <x v="2"/>
    <x v="0"/>
    <x v="2"/>
    <x v="0"/>
    <s v="Rendah"/>
    <x v="1"/>
    <s v="sangat rendah"/>
  </r>
  <r>
    <s v="ORD00507"/>
    <x v="1088"/>
    <s v="Andi Wijaya"/>
    <x v="9"/>
    <x v="26"/>
    <n v="16000"/>
    <n v="1"/>
    <n v="15"/>
    <n v="16000"/>
    <n v="2400"/>
    <n v="13600"/>
    <n v="21000"/>
    <n v="34600"/>
    <x v="2"/>
    <x v="2"/>
    <x v="4"/>
    <x v="0"/>
    <x v="1"/>
    <s v="Standar"/>
    <x v="1"/>
    <s v="sangat rendah"/>
  </r>
  <r>
    <s v="ORD00457"/>
    <x v="1089"/>
    <s v="Erna Ananda"/>
    <x v="3"/>
    <x v="20"/>
    <n v="40000"/>
    <n v="4"/>
    <n v="5"/>
    <n v="160000"/>
    <n v="8000"/>
    <n v="152000"/>
    <n v="18000"/>
    <n v="170000"/>
    <x v="3"/>
    <x v="4"/>
    <x v="3"/>
    <x v="0"/>
    <x v="0"/>
    <s v="Standar"/>
    <x v="0"/>
    <s v="rendah"/>
  </r>
  <r>
    <s v="ORD01349"/>
    <x v="1090"/>
    <s v="Yani Hidayat"/>
    <x v="34"/>
    <x v="11"/>
    <n v="30000"/>
    <n v="4"/>
    <n v="0"/>
    <n v="120000"/>
    <n v="0"/>
    <n v="120000"/>
    <n v="80000"/>
    <n v="200000"/>
    <x v="2"/>
    <x v="2"/>
    <x v="4"/>
    <x v="3"/>
    <x v="0"/>
    <s v="Bagus"/>
    <x v="1"/>
    <s v="sangat rendah"/>
  </r>
  <r>
    <s v="ORD01067"/>
    <x v="1091"/>
    <s v="Kartika Santoso"/>
    <x v="8"/>
    <x v="2"/>
    <n v="5000"/>
    <n v="5"/>
    <n v="0"/>
    <n v="25000"/>
    <n v="0"/>
    <n v="25000"/>
    <n v="87000"/>
    <n v="112000"/>
    <x v="3"/>
    <x v="2"/>
    <x v="4"/>
    <x v="0"/>
    <x v="0"/>
    <s v="Standar"/>
    <x v="1"/>
    <s v="sangat rendah"/>
  </r>
  <r>
    <s v="ORD01540"/>
    <x v="1092"/>
    <s v="Fitri Setiawan"/>
    <x v="23"/>
    <x v="25"/>
    <n v="40000"/>
    <n v="5"/>
    <n v="10"/>
    <n v="200000"/>
    <n v="20000"/>
    <n v="180000"/>
    <n v="49000"/>
    <n v="229000"/>
    <x v="1"/>
    <x v="2"/>
    <x v="3"/>
    <x v="4"/>
    <x v="0"/>
    <s v="Bagus"/>
    <x v="2"/>
    <s v="normal"/>
  </r>
  <r>
    <s v="ORD01626"/>
    <x v="1093"/>
    <s v="Gita Utami"/>
    <x v="31"/>
    <x v="11"/>
    <n v="30000"/>
    <n v="3"/>
    <n v="5"/>
    <n v="90000"/>
    <n v="4500"/>
    <n v="85500"/>
    <n v="18000"/>
    <n v="103500"/>
    <x v="1"/>
    <x v="2"/>
    <x v="2"/>
    <x v="4"/>
    <x v="0"/>
    <s v="Bagus"/>
    <x v="1"/>
    <s v="sangat rendah"/>
  </r>
  <r>
    <s v="ORD00443"/>
    <x v="1094"/>
    <s v="Qori Santoso"/>
    <x v="7"/>
    <x v="6"/>
    <n v="55000"/>
    <n v="3"/>
    <n v="15"/>
    <n v="165000"/>
    <n v="24750"/>
    <n v="140250"/>
    <n v="15000"/>
    <n v="155250"/>
    <x v="2"/>
    <x v="2"/>
    <x v="4"/>
    <x v="4"/>
    <x v="0"/>
    <s v="Bagus"/>
    <x v="4"/>
    <s v="tinggi"/>
  </r>
  <r>
    <s v="ORD00235"/>
    <x v="1095"/>
    <s v="Clara Utami"/>
    <x v="31"/>
    <x v="10"/>
    <n v="45000"/>
    <n v="5"/>
    <n v="5"/>
    <n v="225000"/>
    <n v="11250"/>
    <n v="213750"/>
    <n v="18000"/>
    <n v="231750"/>
    <x v="3"/>
    <x v="2"/>
    <x v="3"/>
    <x v="4"/>
    <x v="0"/>
    <s v="Bagus"/>
    <x v="2"/>
    <s v="normal"/>
  </r>
  <r>
    <s v="ORD00235"/>
    <x v="1095"/>
    <s v="Clara Utami"/>
    <x v="31"/>
    <x v="21"/>
    <n v="10000"/>
    <n v="4"/>
    <n v="5"/>
    <n v="40000"/>
    <n v="2000"/>
    <n v="38000"/>
    <n v="0"/>
    <n v="38000"/>
    <x v="3"/>
    <x v="2"/>
    <x v="3"/>
    <x v="4"/>
    <x v="0"/>
    <s v="Bagus"/>
    <x v="1"/>
    <s v="sangat rendah"/>
  </r>
  <r>
    <s v="ORD00837"/>
    <x v="1096"/>
    <s v="Gita Kusuma"/>
    <x v="23"/>
    <x v="4"/>
    <n v="6000"/>
    <n v="1"/>
    <n v="10"/>
    <n v="6000"/>
    <n v="600"/>
    <n v="5400"/>
    <n v="49000"/>
    <n v="54400"/>
    <x v="1"/>
    <x v="4"/>
    <x v="0"/>
    <x v="0"/>
    <x v="0"/>
    <s v="Standar"/>
    <x v="1"/>
    <s v="sangat rendah"/>
  </r>
  <r>
    <s v="ORD00525"/>
    <x v="1097"/>
    <s v="Erna Santoso"/>
    <x v="18"/>
    <x v="24"/>
    <n v="22000"/>
    <n v="4"/>
    <n v="20"/>
    <n v="88000"/>
    <n v="17600"/>
    <n v="70400"/>
    <n v="43000"/>
    <n v="113400"/>
    <x v="0"/>
    <x v="2"/>
    <x v="3"/>
    <x v="0"/>
    <x v="0"/>
    <s v="Standar"/>
    <x v="2"/>
    <s v="normal"/>
  </r>
  <r>
    <s v="ORD01122"/>
    <x v="1098"/>
    <s v="Sari Hidayat"/>
    <x v="35"/>
    <x v="4"/>
    <n v="6000"/>
    <n v="2"/>
    <n v="10"/>
    <n v="12000"/>
    <n v="1200"/>
    <n v="10800"/>
    <n v="76000"/>
    <n v="86800"/>
    <x v="0"/>
    <x v="2"/>
    <x v="0"/>
    <x v="4"/>
    <x v="0"/>
    <s v="Bagus"/>
    <x v="1"/>
    <s v="sangat rendah"/>
  </r>
  <r>
    <s v="ORD00152"/>
    <x v="1099"/>
    <s v="Kartika Pradipta"/>
    <x v="9"/>
    <x v="9"/>
    <n v="35000"/>
    <n v="3"/>
    <n v="0"/>
    <n v="105000"/>
    <n v="0"/>
    <n v="105000"/>
    <n v="21000"/>
    <n v="126000"/>
    <x v="0"/>
    <x v="4"/>
    <x v="2"/>
    <x v="4"/>
    <x v="0"/>
    <s v="Bagus"/>
    <x v="1"/>
    <s v="sangat rendah"/>
  </r>
  <r>
    <s v="ORD00074"/>
    <x v="1100"/>
    <s v="Made Fauziah"/>
    <x v="1"/>
    <x v="14"/>
    <n v="18000"/>
    <n v="4"/>
    <n v="5"/>
    <n v="72000"/>
    <n v="3600"/>
    <n v="68400"/>
    <n v="59000"/>
    <n v="127400"/>
    <x v="1"/>
    <x v="4"/>
    <x v="0"/>
    <x v="2"/>
    <x v="1"/>
    <s v="Rendah"/>
    <x v="1"/>
    <s v="sangat rendah"/>
  </r>
  <r>
    <s v="ORD00850"/>
    <x v="1101"/>
    <s v="Hana Ramadhani"/>
    <x v="23"/>
    <x v="16"/>
    <n v="28000"/>
    <n v="1"/>
    <n v="10"/>
    <n v="28000"/>
    <n v="2800"/>
    <n v="25200"/>
    <n v="49000"/>
    <n v="74200"/>
    <x v="0"/>
    <x v="4"/>
    <x v="3"/>
    <x v="2"/>
    <x v="0"/>
    <s v="Rendah"/>
    <x v="1"/>
    <s v="sangat rendah"/>
  </r>
  <r>
    <s v="ORD00015"/>
    <x v="1102"/>
    <s v="Tono Fauziah"/>
    <x v="37"/>
    <x v="7"/>
    <n v="12000"/>
    <n v="3"/>
    <n v="5"/>
    <n v="36000"/>
    <n v="1800"/>
    <n v="34200"/>
    <n v="57000"/>
    <n v="91200"/>
    <x v="2"/>
    <x v="3"/>
    <x v="0"/>
    <x v="3"/>
    <x v="1"/>
    <s v="Bagus"/>
    <x v="1"/>
    <s v="sangat rendah"/>
  </r>
  <r>
    <s v="ORD00895"/>
    <x v="1103"/>
    <s v="Ani Ramadhani"/>
    <x v="16"/>
    <x v="20"/>
    <n v="40000"/>
    <n v="1"/>
    <n v="10"/>
    <n v="40000"/>
    <n v="4000"/>
    <n v="36000"/>
    <n v="50000"/>
    <n v="86000"/>
    <x v="3"/>
    <x v="4"/>
    <x v="4"/>
    <x v="2"/>
    <x v="0"/>
    <s v="Rendah"/>
    <x v="1"/>
    <s v="sangat rendah"/>
  </r>
  <r>
    <s v="ORD01557"/>
    <x v="1104"/>
    <s v="Erna Kusuma"/>
    <x v="4"/>
    <x v="8"/>
    <n v="14000"/>
    <n v="5"/>
    <n v="10"/>
    <n v="70000"/>
    <n v="7000"/>
    <n v="63000"/>
    <n v="0"/>
    <n v="63000"/>
    <x v="1"/>
    <x v="2"/>
    <x v="4"/>
    <x v="2"/>
    <x v="0"/>
    <s v="Rendah"/>
    <x v="0"/>
    <s v="rendah"/>
  </r>
  <r>
    <s v="ORD00734"/>
    <x v="1105"/>
    <s v="Vina Kurniawan"/>
    <x v="5"/>
    <x v="17"/>
    <n v="15000"/>
    <n v="1"/>
    <n v="20"/>
    <n v="15000"/>
    <n v="3000"/>
    <n v="12000"/>
    <n v="78000"/>
    <n v="90000"/>
    <x v="1"/>
    <x v="2"/>
    <x v="4"/>
    <x v="1"/>
    <x v="0"/>
    <s v="Rendah"/>
    <x v="1"/>
    <s v="sangat rendah"/>
  </r>
  <r>
    <s v="ORD00775"/>
    <x v="1106"/>
    <s v="Clara Setiawan"/>
    <x v="3"/>
    <x v="20"/>
    <n v="40000"/>
    <n v="2"/>
    <n v="5"/>
    <n v="80000"/>
    <n v="4000"/>
    <n v="76000"/>
    <n v="18000"/>
    <n v="94000"/>
    <x v="0"/>
    <x v="3"/>
    <x v="4"/>
    <x v="1"/>
    <x v="0"/>
    <s v="Rendah"/>
    <x v="1"/>
    <s v="sangat rendah"/>
  </r>
  <r>
    <s v="ORD01761"/>
    <x v="1107"/>
    <s v="Zahra Kurniawan"/>
    <x v="7"/>
    <x v="16"/>
    <n v="28000"/>
    <n v="1"/>
    <n v="5"/>
    <n v="28000"/>
    <n v="1400"/>
    <n v="26600"/>
    <n v="15000"/>
    <n v="41600"/>
    <x v="1"/>
    <x v="2"/>
    <x v="1"/>
    <x v="0"/>
    <x v="0"/>
    <s v="Standar"/>
    <x v="1"/>
    <s v="sangat rendah"/>
  </r>
  <r>
    <s v="ORD01475"/>
    <x v="1108"/>
    <s v="Kartika Saputra"/>
    <x v="0"/>
    <x v="15"/>
    <n v="4000"/>
    <n v="4"/>
    <n v="20"/>
    <n v="16000"/>
    <n v="3200"/>
    <n v="12800"/>
    <n v="67000"/>
    <n v="79800"/>
    <x v="3"/>
    <x v="2"/>
    <x v="4"/>
    <x v="4"/>
    <x v="0"/>
    <s v="Bagus"/>
    <x v="1"/>
    <s v="sangat rendah"/>
  </r>
  <r>
    <s v="ORD01004"/>
    <x v="1109"/>
    <s v="Ani Halim"/>
    <x v="16"/>
    <x v="22"/>
    <n v="18000"/>
    <n v="2"/>
    <n v="5"/>
    <n v="36000"/>
    <n v="1800"/>
    <n v="34200"/>
    <n v="50000"/>
    <n v="84200"/>
    <x v="3"/>
    <x v="2"/>
    <x v="1"/>
    <x v="1"/>
    <x v="0"/>
    <s v="Rendah"/>
    <x v="1"/>
    <s v="sangat rendah"/>
  </r>
  <r>
    <s v="ORD00133"/>
    <x v="1110"/>
    <s v="Dina Ramadhani"/>
    <x v="16"/>
    <x v="8"/>
    <n v="14000"/>
    <n v="4"/>
    <n v="5"/>
    <n v="56000"/>
    <n v="2800"/>
    <n v="53200"/>
    <n v="50000"/>
    <n v="103200"/>
    <x v="1"/>
    <x v="2"/>
    <x v="4"/>
    <x v="0"/>
    <x v="0"/>
    <s v="Standar"/>
    <x v="1"/>
    <s v="sangat rendah"/>
  </r>
  <r>
    <s v="ORD00432"/>
    <x v="1111"/>
    <s v="Kartika Halim"/>
    <x v="9"/>
    <x v="16"/>
    <n v="28000"/>
    <n v="3"/>
    <n v="5"/>
    <n v="84000"/>
    <n v="4200"/>
    <n v="79800"/>
    <n v="21000"/>
    <n v="100800"/>
    <x v="1"/>
    <x v="2"/>
    <x v="1"/>
    <x v="3"/>
    <x v="0"/>
    <s v="Bagus"/>
    <x v="1"/>
    <s v="sangat rendah"/>
  </r>
  <r>
    <s v="ORD00107"/>
    <x v="1112"/>
    <s v="Sari Iskandar"/>
    <x v="21"/>
    <x v="7"/>
    <n v="12000"/>
    <n v="1"/>
    <n v="5"/>
    <n v="12000"/>
    <n v="600"/>
    <n v="11400"/>
    <n v="72000"/>
    <n v="83400"/>
    <x v="1"/>
    <x v="2"/>
    <x v="2"/>
    <x v="1"/>
    <x v="0"/>
    <s v="Rendah"/>
    <x v="1"/>
    <s v="sangat rendah"/>
  </r>
  <r>
    <s v="ORD01223"/>
    <x v="1113"/>
    <s v="Eka Halim"/>
    <x v="24"/>
    <x v="3"/>
    <n v="14000"/>
    <n v="2"/>
    <n v="15"/>
    <n v="28000"/>
    <n v="4200"/>
    <n v="23800"/>
    <n v="93000"/>
    <n v="116800"/>
    <x v="0"/>
    <x v="3"/>
    <x v="3"/>
    <x v="1"/>
    <x v="0"/>
    <s v="Rendah"/>
    <x v="1"/>
    <s v="sangat rendah"/>
  </r>
  <r>
    <s v="ORD00276"/>
    <x v="1114"/>
    <s v="Fitri Halim"/>
    <x v="22"/>
    <x v="8"/>
    <n v="14000"/>
    <n v="4"/>
    <n v="10"/>
    <n v="56000"/>
    <n v="5600"/>
    <n v="50400"/>
    <n v="80000"/>
    <n v="130400"/>
    <x v="0"/>
    <x v="2"/>
    <x v="4"/>
    <x v="2"/>
    <x v="0"/>
    <s v="Rendah"/>
    <x v="0"/>
    <s v="rendah"/>
  </r>
  <r>
    <s v="ORD00702"/>
    <x v="1115"/>
    <s v="Sari Hidayat"/>
    <x v="35"/>
    <x v="8"/>
    <n v="14000"/>
    <n v="4"/>
    <n v="10"/>
    <n v="56000"/>
    <n v="5600"/>
    <n v="50400"/>
    <n v="76000"/>
    <n v="126400"/>
    <x v="0"/>
    <x v="2"/>
    <x v="1"/>
    <x v="1"/>
    <x v="0"/>
    <s v="Rendah"/>
    <x v="0"/>
    <s v="rendah"/>
  </r>
  <r>
    <s v="ORD00588"/>
    <x v="1116"/>
    <s v="Fajar Fauziah"/>
    <x v="33"/>
    <x v="8"/>
    <n v="14000"/>
    <n v="3"/>
    <n v="10"/>
    <n v="42000"/>
    <n v="4200"/>
    <n v="37800"/>
    <n v="68000"/>
    <n v="105800"/>
    <x v="1"/>
    <x v="2"/>
    <x v="3"/>
    <x v="4"/>
    <x v="1"/>
    <s v="Bagus"/>
    <x v="1"/>
    <s v="sangat rendah"/>
  </r>
  <r>
    <s v="ORD00727"/>
    <x v="1117"/>
    <s v="Kartika Nugroho"/>
    <x v="18"/>
    <x v="10"/>
    <n v="45000"/>
    <n v="2"/>
    <n v="20"/>
    <n v="90000"/>
    <n v="18000"/>
    <n v="72000"/>
    <n v="43000"/>
    <n v="115000"/>
    <x v="0"/>
    <x v="4"/>
    <x v="1"/>
    <x v="0"/>
    <x v="0"/>
    <s v="Standar"/>
    <x v="2"/>
    <s v="normal"/>
  </r>
  <r>
    <s v="ORD00517"/>
    <x v="1118"/>
    <s v="Gita Santoso"/>
    <x v="14"/>
    <x v="25"/>
    <n v="40000"/>
    <n v="1"/>
    <n v="0"/>
    <n v="40000"/>
    <n v="0"/>
    <n v="40000"/>
    <n v="46000"/>
    <n v="86000"/>
    <x v="3"/>
    <x v="2"/>
    <x v="4"/>
    <x v="1"/>
    <x v="0"/>
    <s v="Rendah"/>
    <x v="1"/>
    <s v="sangat rendah"/>
  </r>
  <r>
    <s v="ORD00138"/>
    <x v="1119"/>
    <s v="Eka Hidayat"/>
    <x v="18"/>
    <x v="21"/>
    <n v="10000"/>
    <n v="5"/>
    <n v="20"/>
    <n v="50000"/>
    <n v="10000"/>
    <n v="40000"/>
    <n v="43000"/>
    <n v="83000"/>
    <x v="0"/>
    <x v="3"/>
    <x v="0"/>
    <x v="1"/>
    <x v="0"/>
    <s v="Rendah"/>
    <x v="0"/>
    <s v="rendah"/>
  </r>
  <r>
    <s v="ORD00138"/>
    <x v="1119"/>
    <s v="Eka Hidayat"/>
    <x v="18"/>
    <x v="21"/>
    <n v="10000"/>
    <n v="2"/>
    <n v="5"/>
    <n v="20000"/>
    <n v="1000"/>
    <n v="19000"/>
    <n v="0"/>
    <n v="19000"/>
    <x v="0"/>
    <x v="3"/>
    <x v="0"/>
    <x v="1"/>
    <x v="0"/>
    <s v="Rendah"/>
    <x v="1"/>
    <s v="sangat rendah"/>
  </r>
  <r>
    <s v="ORD00919"/>
    <x v="1120"/>
    <s v="Eka Rahmawati"/>
    <x v="18"/>
    <x v="3"/>
    <n v="14000"/>
    <n v="2"/>
    <n v="5"/>
    <n v="28000"/>
    <n v="1400"/>
    <n v="26600"/>
    <n v="43000"/>
    <n v="69600"/>
    <x v="3"/>
    <x v="4"/>
    <x v="0"/>
    <x v="3"/>
    <x v="0"/>
    <s v="Bagus"/>
    <x v="1"/>
    <s v="sangat rendah"/>
  </r>
  <r>
    <s v="ORD00427"/>
    <x v="1121"/>
    <s v="Qori Utami"/>
    <x v="37"/>
    <x v="4"/>
    <n v="6000"/>
    <n v="3"/>
    <n v="15"/>
    <n v="18000"/>
    <n v="2700"/>
    <n v="15300"/>
    <n v="57000"/>
    <n v="72300"/>
    <x v="0"/>
    <x v="2"/>
    <x v="4"/>
    <x v="4"/>
    <x v="0"/>
    <s v="Bagus"/>
    <x v="1"/>
    <s v="sangat rendah"/>
  </r>
  <r>
    <s v="ORD00975"/>
    <x v="1122"/>
    <s v="Dina Kurniawan"/>
    <x v="13"/>
    <x v="14"/>
    <n v="18000"/>
    <n v="3"/>
    <n v="15"/>
    <n v="54000"/>
    <n v="8100"/>
    <n v="45900"/>
    <n v="87000"/>
    <n v="132900"/>
    <x v="0"/>
    <x v="3"/>
    <x v="4"/>
    <x v="2"/>
    <x v="0"/>
    <s v="Rendah"/>
    <x v="0"/>
    <s v="rendah"/>
  </r>
  <r>
    <s v="ORD00375"/>
    <x v="1123"/>
    <s v="Sari Ramadhani"/>
    <x v="14"/>
    <x v="21"/>
    <n v="10000"/>
    <n v="1"/>
    <n v="15"/>
    <n v="10000"/>
    <n v="1500"/>
    <n v="8500"/>
    <n v="46000"/>
    <n v="54500"/>
    <x v="1"/>
    <x v="2"/>
    <x v="0"/>
    <x v="1"/>
    <x v="0"/>
    <s v="Rendah"/>
    <x v="1"/>
    <s v="sangat rendah"/>
  </r>
  <r>
    <s v="ORD00551"/>
    <x v="1124"/>
    <s v="Bella Setiawan"/>
    <x v="9"/>
    <x v="26"/>
    <n v="16000"/>
    <n v="1"/>
    <n v="10"/>
    <n v="16000"/>
    <n v="1600"/>
    <n v="14400"/>
    <n v="21000"/>
    <n v="35400"/>
    <x v="1"/>
    <x v="2"/>
    <x v="0"/>
    <x v="1"/>
    <x v="0"/>
    <s v="Rendah"/>
    <x v="1"/>
    <s v="sangat rendah"/>
  </r>
  <r>
    <s v="ORD01191"/>
    <x v="1125"/>
    <s v="Fitri Iskandar"/>
    <x v="1"/>
    <x v="22"/>
    <n v="18000"/>
    <n v="1"/>
    <n v="0"/>
    <n v="18000"/>
    <n v="0"/>
    <n v="18000"/>
    <n v="59000"/>
    <n v="77000"/>
    <x v="1"/>
    <x v="2"/>
    <x v="4"/>
    <x v="4"/>
    <x v="0"/>
    <s v="Bagus"/>
    <x v="1"/>
    <s v="sangat rendah"/>
  </r>
  <r>
    <s v="ORD00110"/>
    <x v="1126"/>
    <s v="Yani Hidayat"/>
    <x v="34"/>
    <x v="21"/>
    <n v="10000"/>
    <n v="2"/>
    <n v="10"/>
    <n v="20000"/>
    <n v="2000"/>
    <n v="18000"/>
    <n v="80000"/>
    <n v="98000"/>
    <x v="3"/>
    <x v="2"/>
    <x v="3"/>
    <x v="2"/>
    <x v="0"/>
    <s v="Rendah"/>
    <x v="1"/>
    <s v="sangat rendah"/>
  </r>
  <r>
    <s v="ORD01171"/>
    <x v="1127"/>
    <s v="Zahra Kusuma"/>
    <x v="2"/>
    <x v="1"/>
    <n v="17000"/>
    <n v="1"/>
    <n v="20"/>
    <n v="17000"/>
    <n v="3400"/>
    <n v="13600"/>
    <n v="26000"/>
    <n v="39600"/>
    <x v="1"/>
    <x v="2"/>
    <x v="1"/>
    <x v="0"/>
    <x v="0"/>
    <s v="Standar"/>
    <x v="1"/>
    <s v="sangat rendah"/>
  </r>
  <r>
    <s v="ORD01521"/>
    <x v="1128"/>
    <s v="Zahra Budiman"/>
    <x v="36"/>
    <x v="10"/>
    <n v="45000"/>
    <n v="5"/>
    <n v="20"/>
    <n v="225000"/>
    <n v="45000"/>
    <n v="180000"/>
    <n v="49000"/>
    <n v="229000"/>
    <x v="1"/>
    <x v="4"/>
    <x v="4"/>
    <x v="0"/>
    <x v="0"/>
    <s v="Standar"/>
    <x v="3"/>
    <s v="sangat tinggi"/>
  </r>
  <r>
    <s v="ORD01660"/>
    <x v="1129"/>
    <s v="Citra Halim"/>
    <x v="32"/>
    <x v="2"/>
    <n v="5000"/>
    <n v="1"/>
    <n v="10"/>
    <n v="5000"/>
    <n v="500"/>
    <n v="4500"/>
    <n v="59000"/>
    <n v="63500"/>
    <x v="2"/>
    <x v="2"/>
    <x v="2"/>
    <x v="3"/>
    <x v="0"/>
    <s v="Bagus"/>
    <x v="1"/>
    <s v="sangat rendah"/>
  </r>
  <r>
    <s v="ORD00248"/>
    <x v="1130"/>
    <s v="Putri Hidayat"/>
    <x v="33"/>
    <x v="22"/>
    <n v="18000"/>
    <n v="3"/>
    <n v="15"/>
    <n v="54000"/>
    <n v="8100"/>
    <n v="45900"/>
    <n v="68000"/>
    <n v="113900"/>
    <x v="2"/>
    <x v="2"/>
    <x v="0"/>
    <x v="3"/>
    <x v="0"/>
    <s v="Bagus"/>
    <x v="0"/>
    <s v="rendah"/>
  </r>
  <r>
    <s v="ORD01832"/>
    <x v="1131"/>
    <s v="Citra Maulana"/>
    <x v="21"/>
    <x v="5"/>
    <n v="50000"/>
    <n v="5"/>
    <n v="10"/>
    <n v="250000"/>
    <n v="25000"/>
    <n v="225000"/>
    <n v="72000"/>
    <n v="297000"/>
    <x v="2"/>
    <x v="2"/>
    <x v="3"/>
    <x v="0"/>
    <x v="0"/>
    <s v="Standar"/>
    <x v="4"/>
    <s v="tinggi"/>
  </r>
  <r>
    <s v="ORD00526"/>
    <x v="1132"/>
    <s v="Dina Maulana"/>
    <x v="9"/>
    <x v="18"/>
    <n v="16000"/>
    <n v="3"/>
    <n v="5"/>
    <n v="48000"/>
    <n v="2400"/>
    <n v="45600"/>
    <n v="21000"/>
    <n v="66600"/>
    <x v="2"/>
    <x v="2"/>
    <x v="4"/>
    <x v="4"/>
    <x v="0"/>
    <s v="Bagus"/>
    <x v="1"/>
    <s v="sangat rendah"/>
  </r>
  <r>
    <s v="ORD00291"/>
    <x v="1133"/>
    <s v="Dewi Syahputra"/>
    <x v="3"/>
    <x v="6"/>
    <n v="55000"/>
    <n v="3"/>
    <n v="5"/>
    <n v="165000"/>
    <n v="8250"/>
    <n v="156750"/>
    <n v="18000"/>
    <n v="174750"/>
    <x v="2"/>
    <x v="3"/>
    <x v="2"/>
    <x v="0"/>
    <x v="0"/>
    <s v="Standar"/>
    <x v="0"/>
    <s v="rendah"/>
  </r>
  <r>
    <s v="ORD01823"/>
    <x v="1134"/>
    <s v="Iwan Budiman"/>
    <x v="35"/>
    <x v="16"/>
    <n v="28000"/>
    <n v="2"/>
    <n v="0"/>
    <n v="56000"/>
    <n v="0"/>
    <n v="56000"/>
    <n v="76000"/>
    <n v="132000"/>
    <x v="3"/>
    <x v="2"/>
    <x v="3"/>
    <x v="1"/>
    <x v="1"/>
    <s v="Rendah"/>
    <x v="1"/>
    <s v="sangat rendah"/>
  </r>
  <r>
    <s v="ORD01306"/>
    <x v="1135"/>
    <s v="Fitri Santoso"/>
    <x v="23"/>
    <x v="14"/>
    <n v="18000"/>
    <n v="2"/>
    <n v="20"/>
    <n v="36000"/>
    <n v="7200"/>
    <n v="28800"/>
    <n v="49000"/>
    <n v="77800"/>
    <x v="2"/>
    <x v="4"/>
    <x v="0"/>
    <x v="0"/>
    <x v="0"/>
    <s v="Standar"/>
    <x v="0"/>
    <s v="rendah"/>
  </r>
  <r>
    <s v="ORD01430"/>
    <x v="1136"/>
    <s v="Budi Wijaya"/>
    <x v="34"/>
    <x v="24"/>
    <n v="22000"/>
    <n v="3"/>
    <n v="0"/>
    <n v="66000"/>
    <n v="0"/>
    <n v="66000"/>
    <n v="80000"/>
    <n v="146000"/>
    <x v="3"/>
    <x v="2"/>
    <x v="2"/>
    <x v="0"/>
    <x v="1"/>
    <s v="Standar"/>
    <x v="1"/>
    <s v="sangat rendah"/>
  </r>
  <r>
    <s v="ORD01173"/>
    <x v="1137"/>
    <s v="Eka Pradipta"/>
    <x v="4"/>
    <x v="21"/>
    <n v="10000"/>
    <n v="4"/>
    <n v="20"/>
    <n v="40000"/>
    <n v="8000"/>
    <n v="32000"/>
    <n v="0"/>
    <n v="32000"/>
    <x v="0"/>
    <x v="2"/>
    <x v="0"/>
    <x v="2"/>
    <x v="0"/>
    <s v="Rendah"/>
    <x v="0"/>
    <s v="rendah"/>
  </r>
  <r>
    <s v="ORD01810"/>
    <x v="1138"/>
    <s v="Kartika Saputra"/>
    <x v="0"/>
    <x v="3"/>
    <n v="14000"/>
    <n v="1"/>
    <n v="10"/>
    <n v="14000"/>
    <n v="1400"/>
    <n v="12600"/>
    <n v="67000"/>
    <n v="79600"/>
    <x v="0"/>
    <x v="2"/>
    <x v="0"/>
    <x v="2"/>
    <x v="0"/>
    <s v="Rendah"/>
    <x v="1"/>
    <s v="sangat rendah"/>
  </r>
  <r>
    <s v="ORD00907"/>
    <x v="1139"/>
    <s v="Eka Ananda"/>
    <x v="10"/>
    <x v="17"/>
    <n v="15000"/>
    <n v="3"/>
    <n v="10"/>
    <n v="45000"/>
    <n v="4500"/>
    <n v="40500"/>
    <n v="84000"/>
    <n v="124500"/>
    <x v="0"/>
    <x v="4"/>
    <x v="1"/>
    <x v="4"/>
    <x v="0"/>
    <s v="Bagus"/>
    <x v="1"/>
    <s v="sangat rendah"/>
  </r>
  <r>
    <s v="ORD01095"/>
    <x v="1140"/>
    <s v="Qori Hidayat"/>
    <x v="15"/>
    <x v="5"/>
    <n v="50000"/>
    <n v="5"/>
    <n v="15"/>
    <n v="250000"/>
    <n v="37500"/>
    <n v="212500"/>
    <n v="17000"/>
    <n v="229500"/>
    <x v="0"/>
    <x v="2"/>
    <x v="2"/>
    <x v="0"/>
    <x v="0"/>
    <s v="Standar"/>
    <x v="3"/>
    <s v="sangat tinggi"/>
  </r>
  <r>
    <s v="ORD01653"/>
    <x v="1141"/>
    <s v="Aulia Santoso"/>
    <x v="26"/>
    <x v="12"/>
    <n v="25000"/>
    <n v="3"/>
    <n v="0"/>
    <n v="75000"/>
    <n v="0"/>
    <n v="75000"/>
    <n v="28000"/>
    <n v="103000"/>
    <x v="3"/>
    <x v="2"/>
    <x v="3"/>
    <x v="2"/>
    <x v="0"/>
    <s v="Rendah"/>
    <x v="1"/>
    <s v="sangat rendah"/>
  </r>
  <r>
    <s v="ORD01706"/>
    <x v="1142"/>
    <s v="Dina Halim"/>
    <x v="7"/>
    <x v="25"/>
    <n v="40000"/>
    <n v="5"/>
    <n v="5"/>
    <n v="200000"/>
    <n v="10000"/>
    <n v="190000"/>
    <n v="15000"/>
    <n v="205000"/>
    <x v="1"/>
    <x v="2"/>
    <x v="4"/>
    <x v="3"/>
    <x v="0"/>
    <s v="Bagus"/>
    <x v="0"/>
    <s v="rendah"/>
  </r>
  <r>
    <s v="ORD01447"/>
    <x v="1143"/>
    <s v="Hana Budiman"/>
    <x v="30"/>
    <x v="12"/>
    <n v="25000"/>
    <n v="2"/>
    <n v="0"/>
    <n v="50000"/>
    <n v="0"/>
    <n v="50000"/>
    <n v="97000"/>
    <n v="147000"/>
    <x v="3"/>
    <x v="2"/>
    <x v="4"/>
    <x v="2"/>
    <x v="0"/>
    <s v="Rendah"/>
    <x v="1"/>
    <s v="sangat rendah"/>
  </r>
  <r>
    <s v="ORD00854"/>
    <x v="1144"/>
    <s v="Sari Wijaya"/>
    <x v="18"/>
    <x v="23"/>
    <n v="45000"/>
    <n v="3"/>
    <n v="15"/>
    <n v="135000"/>
    <n v="20250"/>
    <n v="114750"/>
    <n v="43000"/>
    <n v="157750"/>
    <x v="0"/>
    <x v="2"/>
    <x v="4"/>
    <x v="3"/>
    <x v="0"/>
    <s v="Bagus"/>
    <x v="4"/>
    <s v="tinggi"/>
  </r>
  <r>
    <s v="ORD00826"/>
    <x v="1145"/>
    <s v="Sari Puspita"/>
    <x v="30"/>
    <x v="16"/>
    <n v="28000"/>
    <n v="1"/>
    <n v="5"/>
    <n v="28000"/>
    <n v="1400"/>
    <n v="26600"/>
    <n v="97000"/>
    <n v="123600"/>
    <x v="0"/>
    <x v="2"/>
    <x v="0"/>
    <x v="0"/>
    <x v="0"/>
    <s v="Standar"/>
    <x v="1"/>
    <s v="sangat rendah"/>
  </r>
  <r>
    <s v="ORD01548"/>
    <x v="1146"/>
    <s v="Ani Utami"/>
    <x v="19"/>
    <x v="14"/>
    <n v="18000"/>
    <n v="1"/>
    <n v="15"/>
    <n v="18000"/>
    <n v="2700"/>
    <n v="15300"/>
    <n v="55000"/>
    <n v="70300"/>
    <x v="3"/>
    <x v="4"/>
    <x v="4"/>
    <x v="2"/>
    <x v="0"/>
    <s v="Rendah"/>
    <x v="1"/>
    <s v="sangat rendah"/>
  </r>
  <r>
    <s v="ORD01300"/>
    <x v="1147"/>
    <s v="Zahra Utami"/>
    <x v="16"/>
    <x v="11"/>
    <n v="30000"/>
    <n v="2"/>
    <n v="20"/>
    <n v="60000"/>
    <n v="12000"/>
    <n v="48000"/>
    <n v="50000"/>
    <n v="98000"/>
    <x v="3"/>
    <x v="2"/>
    <x v="3"/>
    <x v="2"/>
    <x v="0"/>
    <s v="Rendah"/>
    <x v="2"/>
    <s v="normal"/>
  </r>
  <r>
    <s v="ORD01541"/>
    <x v="1148"/>
    <s v="Fitri Hidayat"/>
    <x v="21"/>
    <x v="10"/>
    <n v="45000"/>
    <n v="1"/>
    <n v="15"/>
    <n v="45000"/>
    <n v="6750"/>
    <n v="38250"/>
    <n v="72000"/>
    <n v="110250"/>
    <x v="1"/>
    <x v="2"/>
    <x v="4"/>
    <x v="0"/>
    <x v="0"/>
    <s v="Standar"/>
    <x v="0"/>
    <s v="rendah"/>
  </r>
  <r>
    <s v="ORD00043"/>
    <x v="1149"/>
    <s v="Wahyu Fauziah"/>
    <x v="28"/>
    <x v="23"/>
    <n v="45000"/>
    <n v="2"/>
    <n v="5"/>
    <n v="90000"/>
    <n v="4500"/>
    <n v="85500"/>
    <n v="79000"/>
    <n v="164500"/>
    <x v="0"/>
    <x v="4"/>
    <x v="3"/>
    <x v="0"/>
    <x v="1"/>
    <s v="Standar"/>
    <x v="1"/>
    <s v="sangat rendah"/>
  </r>
  <r>
    <s v="ORD01476"/>
    <x v="1150"/>
    <s v="Gita Iskandar"/>
    <x v="19"/>
    <x v="19"/>
    <n v="35000"/>
    <n v="5"/>
    <n v="20"/>
    <n v="175000"/>
    <n v="35000"/>
    <n v="140000"/>
    <n v="55000"/>
    <n v="195000"/>
    <x v="1"/>
    <x v="2"/>
    <x v="0"/>
    <x v="2"/>
    <x v="0"/>
    <s v="Rendah"/>
    <x v="4"/>
    <s v="tinggi"/>
  </r>
  <r>
    <s v="ORD00486"/>
    <x v="1151"/>
    <s v="Kartika Fauziah"/>
    <x v="11"/>
    <x v="7"/>
    <n v="12000"/>
    <n v="3"/>
    <n v="0"/>
    <n v="36000"/>
    <n v="0"/>
    <n v="36000"/>
    <n v="56000"/>
    <n v="92000"/>
    <x v="0"/>
    <x v="2"/>
    <x v="1"/>
    <x v="4"/>
    <x v="0"/>
    <s v="Bagus"/>
    <x v="1"/>
    <s v="sangat rendah"/>
  </r>
  <r>
    <s v="ORD01126"/>
    <x v="1152"/>
    <s v="Rizky Budiman"/>
    <x v="34"/>
    <x v="4"/>
    <n v="6000"/>
    <n v="2"/>
    <n v="15"/>
    <n v="12000"/>
    <n v="1800"/>
    <n v="10200"/>
    <n v="80000"/>
    <n v="90200"/>
    <x v="3"/>
    <x v="2"/>
    <x v="1"/>
    <x v="0"/>
    <x v="1"/>
    <s v="Standar"/>
    <x v="1"/>
    <s v="sangat rendah"/>
  </r>
  <r>
    <s v="ORD01081"/>
    <x v="1153"/>
    <s v="Citra Syahputra"/>
    <x v="14"/>
    <x v="23"/>
    <n v="45000"/>
    <n v="2"/>
    <n v="20"/>
    <n v="90000"/>
    <n v="18000"/>
    <n v="72000"/>
    <n v="46000"/>
    <n v="118000"/>
    <x v="2"/>
    <x v="2"/>
    <x v="2"/>
    <x v="1"/>
    <x v="0"/>
    <s v="Rendah"/>
    <x v="2"/>
    <s v="normal"/>
  </r>
  <r>
    <s v="ORD00675"/>
    <x v="1154"/>
    <s v="Andi Syahputra"/>
    <x v="27"/>
    <x v="23"/>
    <n v="45000"/>
    <n v="1"/>
    <n v="20"/>
    <n v="45000"/>
    <n v="9000"/>
    <n v="36000"/>
    <n v="18000"/>
    <n v="54000"/>
    <x v="1"/>
    <x v="2"/>
    <x v="3"/>
    <x v="0"/>
    <x v="1"/>
    <s v="Standar"/>
    <x v="0"/>
    <s v="rendah"/>
  </r>
  <r>
    <s v="ORD00244"/>
    <x v="1155"/>
    <s v="Zahra Kusuma"/>
    <x v="2"/>
    <x v="17"/>
    <n v="15000"/>
    <n v="1"/>
    <n v="15"/>
    <n v="15000"/>
    <n v="2250"/>
    <n v="12750"/>
    <n v="26000"/>
    <n v="38750"/>
    <x v="3"/>
    <x v="3"/>
    <x v="1"/>
    <x v="2"/>
    <x v="0"/>
    <s v="Rendah"/>
    <x v="1"/>
    <s v="sangat rendah"/>
  </r>
  <r>
    <s v="ORD00244"/>
    <x v="1155"/>
    <s v="Zahra Kusuma"/>
    <x v="2"/>
    <x v="22"/>
    <n v="18000"/>
    <n v="1"/>
    <n v="0"/>
    <n v="18000"/>
    <n v="0"/>
    <n v="18000"/>
    <n v="0"/>
    <n v="18000"/>
    <x v="3"/>
    <x v="3"/>
    <x v="1"/>
    <x v="2"/>
    <x v="0"/>
    <s v="Rendah"/>
    <x v="1"/>
    <s v="sangat rendah"/>
  </r>
  <r>
    <s v="ORD01573"/>
    <x v="1156"/>
    <s v="Clara Halim"/>
    <x v="13"/>
    <x v="14"/>
    <n v="18000"/>
    <n v="5"/>
    <n v="15"/>
    <n v="90000"/>
    <n v="13500"/>
    <n v="76500"/>
    <n v="87000"/>
    <n v="163500"/>
    <x v="2"/>
    <x v="2"/>
    <x v="3"/>
    <x v="2"/>
    <x v="0"/>
    <s v="Rendah"/>
    <x v="2"/>
    <s v="normal"/>
  </r>
  <r>
    <s v="ORD01266"/>
    <x v="1157"/>
    <s v="Umar Setiawan"/>
    <x v="21"/>
    <x v="5"/>
    <n v="50000"/>
    <n v="4"/>
    <n v="5"/>
    <n v="200000"/>
    <n v="10000"/>
    <n v="190000"/>
    <n v="72000"/>
    <n v="262000"/>
    <x v="3"/>
    <x v="2"/>
    <x v="2"/>
    <x v="0"/>
    <x v="1"/>
    <s v="Standar"/>
    <x v="0"/>
    <s v="rendah"/>
  </r>
  <r>
    <s v="ORD00311"/>
    <x v="1158"/>
    <s v="Gita Ananda"/>
    <x v="12"/>
    <x v="3"/>
    <n v="14000"/>
    <n v="5"/>
    <n v="15"/>
    <n v="70000"/>
    <n v="10500"/>
    <n v="59500"/>
    <n v="74000"/>
    <n v="133500"/>
    <x v="1"/>
    <x v="2"/>
    <x v="3"/>
    <x v="4"/>
    <x v="0"/>
    <s v="Bagus"/>
    <x v="2"/>
    <s v="normal"/>
  </r>
  <r>
    <s v="ORD01778"/>
    <x v="1159"/>
    <s v="Yani Wijaya"/>
    <x v="12"/>
    <x v="1"/>
    <n v="17000"/>
    <n v="5"/>
    <n v="15"/>
    <n v="85000"/>
    <n v="12750"/>
    <n v="72250"/>
    <n v="74000"/>
    <n v="146250"/>
    <x v="2"/>
    <x v="2"/>
    <x v="4"/>
    <x v="2"/>
    <x v="0"/>
    <s v="Rendah"/>
    <x v="2"/>
    <s v="normal"/>
  </r>
  <r>
    <s v="ORD01480"/>
    <x v="1160"/>
    <s v="Yani Maulana"/>
    <x v="5"/>
    <x v="6"/>
    <n v="55000"/>
    <n v="5"/>
    <n v="20"/>
    <n v="275000"/>
    <n v="55000"/>
    <n v="220000"/>
    <n v="78000"/>
    <n v="298000"/>
    <x v="1"/>
    <x v="2"/>
    <x v="0"/>
    <x v="1"/>
    <x v="0"/>
    <s v="Rendah"/>
    <x v="5"/>
    <s v="mbuh"/>
  </r>
  <r>
    <s v="ORD00574"/>
    <x v="1161"/>
    <s v="Vina Iskandar"/>
    <x v="3"/>
    <x v="21"/>
    <n v="10000"/>
    <n v="5"/>
    <n v="20"/>
    <n v="50000"/>
    <n v="10000"/>
    <n v="40000"/>
    <n v="18000"/>
    <n v="58000"/>
    <x v="0"/>
    <x v="2"/>
    <x v="3"/>
    <x v="3"/>
    <x v="0"/>
    <s v="Bagus"/>
    <x v="0"/>
    <s v="rendah"/>
  </r>
  <r>
    <s v="ORD01504"/>
    <x v="1162"/>
    <s v="Budi Hidayat"/>
    <x v="7"/>
    <x v="9"/>
    <n v="35000"/>
    <n v="3"/>
    <n v="5"/>
    <n v="105000"/>
    <n v="5250"/>
    <n v="99750"/>
    <n v="15000"/>
    <n v="114750"/>
    <x v="3"/>
    <x v="2"/>
    <x v="1"/>
    <x v="0"/>
    <x v="1"/>
    <s v="Standar"/>
    <x v="0"/>
    <s v="rendah"/>
  </r>
  <r>
    <s v="ORD00224"/>
    <x v="1163"/>
    <s v="Hana Utami"/>
    <x v="14"/>
    <x v="25"/>
    <n v="40000"/>
    <n v="1"/>
    <n v="15"/>
    <n v="40000"/>
    <n v="6000"/>
    <n v="34000"/>
    <n v="46000"/>
    <n v="80000"/>
    <x v="0"/>
    <x v="2"/>
    <x v="3"/>
    <x v="2"/>
    <x v="0"/>
    <s v="Rendah"/>
    <x v="0"/>
    <s v="rendah"/>
  </r>
  <r>
    <s v="ORD00988"/>
    <x v="1164"/>
    <s v="Dewi Halim"/>
    <x v="25"/>
    <x v="8"/>
    <n v="14000"/>
    <n v="2"/>
    <n v="0"/>
    <n v="28000"/>
    <n v="0"/>
    <n v="28000"/>
    <n v="48000"/>
    <n v="76000"/>
    <x v="2"/>
    <x v="2"/>
    <x v="4"/>
    <x v="3"/>
    <x v="0"/>
    <s v="Bagus"/>
    <x v="1"/>
    <s v="sangat rendah"/>
  </r>
  <r>
    <s v="ORD00464"/>
    <x v="1165"/>
    <s v="Aulia Ramadhani"/>
    <x v="35"/>
    <x v="22"/>
    <n v="18000"/>
    <n v="5"/>
    <n v="10"/>
    <n v="90000"/>
    <n v="9000"/>
    <n v="81000"/>
    <n v="0"/>
    <n v="81000"/>
    <x v="1"/>
    <x v="4"/>
    <x v="3"/>
    <x v="3"/>
    <x v="0"/>
    <s v="Bagus"/>
    <x v="0"/>
    <s v="rendah"/>
  </r>
  <r>
    <s v="ORD00464"/>
    <x v="1165"/>
    <s v="Aulia Ramadhani"/>
    <x v="35"/>
    <x v="10"/>
    <n v="45000"/>
    <n v="4"/>
    <n v="15"/>
    <n v="180000"/>
    <n v="27000"/>
    <n v="153000"/>
    <n v="76000"/>
    <n v="229000"/>
    <x v="1"/>
    <x v="4"/>
    <x v="3"/>
    <x v="3"/>
    <x v="0"/>
    <s v="Bagus"/>
    <x v="4"/>
    <s v="tinggi"/>
  </r>
  <r>
    <s v="ORD01189"/>
    <x v="1166"/>
    <s v="Fitri Nugroho"/>
    <x v="36"/>
    <x v="0"/>
    <n v="16000"/>
    <n v="4"/>
    <n v="15"/>
    <n v="64000"/>
    <n v="9600"/>
    <n v="54400"/>
    <n v="49000"/>
    <n v="103400"/>
    <x v="2"/>
    <x v="2"/>
    <x v="4"/>
    <x v="3"/>
    <x v="0"/>
    <s v="Bagus"/>
    <x v="0"/>
    <s v="rendah"/>
  </r>
  <r>
    <s v="ORD01341"/>
    <x v="1167"/>
    <s v="Ani Fauziah"/>
    <x v="30"/>
    <x v="7"/>
    <n v="12000"/>
    <n v="5"/>
    <n v="20"/>
    <n v="60000"/>
    <n v="12000"/>
    <n v="48000"/>
    <n v="97000"/>
    <n v="145000"/>
    <x v="3"/>
    <x v="2"/>
    <x v="2"/>
    <x v="0"/>
    <x v="0"/>
    <s v="Standar"/>
    <x v="2"/>
    <s v="normal"/>
  </r>
  <r>
    <s v="ORD00494"/>
    <x v="1168"/>
    <s v="Fitri Kusuma"/>
    <x v="10"/>
    <x v="22"/>
    <n v="18000"/>
    <n v="1"/>
    <n v="10"/>
    <n v="18000"/>
    <n v="1800"/>
    <n v="16200"/>
    <n v="84000"/>
    <n v="100200"/>
    <x v="2"/>
    <x v="4"/>
    <x v="0"/>
    <x v="2"/>
    <x v="0"/>
    <s v="Rendah"/>
    <x v="1"/>
    <s v="sangat rendah"/>
  </r>
  <r>
    <s v="ORD01691"/>
    <x v="1169"/>
    <s v="Hana Nugroho"/>
    <x v="12"/>
    <x v="24"/>
    <n v="22000"/>
    <n v="4"/>
    <n v="20"/>
    <n v="88000"/>
    <n v="17600"/>
    <n v="70400"/>
    <n v="74000"/>
    <n v="144400"/>
    <x v="3"/>
    <x v="2"/>
    <x v="3"/>
    <x v="1"/>
    <x v="0"/>
    <s v="Rendah"/>
    <x v="2"/>
    <s v="normal"/>
  </r>
  <r>
    <s v="ORD01168"/>
    <x v="1170"/>
    <s v="Bayu Nugroho"/>
    <x v="6"/>
    <x v="5"/>
    <n v="50000"/>
    <n v="1"/>
    <n v="15"/>
    <n v="50000"/>
    <n v="7500"/>
    <n v="42500"/>
    <n v="30000"/>
    <n v="72500"/>
    <x v="3"/>
    <x v="2"/>
    <x v="3"/>
    <x v="0"/>
    <x v="1"/>
    <s v="Standar"/>
    <x v="0"/>
    <s v="rendah"/>
  </r>
  <r>
    <s v="ORD01407"/>
    <x v="1171"/>
    <s v="Qori Utami"/>
    <x v="37"/>
    <x v="14"/>
    <n v="18000"/>
    <n v="5"/>
    <n v="20"/>
    <n v="90000"/>
    <n v="18000"/>
    <n v="72000"/>
    <n v="57000"/>
    <n v="129000"/>
    <x v="0"/>
    <x v="2"/>
    <x v="1"/>
    <x v="0"/>
    <x v="0"/>
    <s v="Standar"/>
    <x v="2"/>
    <s v="normal"/>
  </r>
  <r>
    <s v="ORD00206"/>
    <x v="1172"/>
    <s v="Citra Syahputra"/>
    <x v="14"/>
    <x v="6"/>
    <n v="55000"/>
    <n v="2"/>
    <n v="20"/>
    <n v="110000"/>
    <n v="22000"/>
    <n v="88000"/>
    <n v="46000"/>
    <n v="134000"/>
    <x v="0"/>
    <x v="3"/>
    <x v="1"/>
    <x v="1"/>
    <x v="0"/>
    <s v="Rendah"/>
    <x v="4"/>
    <s v="tinggi"/>
  </r>
  <r>
    <s v="ORD00045"/>
    <x v="1173"/>
    <s v="Budi Puspita"/>
    <x v="19"/>
    <x v="1"/>
    <n v="17000"/>
    <n v="1"/>
    <n v="5"/>
    <n v="17000"/>
    <n v="850"/>
    <n v="16150"/>
    <n v="55000"/>
    <n v="71150"/>
    <x v="1"/>
    <x v="2"/>
    <x v="1"/>
    <x v="1"/>
    <x v="1"/>
    <s v="Rendah"/>
    <x v="1"/>
    <s v="sangat rendah"/>
  </r>
  <r>
    <s v="ORD00976"/>
    <x v="1174"/>
    <s v="Eka Ananda"/>
    <x v="10"/>
    <x v="9"/>
    <n v="35000"/>
    <n v="3"/>
    <n v="0"/>
    <n v="105000"/>
    <n v="0"/>
    <n v="105000"/>
    <n v="84000"/>
    <n v="189000"/>
    <x v="1"/>
    <x v="2"/>
    <x v="2"/>
    <x v="1"/>
    <x v="0"/>
    <s v="Rendah"/>
    <x v="1"/>
    <s v="sangat rendah"/>
  </r>
  <r>
    <s v="ORD00264"/>
    <x v="1175"/>
    <s v="Bella Nugroho"/>
    <x v="19"/>
    <x v="4"/>
    <n v="6000"/>
    <n v="1"/>
    <n v="20"/>
    <n v="6000"/>
    <n v="1200"/>
    <n v="4800"/>
    <n v="55000"/>
    <n v="59800"/>
    <x v="2"/>
    <x v="2"/>
    <x v="2"/>
    <x v="0"/>
    <x v="0"/>
    <s v="Standar"/>
    <x v="1"/>
    <s v="sangat rendah"/>
  </r>
  <r>
    <s v="ORD00609"/>
    <x v="1176"/>
    <s v="Dimas Budiman"/>
    <x v="30"/>
    <x v="20"/>
    <n v="40000"/>
    <n v="3"/>
    <n v="5"/>
    <n v="120000"/>
    <n v="6000"/>
    <n v="114000"/>
    <n v="97000"/>
    <n v="211000"/>
    <x v="1"/>
    <x v="2"/>
    <x v="4"/>
    <x v="0"/>
    <x v="1"/>
    <s v="Standar"/>
    <x v="0"/>
    <s v="rendah"/>
  </r>
  <r>
    <s v="ORD00166"/>
    <x v="1177"/>
    <s v="Hana Maulana"/>
    <x v="29"/>
    <x v="1"/>
    <n v="17000"/>
    <n v="4"/>
    <n v="10"/>
    <n v="68000"/>
    <n v="6800"/>
    <n v="61200"/>
    <n v="89000"/>
    <n v="150200"/>
    <x v="2"/>
    <x v="3"/>
    <x v="1"/>
    <x v="2"/>
    <x v="0"/>
    <s v="Rendah"/>
    <x v="0"/>
    <s v="rendah"/>
  </r>
  <r>
    <s v="ORD01762"/>
    <x v="1178"/>
    <s v="Yani Ananda"/>
    <x v="11"/>
    <x v="6"/>
    <n v="55000"/>
    <n v="5"/>
    <n v="10"/>
    <n v="275000"/>
    <n v="27500"/>
    <n v="247500"/>
    <n v="56000"/>
    <n v="303500"/>
    <x v="3"/>
    <x v="2"/>
    <x v="2"/>
    <x v="2"/>
    <x v="0"/>
    <s v="Rendah"/>
    <x v="4"/>
    <s v="tinggi"/>
  </r>
  <r>
    <s v="ORD01091"/>
    <x v="1179"/>
    <s v="Ani Hidayat"/>
    <x v="18"/>
    <x v="24"/>
    <n v="22000"/>
    <n v="5"/>
    <n v="10"/>
    <n v="110000"/>
    <n v="11000"/>
    <n v="99000"/>
    <n v="43000"/>
    <n v="142000"/>
    <x v="1"/>
    <x v="2"/>
    <x v="3"/>
    <x v="3"/>
    <x v="0"/>
    <s v="Bagus"/>
    <x v="2"/>
    <s v="normal"/>
  </r>
  <r>
    <s v="ORD00803"/>
    <x v="1180"/>
    <s v="Rizky Fauziah"/>
    <x v="13"/>
    <x v="15"/>
    <n v="4000"/>
    <n v="5"/>
    <n v="0"/>
    <n v="20000"/>
    <n v="0"/>
    <n v="20000"/>
    <n v="87000"/>
    <n v="107000"/>
    <x v="0"/>
    <x v="2"/>
    <x v="3"/>
    <x v="0"/>
    <x v="1"/>
    <s v="Standar"/>
    <x v="1"/>
    <s v="sangat rendah"/>
  </r>
  <r>
    <s v="ORD01180"/>
    <x v="1181"/>
    <s v="Erna Rahmawati"/>
    <x v="27"/>
    <x v="8"/>
    <n v="14000"/>
    <n v="1"/>
    <n v="15"/>
    <n v="14000"/>
    <n v="2100"/>
    <n v="11900"/>
    <n v="18000"/>
    <n v="29900"/>
    <x v="3"/>
    <x v="2"/>
    <x v="0"/>
    <x v="3"/>
    <x v="0"/>
    <s v="Bagus"/>
    <x v="1"/>
    <s v="sangat rendah"/>
  </r>
  <r>
    <s v="ORD00462"/>
    <x v="1182"/>
    <s v="Zahra Kusuma"/>
    <x v="2"/>
    <x v="15"/>
    <n v="4000"/>
    <n v="2"/>
    <n v="5"/>
    <n v="8000"/>
    <n v="400"/>
    <n v="7600"/>
    <n v="26000"/>
    <n v="33600"/>
    <x v="3"/>
    <x v="2"/>
    <x v="2"/>
    <x v="2"/>
    <x v="0"/>
    <s v="Rendah"/>
    <x v="1"/>
    <s v="sangat rendah"/>
  </r>
  <r>
    <s v="ORD00462"/>
    <x v="1182"/>
    <s v="Zahra Kusuma"/>
    <x v="2"/>
    <x v="4"/>
    <n v="6000"/>
    <n v="1"/>
    <n v="20"/>
    <n v="6000"/>
    <n v="1200"/>
    <n v="4800"/>
    <n v="0"/>
    <n v="4800"/>
    <x v="3"/>
    <x v="2"/>
    <x v="2"/>
    <x v="2"/>
    <x v="0"/>
    <s v="Rendah"/>
    <x v="1"/>
    <s v="sangat rendah"/>
  </r>
  <r>
    <s v="ORD00082"/>
    <x v="1183"/>
    <s v="Joko Ananda"/>
    <x v="10"/>
    <x v="2"/>
    <n v="5000"/>
    <n v="3"/>
    <n v="15"/>
    <n v="15000"/>
    <n v="2250"/>
    <n v="12750"/>
    <n v="84000"/>
    <n v="96750"/>
    <x v="3"/>
    <x v="2"/>
    <x v="2"/>
    <x v="3"/>
    <x v="1"/>
    <s v="Bagus"/>
    <x v="1"/>
    <s v="sangat rendah"/>
  </r>
  <r>
    <s v="ORD01335"/>
    <x v="1184"/>
    <s v="Indra Ananda"/>
    <x v="10"/>
    <x v="0"/>
    <n v="16000"/>
    <n v="1"/>
    <n v="10"/>
    <n v="16000"/>
    <n v="1600"/>
    <n v="14400"/>
    <n v="84000"/>
    <n v="98400"/>
    <x v="0"/>
    <x v="2"/>
    <x v="0"/>
    <x v="1"/>
    <x v="1"/>
    <s v="Rendah"/>
    <x v="1"/>
    <s v="sangat rendah"/>
  </r>
  <r>
    <s v="ORD00586"/>
    <x v="1185"/>
    <s v="Dina Kusuma"/>
    <x v="25"/>
    <x v="3"/>
    <n v="14000"/>
    <n v="2"/>
    <n v="10"/>
    <n v="28000"/>
    <n v="2800"/>
    <n v="25200"/>
    <n v="48000"/>
    <n v="73200"/>
    <x v="1"/>
    <x v="2"/>
    <x v="4"/>
    <x v="3"/>
    <x v="0"/>
    <s v="Bagus"/>
    <x v="1"/>
    <s v="sangat rendah"/>
  </r>
  <r>
    <s v="ORD00999"/>
    <x v="1186"/>
    <s v="Putri Syahputra"/>
    <x v="14"/>
    <x v="12"/>
    <n v="25000"/>
    <n v="4"/>
    <n v="0"/>
    <n v="100000"/>
    <n v="0"/>
    <n v="100000"/>
    <n v="46000"/>
    <n v="146000"/>
    <x v="2"/>
    <x v="2"/>
    <x v="1"/>
    <x v="2"/>
    <x v="0"/>
    <s v="Rendah"/>
    <x v="1"/>
    <s v="sangat rendah"/>
  </r>
  <r>
    <s v="ORD00254"/>
    <x v="1187"/>
    <s v="Fitri Kurniawan"/>
    <x v="37"/>
    <x v="2"/>
    <n v="5000"/>
    <n v="1"/>
    <n v="15"/>
    <n v="5000"/>
    <n v="750"/>
    <n v="4250"/>
    <n v="57000"/>
    <n v="61250"/>
    <x v="1"/>
    <x v="2"/>
    <x v="2"/>
    <x v="1"/>
    <x v="0"/>
    <s v="Rendah"/>
    <x v="1"/>
    <s v="sangat rendah"/>
  </r>
  <r>
    <s v="ORD00773"/>
    <x v="1188"/>
    <s v="Yani Nugroho"/>
    <x v="15"/>
    <x v="3"/>
    <n v="14000"/>
    <n v="2"/>
    <n v="15"/>
    <n v="28000"/>
    <n v="4200"/>
    <n v="23800"/>
    <n v="17000"/>
    <n v="40800"/>
    <x v="3"/>
    <x v="2"/>
    <x v="4"/>
    <x v="3"/>
    <x v="0"/>
    <s v="Bagus"/>
    <x v="1"/>
    <s v="sangat rendah"/>
  </r>
  <r>
    <s v="ORD01318"/>
    <x v="1189"/>
    <s v="Zahra Pradipta"/>
    <x v="29"/>
    <x v="25"/>
    <n v="40000"/>
    <n v="1"/>
    <n v="15"/>
    <n v="40000"/>
    <n v="6000"/>
    <n v="34000"/>
    <n v="89000"/>
    <n v="123000"/>
    <x v="3"/>
    <x v="2"/>
    <x v="1"/>
    <x v="3"/>
    <x v="0"/>
    <s v="Bagus"/>
    <x v="0"/>
    <s v="rendah"/>
  </r>
  <r>
    <s v="ORD00061"/>
    <x v="1190"/>
    <s v="Fajar Fauziah"/>
    <x v="33"/>
    <x v="5"/>
    <n v="50000"/>
    <n v="2"/>
    <n v="10"/>
    <n v="100000"/>
    <n v="10000"/>
    <n v="90000"/>
    <n v="68000"/>
    <n v="158000"/>
    <x v="0"/>
    <x v="2"/>
    <x v="1"/>
    <x v="3"/>
    <x v="1"/>
    <s v="Bagus"/>
    <x v="0"/>
    <s v="rendah"/>
  </r>
  <r>
    <s v="ORD01376"/>
    <x v="1191"/>
    <s v="Zahra Santoso"/>
    <x v="29"/>
    <x v="4"/>
    <n v="6000"/>
    <n v="5"/>
    <n v="10"/>
    <n v="30000"/>
    <n v="3000"/>
    <n v="27000"/>
    <n v="89000"/>
    <n v="116000"/>
    <x v="0"/>
    <x v="4"/>
    <x v="2"/>
    <x v="4"/>
    <x v="0"/>
    <s v="Bagus"/>
    <x v="1"/>
    <s v="sangat rendah"/>
  </r>
  <r>
    <s v="ORD01606"/>
    <x v="1192"/>
    <s v="Yani Utami"/>
    <x v="8"/>
    <x v="13"/>
    <n v="17000"/>
    <n v="4"/>
    <n v="0"/>
    <n v="68000"/>
    <n v="0"/>
    <n v="68000"/>
    <n v="87000"/>
    <n v="155000"/>
    <x v="2"/>
    <x v="2"/>
    <x v="0"/>
    <x v="3"/>
    <x v="0"/>
    <s v="Bagus"/>
    <x v="1"/>
    <s v="sangat rendah"/>
  </r>
  <r>
    <s v="ORD01371"/>
    <x v="1193"/>
    <s v="Aulia Wijaya"/>
    <x v="17"/>
    <x v="10"/>
    <n v="45000"/>
    <n v="5"/>
    <n v="0"/>
    <n v="225000"/>
    <n v="0"/>
    <n v="225000"/>
    <n v="50000"/>
    <n v="275000"/>
    <x v="3"/>
    <x v="2"/>
    <x v="0"/>
    <x v="4"/>
    <x v="0"/>
    <s v="Bagus"/>
    <x v="1"/>
    <s v="sangat rendah"/>
  </r>
  <r>
    <s v="ORD01235"/>
    <x v="1194"/>
    <s v="Qori Setiawan"/>
    <x v="8"/>
    <x v="8"/>
    <n v="14000"/>
    <n v="2"/>
    <n v="15"/>
    <n v="28000"/>
    <n v="4200"/>
    <n v="23800"/>
    <n v="87000"/>
    <n v="110800"/>
    <x v="0"/>
    <x v="2"/>
    <x v="0"/>
    <x v="0"/>
    <x v="0"/>
    <s v="Standar"/>
    <x v="1"/>
    <s v="sangat rendah"/>
  </r>
  <r>
    <s v="ORD01240"/>
    <x v="1195"/>
    <s v="Aulia Puspita"/>
    <x v="25"/>
    <x v="12"/>
    <n v="25000"/>
    <n v="5"/>
    <n v="0"/>
    <n v="125000"/>
    <n v="0"/>
    <n v="125000"/>
    <n v="48000"/>
    <n v="173000"/>
    <x v="1"/>
    <x v="2"/>
    <x v="4"/>
    <x v="4"/>
    <x v="0"/>
    <s v="Bagus"/>
    <x v="1"/>
    <s v="sangat rendah"/>
  </r>
  <r>
    <s v="ORD01489"/>
    <x v="1196"/>
    <s v="Clara Hidayat"/>
    <x v="14"/>
    <x v="26"/>
    <n v="16000"/>
    <n v="3"/>
    <n v="20"/>
    <n v="48000"/>
    <n v="9600"/>
    <n v="38400"/>
    <n v="46000"/>
    <n v="84400"/>
    <x v="0"/>
    <x v="2"/>
    <x v="3"/>
    <x v="1"/>
    <x v="0"/>
    <s v="Rendah"/>
    <x v="0"/>
    <s v="rendah"/>
  </r>
  <r>
    <s v="ORD01238"/>
    <x v="1197"/>
    <s v="Hana Halim"/>
    <x v="13"/>
    <x v="11"/>
    <n v="30000"/>
    <n v="4"/>
    <n v="15"/>
    <n v="120000"/>
    <n v="18000"/>
    <n v="102000"/>
    <n v="87000"/>
    <n v="189000"/>
    <x v="3"/>
    <x v="2"/>
    <x v="4"/>
    <x v="4"/>
    <x v="0"/>
    <s v="Bagus"/>
    <x v="2"/>
    <s v="normal"/>
  </r>
  <r>
    <s v="ORD01567"/>
    <x v="1198"/>
    <s v="Kartika Saputra"/>
    <x v="0"/>
    <x v="2"/>
    <n v="5000"/>
    <n v="5"/>
    <n v="10"/>
    <n v="25000"/>
    <n v="2500"/>
    <n v="22500"/>
    <n v="67000"/>
    <n v="89500"/>
    <x v="0"/>
    <x v="2"/>
    <x v="1"/>
    <x v="3"/>
    <x v="0"/>
    <s v="Bagus"/>
    <x v="1"/>
    <s v="sangat rendah"/>
  </r>
  <r>
    <s v="ORD01077"/>
    <x v="1199"/>
    <s v="Erna Setiawan"/>
    <x v="22"/>
    <x v="14"/>
    <n v="18000"/>
    <n v="5"/>
    <n v="20"/>
    <n v="90000"/>
    <n v="18000"/>
    <n v="72000"/>
    <n v="80000"/>
    <n v="152000"/>
    <x v="3"/>
    <x v="2"/>
    <x v="1"/>
    <x v="0"/>
    <x v="0"/>
    <s v="Standar"/>
    <x v="2"/>
    <s v="normal"/>
  </r>
  <r>
    <s v="ORD01782"/>
    <x v="1200"/>
    <s v="Tono Fauziah"/>
    <x v="37"/>
    <x v="5"/>
    <n v="50000"/>
    <n v="5"/>
    <n v="10"/>
    <n v="250000"/>
    <n v="25000"/>
    <n v="225000"/>
    <n v="57000"/>
    <n v="282000"/>
    <x v="0"/>
    <x v="2"/>
    <x v="3"/>
    <x v="0"/>
    <x v="1"/>
    <s v="Standar"/>
    <x v="4"/>
    <s v="tinggi"/>
  </r>
  <r>
    <s v="ORD00124"/>
    <x v="1201"/>
    <s v="Ani Ananda"/>
    <x v="37"/>
    <x v="12"/>
    <n v="25000"/>
    <n v="3"/>
    <n v="5"/>
    <n v="75000"/>
    <n v="3750"/>
    <n v="71250"/>
    <n v="57000"/>
    <n v="128250"/>
    <x v="2"/>
    <x v="2"/>
    <x v="1"/>
    <x v="3"/>
    <x v="0"/>
    <s v="Bagus"/>
    <x v="1"/>
    <s v="sangat rendah"/>
  </r>
  <r>
    <s v="ORD01288"/>
    <x v="1202"/>
    <s v="Lestari Puspita"/>
    <x v="5"/>
    <x v="24"/>
    <n v="22000"/>
    <n v="3"/>
    <n v="15"/>
    <n v="66000"/>
    <n v="9900"/>
    <n v="56100"/>
    <n v="78000"/>
    <n v="134100"/>
    <x v="2"/>
    <x v="2"/>
    <x v="1"/>
    <x v="0"/>
    <x v="0"/>
    <s v="Standar"/>
    <x v="0"/>
    <s v="rendah"/>
  </r>
  <r>
    <s v="ORD00477"/>
    <x v="1203"/>
    <s v="Putri Wijaya"/>
    <x v="6"/>
    <x v="17"/>
    <n v="15000"/>
    <n v="3"/>
    <n v="15"/>
    <n v="45000"/>
    <n v="6750"/>
    <n v="38250"/>
    <n v="30000"/>
    <n v="68250"/>
    <x v="2"/>
    <x v="2"/>
    <x v="2"/>
    <x v="2"/>
    <x v="0"/>
    <s v="Rendah"/>
    <x v="0"/>
    <s v="rendah"/>
  </r>
  <r>
    <s v="ORD00479"/>
    <x v="1204"/>
    <s v="Erna Kurniawan"/>
    <x v="2"/>
    <x v="19"/>
    <n v="35000"/>
    <n v="4"/>
    <n v="20"/>
    <n v="140000"/>
    <n v="28000"/>
    <n v="112000"/>
    <n v="26000"/>
    <n v="138000"/>
    <x v="1"/>
    <x v="2"/>
    <x v="1"/>
    <x v="4"/>
    <x v="0"/>
    <s v="Bagus"/>
    <x v="4"/>
    <s v="tinggi"/>
  </r>
  <r>
    <s v="ORD00872"/>
    <x v="1205"/>
    <s v="Zahra Saputra"/>
    <x v="15"/>
    <x v="5"/>
    <n v="50000"/>
    <n v="5"/>
    <n v="10"/>
    <n v="250000"/>
    <n v="25000"/>
    <n v="225000"/>
    <n v="17000"/>
    <n v="242000"/>
    <x v="3"/>
    <x v="2"/>
    <x v="1"/>
    <x v="2"/>
    <x v="0"/>
    <s v="Rendah"/>
    <x v="4"/>
    <s v="tinggi"/>
  </r>
  <r>
    <s v="ORD00592"/>
    <x v="1206"/>
    <s v="Clara Santoso"/>
    <x v="0"/>
    <x v="25"/>
    <n v="40000"/>
    <n v="3"/>
    <n v="5"/>
    <n v="120000"/>
    <n v="6000"/>
    <n v="114000"/>
    <n v="67000"/>
    <n v="181000"/>
    <x v="1"/>
    <x v="2"/>
    <x v="1"/>
    <x v="0"/>
    <x v="0"/>
    <s v="Standar"/>
    <x v="0"/>
    <s v="rendah"/>
  </r>
  <r>
    <s v="ORD01127"/>
    <x v="1207"/>
    <s v="Lestari Ananda"/>
    <x v="35"/>
    <x v="8"/>
    <n v="14000"/>
    <n v="1"/>
    <n v="5"/>
    <n v="14000"/>
    <n v="700"/>
    <n v="13300"/>
    <n v="76000"/>
    <n v="89300"/>
    <x v="2"/>
    <x v="2"/>
    <x v="4"/>
    <x v="4"/>
    <x v="0"/>
    <s v="Bagus"/>
    <x v="1"/>
    <s v="sangat rendah"/>
  </r>
  <r>
    <s v="ORD01239"/>
    <x v="1208"/>
    <s v="Fitri Kurniawan"/>
    <x v="37"/>
    <x v="25"/>
    <n v="40000"/>
    <n v="2"/>
    <n v="15"/>
    <n v="80000"/>
    <n v="12000"/>
    <n v="68000"/>
    <n v="57000"/>
    <n v="125000"/>
    <x v="3"/>
    <x v="4"/>
    <x v="1"/>
    <x v="2"/>
    <x v="0"/>
    <s v="Rendah"/>
    <x v="2"/>
    <s v="normal"/>
  </r>
  <r>
    <s v="ORD00968"/>
    <x v="1209"/>
    <s v="Lestari Syahputra"/>
    <x v="27"/>
    <x v="14"/>
    <n v="18000"/>
    <n v="5"/>
    <n v="20"/>
    <n v="90000"/>
    <n v="18000"/>
    <n v="72000"/>
    <n v="18000"/>
    <n v="90000"/>
    <x v="3"/>
    <x v="2"/>
    <x v="4"/>
    <x v="0"/>
    <x v="0"/>
    <s v="Standar"/>
    <x v="2"/>
    <s v="normal"/>
  </r>
  <r>
    <s v="ORD01008"/>
    <x v="1210"/>
    <s v="Dewi Syahputra"/>
    <x v="3"/>
    <x v="17"/>
    <n v="15000"/>
    <n v="3"/>
    <n v="15"/>
    <n v="45000"/>
    <n v="6750"/>
    <n v="38250"/>
    <n v="18000"/>
    <n v="56250"/>
    <x v="1"/>
    <x v="4"/>
    <x v="0"/>
    <x v="0"/>
    <x v="0"/>
    <s v="Standar"/>
    <x v="0"/>
    <s v="rendah"/>
  </r>
  <r>
    <s v="ORD01363"/>
    <x v="1211"/>
    <s v="Lestari Ramadhani"/>
    <x v="27"/>
    <x v="15"/>
    <n v="4000"/>
    <n v="2"/>
    <n v="15"/>
    <n v="8000"/>
    <n v="1200"/>
    <n v="6800"/>
    <n v="18000"/>
    <n v="24800"/>
    <x v="2"/>
    <x v="2"/>
    <x v="4"/>
    <x v="2"/>
    <x v="0"/>
    <s v="Rendah"/>
    <x v="1"/>
    <s v="sangat rendah"/>
  </r>
  <r>
    <s v="ORD00204"/>
    <x v="1212"/>
    <s v="Hana Ramadhani"/>
    <x v="23"/>
    <x v="1"/>
    <n v="17000"/>
    <n v="2"/>
    <n v="15"/>
    <n v="34000"/>
    <n v="5100"/>
    <n v="28900"/>
    <n v="49000"/>
    <n v="77900"/>
    <x v="0"/>
    <x v="2"/>
    <x v="2"/>
    <x v="2"/>
    <x v="0"/>
    <s v="Rendah"/>
    <x v="0"/>
    <s v="rendah"/>
  </r>
  <r>
    <s v="ORD01569"/>
    <x v="1213"/>
    <s v="Bayu Ananda"/>
    <x v="24"/>
    <x v="13"/>
    <n v="17000"/>
    <n v="3"/>
    <n v="20"/>
    <n v="51000"/>
    <n v="10200"/>
    <n v="40800"/>
    <n v="93000"/>
    <n v="133800"/>
    <x v="0"/>
    <x v="2"/>
    <x v="4"/>
    <x v="2"/>
    <x v="1"/>
    <s v="Rendah"/>
    <x v="2"/>
    <s v="normal"/>
  </r>
  <r>
    <s v="ORD01516"/>
    <x v="1214"/>
    <s v="Clara Ramadhani"/>
    <x v="25"/>
    <x v="2"/>
    <n v="5000"/>
    <n v="3"/>
    <n v="0"/>
    <n v="15000"/>
    <n v="0"/>
    <n v="15000"/>
    <n v="48000"/>
    <n v="63000"/>
    <x v="3"/>
    <x v="2"/>
    <x v="2"/>
    <x v="4"/>
    <x v="0"/>
    <s v="Bagus"/>
    <x v="1"/>
    <s v="sangat rendah"/>
  </r>
  <r>
    <s v="ORD01053"/>
    <x v="1215"/>
    <s v="Clara Kusuma"/>
    <x v="30"/>
    <x v="14"/>
    <n v="18000"/>
    <n v="1"/>
    <n v="15"/>
    <n v="18000"/>
    <n v="2700"/>
    <n v="15300"/>
    <n v="97000"/>
    <n v="112300"/>
    <x v="1"/>
    <x v="4"/>
    <x v="0"/>
    <x v="3"/>
    <x v="0"/>
    <s v="Bagus"/>
    <x v="1"/>
    <s v="sangat rendah"/>
  </r>
  <r>
    <s v="ORD01673"/>
    <x v="1216"/>
    <s v="Rizky Fauziah"/>
    <x v="13"/>
    <x v="10"/>
    <n v="45000"/>
    <n v="1"/>
    <n v="10"/>
    <n v="45000"/>
    <n v="4500"/>
    <n v="40500"/>
    <n v="87000"/>
    <n v="127500"/>
    <x v="1"/>
    <x v="4"/>
    <x v="2"/>
    <x v="1"/>
    <x v="1"/>
    <s v="Rendah"/>
    <x v="1"/>
    <s v="sangat rendah"/>
  </r>
  <r>
    <s v="ORD01320"/>
    <x v="1217"/>
    <s v="Erna Setiawan"/>
    <x v="22"/>
    <x v="24"/>
    <n v="22000"/>
    <n v="3"/>
    <n v="5"/>
    <n v="66000"/>
    <n v="3300"/>
    <n v="62700"/>
    <n v="80000"/>
    <n v="142700"/>
    <x v="1"/>
    <x v="2"/>
    <x v="0"/>
    <x v="3"/>
    <x v="0"/>
    <s v="Bagus"/>
    <x v="1"/>
    <s v="sangat rendah"/>
  </r>
  <r>
    <s v="ORD00129"/>
    <x v="1218"/>
    <s v="Hana Kusuma"/>
    <x v="22"/>
    <x v="6"/>
    <n v="55000"/>
    <n v="3"/>
    <n v="0"/>
    <n v="165000"/>
    <n v="0"/>
    <n v="165000"/>
    <n v="80000"/>
    <n v="245000"/>
    <x v="1"/>
    <x v="2"/>
    <x v="2"/>
    <x v="4"/>
    <x v="0"/>
    <s v="Bagus"/>
    <x v="1"/>
    <s v="sangat rendah"/>
  </r>
  <r>
    <s v="ORD00480"/>
    <x v="1219"/>
    <s v="Eka Iskandar"/>
    <x v="12"/>
    <x v="11"/>
    <n v="30000"/>
    <n v="4"/>
    <n v="0"/>
    <n v="120000"/>
    <n v="0"/>
    <n v="120000"/>
    <n v="74000"/>
    <n v="194000"/>
    <x v="1"/>
    <x v="4"/>
    <x v="2"/>
    <x v="2"/>
    <x v="0"/>
    <s v="Rendah"/>
    <x v="1"/>
    <s v="sangat rendah"/>
  </r>
  <r>
    <s v="ORD00948"/>
    <x v="1220"/>
    <s v="Hana Nugroho"/>
    <x v="12"/>
    <x v="0"/>
    <n v="16000"/>
    <n v="2"/>
    <n v="20"/>
    <n v="32000"/>
    <n v="6400"/>
    <n v="25600"/>
    <n v="74000"/>
    <n v="99600"/>
    <x v="0"/>
    <x v="2"/>
    <x v="2"/>
    <x v="1"/>
    <x v="0"/>
    <s v="Rendah"/>
    <x v="0"/>
    <s v="rendah"/>
  </r>
  <r>
    <s v="ORD00185"/>
    <x v="1221"/>
    <s v="Zahra Halim"/>
    <x v="6"/>
    <x v="14"/>
    <n v="18000"/>
    <n v="4"/>
    <n v="10"/>
    <n v="72000"/>
    <n v="7200"/>
    <n v="64800"/>
    <n v="30000"/>
    <n v="94800"/>
    <x v="0"/>
    <x v="2"/>
    <x v="2"/>
    <x v="4"/>
    <x v="0"/>
    <s v="Bagus"/>
    <x v="0"/>
    <s v="rendah"/>
  </r>
  <r>
    <s v="ORD00531"/>
    <x v="1222"/>
    <s v="Erna Maulana"/>
    <x v="13"/>
    <x v="8"/>
    <n v="14000"/>
    <n v="3"/>
    <n v="10"/>
    <n v="42000"/>
    <n v="4200"/>
    <n v="37800"/>
    <n v="87000"/>
    <n v="124800"/>
    <x v="1"/>
    <x v="2"/>
    <x v="4"/>
    <x v="4"/>
    <x v="0"/>
    <s v="Bagus"/>
    <x v="1"/>
    <s v="sangat rendah"/>
  </r>
  <r>
    <s v="ORD00712"/>
    <x v="1223"/>
    <s v="Putri Hidayat"/>
    <x v="33"/>
    <x v="17"/>
    <n v="15000"/>
    <n v="5"/>
    <n v="5"/>
    <n v="75000"/>
    <n v="3750"/>
    <n v="71250"/>
    <n v="68000"/>
    <n v="139250"/>
    <x v="3"/>
    <x v="2"/>
    <x v="3"/>
    <x v="3"/>
    <x v="0"/>
    <s v="Bagus"/>
    <x v="1"/>
    <s v="sangat rendah"/>
  </r>
  <r>
    <s v="ORD01817"/>
    <x v="1224"/>
    <s v="Yani Wijaya"/>
    <x v="12"/>
    <x v="14"/>
    <n v="18000"/>
    <n v="5"/>
    <n v="0"/>
    <n v="90000"/>
    <n v="0"/>
    <n v="90000"/>
    <n v="74000"/>
    <n v="164000"/>
    <x v="0"/>
    <x v="2"/>
    <x v="2"/>
    <x v="2"/>
    <x v="0"/>
    <s v="Rendah"/>
    <x v="1"/>
    <s v="sangat rendah"/>
  </r>
  <r>
    <s v="ORD00749"/>
    <x v="1225"/>
    <s v="Dewi Utami"/>
    <x v="4"/>
    <x v="18"/>
    <n v="16000"/>
    <n v="1"/>
    <n v="0"/>
    <n v="16000"/>
    <n v="0"/>
    <n v="16000"/>
    <n v="0"/>
    <n v="16000"/>
    <x v="3"/>
    <x v="4"/>
    <x v="2"/>
    <x v="3"/>
    <x v="0"/>
    <s v="Bagus"/>
    <x v="1"/>
    <s v="sangat rendah"/>
  </r>
  <r>
    <s v="ORD00419"/>
    <x v="1226"/>
    <s v="Clara Iskandar"/>
    <x v="31"/>
    <x v="0"/>
    <n v="16000"/>
    <n v="4"/>
    <n v="0"/>
    <n v="64000"/>
    <n v="0"/>
    <n v="64000"/>
    <n v="0"/>
    <n v="64000"/>
    <x v="3"/>
    <x v="2"/>
    <x v="1"/>
    <x v="0"/>
    <x v="0"/>
    <s v="Standar"/>
    <x v="1"/>
    <s v="sangat rendah"/>
  </r>
  <r>
    <s v="ORD00419"/>
    <x v="1226"/>
    <s v="Clara Iskandar"/>
    <x v="31"/>
    <x v="10"/>
    <n v="45000"/>
    <n v="5"/>
    <n v="15"/>
    <n v="225000"/>
    <n v="33750"/>
    <n v="191250"/>
    <n v="18000"/>
    <n v="209250"/>
    <x v="3"/>
    <x v="2"/>
    <x v="1"/>
    <x v="0"/>
    <x v="0"/>
    <s v="Standar"/>
    <x v="4"/>
    <s v="tinggi"/>
  </r>
  <r>
    <s v="ORD00337"/>
    <x v="1227"/>
    <s v="Qori Hidayat"/>
    <x v="15"/>
    <x v="2"/>
    <n v="5000"/>
    <n v="3"/>
    <n v="10"/>
    <n v="15000"/>
    <n v="1500"/>
    <n v="13500"/>
    <n v="17000"/>
    <n v="30500"/>
    <x v="2"/>
    <x v="2"/>
    <x v="3"/>
    <x v="3"/>
    <x v="0"/>
    <s v="Bagus"/>
    <x v="1"/>
    <s v="sangat rendah"/>
  </r>
  <r>
    <s v="ORD00614"/>
    <x v="1228"/>
    <s v="Erna Setiawan"/>
    <x v="22"/>
    <x v="13"/>
    <n v="17000"/>
    <n v="2"/>
    <n v="0"/>
    <n v="34000"/>
    <n v="0"/>
    <n v="34000"/>
    <n v="80000"/>
    <n v="114000"/>
    <x v="3"/>
    <x v="2"/>
    <x v="2"/>
    <x v="3"/>
    <x v="0"/>
    <s v="Bagus"/>
    <x v="1"/>
    <s v="sangat rendah"/>
  </r>
  <r>
    <s v="ORD00187"/>
    <x v="1229"/>
    <s v="Qori Pradipta"/>
    <x v="2"/>
    <x v="4"/>
    <n v="6000"/>
    <n v="2"/>
    <n v="20"/>
    <n v="12000"/>
    <n v="2400"/>
    <n v="9600"/>
    <n v="26000"/>
    <n v="35600"/>
    <x v="3"/>
    <x v="2"/>
    <x v="1"/>
    <x v="2"/>
    <x v="0"/>
    <s v="Rendah"/>
    <x v="1"/>
    <s v="sangat rendah"/>
  </r>
  <r>
    <s v="ORD01729"/>
    <x v="1230"/>
    <s v="Qori Maulana"/>
    <x v="27"/>
    <x v="21"/>
    <n v="10000"/>
    <n v="3"/>
    <n v="5"/>
    <n v="30000"/>
    <n v="1500"/>
    <n v="28500"/>
    <n v="18000"/>
    <n v="46500"/>
    <x v="3"/>
    <x v="2"/>
    <x v="3"/>
    <x v="0"/>
    <x v="0"/>
    <s v="Standar"/>
    <x v="1"/>
    <s v="sangat rendah"/>
  </r>
  <r>
    <s v="ORD01681"/>
    <x v="1231"/>
    <s v="Bella Utami"/>
    <x v="33"/>
    <x v="5"/>
    <n v="50000"/>
    <n v="5"/>
    <n v="20"/>
    <n v="250000"/>
    <n v="50000"/>
    <n v="200000"/>
    <n v="68000"/>
    <n v="268000"/>
    <x v="2"/>
    <x v="2"/>
    <x v="0"/>
    <x v="0"/>
    <x v="0"/>
    <s v="Standar"/>
    <x v="3"/>
    <s v="sangat tinggi"/>
  </r>
  <r>
    <s v="ORD00102"/>
    <x v="1232"/>
    <s v="Aulia Saputra"/>
    <x v="1"/>
    <x v="18"/>
    <n v="16000"/>
    <n v="1"/>
    <n v="10"/>
    <n v="16000"/>
    <n v="1600"/>
    <n v="14400"/>
    <n v="0"/>
    <n v="14400"/>
    <x v="3"/>
    <x v="2"/>
    <x v="4"/>
    <x v="3"/>
    <x v="0"/>
    <s v="Bagus"/>
    <x v="1"/>
    <s v="sangat rendah"/>
  </r>
  <r>
    <s v="ORD00102"/>
    <x v="1232"/>
    <s v="Aulia Saputra"/>
    <x v="1"/>
    <x v="10"/>
    <n v="45000"/>
    <n v="4"/>
    <n v="15"/>
    <n v="180000"/>
    <n v="27000"/>
    <n v="153000"/>
    <n v="59000"/>
    <n v="212000"/>
    <x v="3"/>
    <x v="2"/>
    <x v="4"/>
    <x v="3"/>
    <x v="0"/>
    <s v="Bagus"/>
    <x v="4"/>
    <s v="tinggi"/>
  </r>
  <r>
    <s v="ORD00281"/>
    <x v="1233"/>
    <s v="Lestari Puspita"/>
    <x v="5"/>
    <x v="16"/>
    <n v="28000"/>
    <n v="2"/>
    <n v="15"/>
    <n v="56000"/>
    <n v="8400"/>
    <n v="47600"/>
    <n v="78000"/>
    <n v="125600"/>
    <x v="1"/>
    <x v="2"/>
    <x v="4"/>
    <x v="0"/>
    <x v="0"/>
    <s v="Standar"/>
    <x v="0"/>
    <s v="rendah"/>
  </r>
  <r>
    <s v="ORD00534"/>
    <x v="1234"/>
    <s v="Yani Syahputra"/>
    <x v="37"/>
    <x v="16"/>
    <n v="28000"/>
    <n v="2"/>
    <n v="20"/>
    <n v="56000"/>
    <n v="11200"/>
    <n v="44800"/>
    <n v="57000"/>
    <n v="101800"/>
    <x v="3"/>
    <x v="2"/>
    <x v="0"/>
    <x v="3"/>
    <x v="0"/>
    <s v="Bagus"/>
    <x v="2"/>
    <s v="normal"/>
  </r>
  <r>
    <s v="ORD00763"/>
    <x v="1235"/>
    <s v="Vina Kurniawan"/>
    <x v="5"/>
    <x v="16"/>
    <n v="28000"/>
    <n v="5"/>
    <n v="10"/>
    <n v="140000"/>
    <n v="14000"/>
    <n v="126000"/>
    <n v="78000"/>
    <n v="204000"/>
    <x v="2"/>
    <x v="2"/>
    <x v="4"/>
    <x v="4"/>
    <x v="0"/>
    <s v="Bagus"/>
    <x v="2"/>
    <s v="normal"/>
  </r>
  <r>
    <s v="ORD00523"/>
    <x v="1236"/>
    <s v="Aulia Utami"/>
    <x v="5"/>
    <x v="22"/>
    <n v="18000"/>
    <n v="4"/>
    <n v="20"/>
    <n v="72000"/>
    <n v="14400"/>
    <n v="57600"/>
    <n v="78000"/>
    <n v="135600"/>
    <x v="0"/>
    <x v="2"/>
    <x v="3"/>
    <x v="1"/>
    <x v="0"/>
    <s v="Rendah"/>
    <x v="2"/>
    <s v="normal"/>
  </r>
  <r>
    <s v="ORD01369"/>
    <x v="1237"/>
    <s v="Sari Pradipta"/>
    <x v="27"/>
    <x v="5"/>
    <n v="50000"/>
    <n v="3"/>
    <n v="20"/>
    <n v="150000"/>
    <n v="30000"/>
    <n v="120000"/>
    <n v="18000"/>
    <n v="138000"/>
    <x v="3"/>
    <x v="2"/>
    <x v="4"/>
    <x v="4"/>
    <x v="0"/>
    <s v="Bagus"/>
    <x v="4"/>
    <s v="tinggi"/>
  </r>
  <r>
    <s v="ORD01702"/>
    <x v="1238"/>
    <s v="Dina Wijaya"/>
    <x v="0"/>
    <x v="15"/>
    <n v="4000"/>
    <n v="2"/>
    <n v="5"/>
    <n v="8000"/>
    <n v="400"/>
    <n v="7600"/>
    <n v="67000"/>
    <n v="74600"/>
    <x v="0"/>
    <x v="4"/>
    <x v="0"/>
    <x v="1"/>
    <x v="0"/>
    <s v="Rendah"/>
    <x v="1"/>
    <s v="sangat rendah"/>
  </r>
  <r>
    <s v="ORD00931"/>
    <x v="1239"/>
    <s v="Bella Utami"/>
    <x v="33"/>
    <x v="21"/>
    <n v="10000"/>
    <n v="1"/>
    <n v="20"/>
    <n v="10000"/>
    <n v="2000"/>
    <n v="8000"/>
    <n v="68000"/>
    <n v="76000"/>
    <x v="1"/>
    <x v="2"/>
    <x v="4"/>
    <x v="4"/>
    <x v="0"/>
    <s v="Bagus"/>
    <x v="1"/>
    <s v="sangat rendah"/>
  </r>
  <r>
    <s v="ORD01461"/>
    <x v="1240"/>
    <s v="Dina Puspita"/>
    <x v="4"/>
    <x v="26"/>
    <n v="16000"/>
    <n v="4"/>
    <n v="5"/>
    <n v="64000"/>
    <n v="3200"/>
    <n v="60800"/>
    <n v="0"/>
    <n v="60800"/>
    <x v="3"/>
    <x v="2"/>
    <x v="4"/>
    <x v="4"/>
    <x v="0"/>
    <s v="Bagus"/>
    <x v="1"/>
    <s v="sangat rendah"/>
  </r>
  <r>
    <s v="ORD01062"/>
    <x v="1241"/>
    <s v="Indra Setiawan"/>
    <x v="11"/>
    <x v="4"/>
    <n v="6000"/>
    <n v="1"/>
    <n v="20"/>
    <n v="6000"/>
    <n v="1200"/>
    <n v="4800"/>
    <n v="56000"/>
    <n v="60800"/>
    <x v="3"/>
    <x v="4"/>
    <x v="0"/>
    <x v="3"/>
    <x v="1"/>
    <s v="Bagus"/>
    <x v="1"/>
    <s v="sangat rendah"/>
  </r>
  <r>
    <s v="ORD00812"/>
    <x v="1242"/>
    <s v="Lestari Pradipta"/>
    <x v="11"/>
    <x v="21"/>
    <n v="10000"/>
    <n v="4"/>
    <n v="15"/>
    <n v="40000"/>
    <n v="6000"/>
    <n v="34000"/>
    <n v="56000"/>
    <n v="90000"/>
    <x v="0"/>
    <x v="2"/>
    <x v="4"/>
    <x v="1"/>
    <x v="0"/>
    <s v="Rendah"/>
    <x v="0"/>
    <s v="rendah"/>
  </r>
  <r>
    <s v="ORD00026"/>
    <x v="1243"/>
    <s v="Oka Kurniawan"/>
    <x v="13"/>
    <x v="17"/>
    <n v="15000"/>
    <n v="1"/>
    <n v="0"/>
    <n v="15000"/>
    <n v="0"/>
    <n v="15000"/>
    <n v="87000"/>
    <n v="102000"/>
    <x v="1"/>
    <x v="2"/>
    <x v="1"/>
    <x v="3"/>
    <x v="1"/>
    <s v="Bagus"/>
    <x v="1"/>
    <s v="sangat rendah"/>
  </r>
  <r>
    <s v="ORD01292"/>
    <x v="1244"/>
    <s v="Aulia Syahputra"/>
    <x v="28"/>
    <x v="21"/>
    <n v="10000"/>
    <n v="4"/>
    <n v="15"/>
    <n v="40000"/>
    <n v="6000"/>
    <n v="34000"/>
    <n v="79000"/>
    <n v="113000"/>
    <x v="2"/>
    <x v="2"/>
    <x v="1"/>
    <x v="1"/>
    <x v="0"/>
    <s v="Rendah"/>
    <x v="0"/>
    <s v="rendah"/>
  </r>
  <r>
    <s v="ORD00256"/>
    <x v="1245"/>
    <s v="Zahra Santoso"/>
    <x v="29"/>
    <x v="4"/>
    <n v="6000"/>
    <n v="5"/>
    <n v="20"/>
    <n v="30000"/>
    <n v="6000"/>
    <n v="24000"/>
    <n v="89000"/>
    <n v="113000"/>
    <x v="0"/>
    <x v="2"/>
    <x v="1"/>
    <x v="4"/>
    <x v="0"/>
    <s v="Bagus"/>
    <x v="0"/>
    <s v="rendah"/>
  </r>
  <r>
    <s v="ORD01342"/>
    <x v="1246"/>
    <s v="Fitri Halim"/>
    <x v="22"/>
    <x v="16"/>
    <n v="28000"/>
    <n v="1"/>
    <n v="5"/>
    <n v="28000"/>
    <n v="1400"/>
    <n v="26600"/>
    <n v="80000"/>
    <n v="106600"/>
    <x v="0"/>
    <x v="2"/>
    <x v="3"/>
    <x v="1"/>
    <x v="0"/>
    <s v="Rendah"/>
    <x v="1"/>
    <s v="sangat rendah"/>
  </r>
  <r>
    <s v="ORD00050"/>
    <x v="1247"/>
    <s v="Fajar Kurniawan"/>
    <x v="24"/>
    <x v="14"/>
    <n v="18000"/>
    <n v="1"/>
    <n v="20"/>
    <n v="18000"/>
    <n v="3600"/>
    <n v="14400"/>
    <n v="93000"/>
    <n v="107400"/>
    <x v="1"/>
    <x v="3"/>
    <x v="4"/>
    <x v="0"/>
    <x v="1"/>
    <s v="Standar"/>
    <x v="1"/>
    <s v="sangat rendah"/>
  </r>
  <r>
    <s v="ORD01500"/>
    <x v="1248"/>
    <s v="Dewi Pradipta"/>
    <x v="20"/>
    <x v="10"/>
    <n v="45000"/>
    <n v="3"/>
    <n v="10"/>
    <n v="135000"/>
    <n v="13500"/>
    <n v="121500"/>
    <n v="85000"/>
    <n v="206500"/>
    <x v="0"/>
    <x v="2"/>
    <x v="1"/>
    <x v="1"/>
    <x v="0"/>
    <s v="Rendah"/>
    <x v="2"/>
    <s v="normal"/>
  </r>
  <r>
    <s v="ORD01424"/>
    <x v="1249"/>
    <s v="Hana Setiawan"/>
    <x v="11"/>
    <x v="24"/>
    <n v="22000"/>
    <n v="4"/>
    <n v="15"/>
    <n v="88000"/>
    <n v="13200"/>
    <n v="74800"/>
    <n v="56000"/>
    <n v="130800"/>
    <x v="2"/>
    <x v="2"/>
    <x v="0"/>
    <x v="3"/>
    <x v="0"/>
    <s v="Bagus"/>
    <x v="2"/>
    <s v="normal"/>
  </r>
  <r>
    <s v="ORD01850"/>
    <x v="1250"/>
    <s v="Wahyu Fauziah"/>
    <x v="28"/>
    <x v="16"/>
    <n v="28000"/>
    <n v="2"/>
    <n v="20"/>
    <n v="56000"/>
    <n v="11200"/>
    <n v="44800"/>
    <n v="79000"/>
    <n v="123800"/>
    <x v="2"/>
    <x v="4"/>
    <x v="0"/>
    <x v="0"/>
    <x v="1"/>
    <s v="Standar"/>
    <x v="2"/>
    <s v="normal"/>
  </r>
  <r>
    <s v="ORD00006"/>
    <x v="1251"/>
    <s v="Eko Iskandar"/>
    <x v="11"/>
    <x v="5"/>
    <n v="50000"/>
    <n v="2"/>
    <n v="10"/>
    <n v="100000"/>
    <n v="10000"/>
    <n v="90000"/>
    <n v="56000"/>
    <n v="146000"/>
    <x v="3"/>
    <x v="2"/>
    <x v="3"/>
    <x v="4"/>
    <x v="1"/>
    <s v="Bagus"/>
    <x v="0"/>
    <s v="rendah"/>
  </r>
  <r>
    <s v="ORD00170"/>
    <x v="1252"/>
    <s v="Ani Fauziah"/>
    <x v="30"/>
    <x v="11"/>
    <n v="30000"/>
    <n v="3"/>
    <n v="5"/>
    <n v="90000"/>
    <n v="4500"/>
    <n v="85500"/>
    <n v="97000"/>
    <n v="182500"/>
    <x v="3"/>
    <x v="2"/>
    <x v="1"/>
    <x v="4"/>
    <x v="0"/>
    <s v="Bagus"/>
    <x v="1"/>
    <s v="sangat rendah"/>
  </r>
  <r>
    <s v="ORD00170"/>
    <x v="1252"/>
    <s v="Ani Fauziah"/>
    <x v="30"/>
    <x v="15"/>
    <n v="4000"/>
    <n v="2"/>
    <n v="15"/>
    <n v="8000"/>
    <n v="1200"/>
    <n v="6800"/>
    <n v="0"/>
    <n v="6800"/>
    <x v="3"/>
    <x v="2"/>
    <x v="1"/>
    <x v="4"/>
    <x v="0"/>
    <s v="Bagus"/>
    <x v="1"/>
    <s v="sangat rendah"/>
  </r>
  <r>
    <s v="ORD00658"/>
    <x v="1253"/>
    <s v="Lestari Utami"/>
    <x v="24"/>
    <x v="9"/>
    <n v="35000"/>
    <n v="3"/>
    <n v="10"/>
    <n v="105000"/>
    <n v="10500"/>
    <n v="94500"/>
    <n v="93000"/>
    <n v="187500"/>
    <x v="3"/>
    <x v="2"/>
    <x v="1"/>
    <x v="3"/>
    <x v="0"/>
    <s v="Bagus"/>
    <x v="2"/>
    <s v="normal"/>
  </r>
  <r>
    <s v="ORD00925"/>
    <x v="1254"/>
    <s v="Dina Kusuma"/>
    <x v="25"/>
    <x v="12"/>
    <n v="25000"/>
    <n v="3"/>
    <n v="0"/>
    <n v="75000"/>
    <n v="0"/>
    <n v="75000"/>
    <n v="48000"/>
    <n v="123000"/>
    <x v="0"/>
    <x v="2"/>
    <x v="1"/>
    <x v="3"/>
    <x v="0"/>
    <s v="Bagus"/>
    <x v="1"/>
    <s v="sangat rendah"/>
  </r>
  <r>
    <s v="ORD00830"/>
    <x v="1255"/>
    <s v="Yani Wijaya"/>
    <x v="12"/>
    <x v="8"/>
    <n v="14000"/>
    <n v="5"/>
    <n v="5"/>
    <n v="70000"/>
    <n v="3500"/>
    <n v="66500"/>
    <n v="74000"/>
    <n v="140500"/>
    <x v="0"/>
    <x v="2"/>
    <x v="2"/>
    <x v="1"/>
    <x v="0"/>
    <s v="Rendah"/>
    <x v="1"/>
    <s v="sangat rendah"/>
  </r>
  <r>
    <s v="ORD00371"/>
    <x v="1256"/>
    <s v="Fitri Setiawan"/>
    <x v="23"/>
    <x v="26"/>
    <n v="16000"/>
    <n v="3"/>
    <n v="0"/>
    <n v="48000"/>
    <n v="0"/>
    <n v="48000"/>
    <n v="49000"/>
    <n v="97000"/>
    <x v="1"/>
    <x v="2"/>
    <x v="3"/>
    <x v="0"/>
    <x v="0"/>
    <s v="Standar"/>
    <x v="1"/>
    <s v="sangat rendah"/>
  </r>
  <r>
    <s v="ORD00226"/>
    <x v="1257"/>
    <s v="Aulia Pradipta"/>
    <x v="5"/>
    <x v="20"/>
    <n v="40000"/>
    <n v="1"/>
    <n v="0"/>
    <n v="40000"/>
    <n v="0"/>
    <n v="40000"/>
    <n v="78000"/>
    <n v="118000"/>
    <x v="1"/>
    <x v="2"/>
    <x v="4"/>
    <x v="4"/>
    <x v="0"/>
    <s v="Bagus"/>
    <x v="1"/>
    <s v="sangat rendah"/>
  </r>
  <r>
    <s v="ORD00980"/>
    <x v="1258"/>
    <s v="Hana Puspita"/>
    <x v="31"/>
    <x v="16"/>
    <n v="28000"/>
    <n v="3"/>
    <n v="0"/>
    <n v="84000"/>
    <n v="0"/>
    <n v="84000"/>
    <n v="18000"/>
    <n v="102000"/>
    <x v="0"/>
    <x v="2"/>
    <x v="0"/>
    <x v="2"/>
    <x v="0"/>
    <s v="Rendah"/>
    <x v="1"/>
    <s v="sangat rendah"/>
  </r>
  <r>
    <s v="ORD00623"/>
    <x v="1259"/>
    <s v="Umar Setiawan"/>
    <x v="21"/>
    <x v="16"/>
    <n v="28000"/>
    <n v="2"/>
    <n v="20"/>
    <n v="56000"/>
    <n v="11200"/>
    <n v="44800"/>
    <n v="72000"/>
    <n v="116800"/>
    <x v="3"/>
    <x v="2"/>
    <x v="4"/>
    <x v="1"/>
    <x v="1"/>
    <s v="Rendah"/>
    <x v="2"/>
    <s v="normal"/>
  </r>
  <r>
    <s v="ORD00410"/>
    <x v="1260"/>
    <s v="Lestari Wijaya"/>
    <x v="4"/>
    <x v="2"/>
    <n v="5000"/>
    <n v="4"/>
    <n v="5"/>
    <n v="20000"/>
    <n v="1000"/>
    <n v="19000"/>
    <n v="0"/>
    <n v="19000"/>
    <x v="2"/>
    <x v="2"/>
    <x v="3"/>
    <x v="0"/>
    <x v="0"/>
    <s v="Standar"/>
    <x v="1"/>
    <s v="sangat rendah"/>
  </r>
  <r>
    <s v="ORD01234"/>
    <x v="1261"/>
    <s v="Fitri Iskandar"/>
    <x v="1"/>
    <x v="26"/>
    <n v="16000"/>
    <n v="4"/>
    <n v="0"/>
    <n v="64000"/>
    <n v="0"/>
    <n v="64000"/>
    <n v="59000"/>
    <n v="123000"/>
    <x v="1"/>
    <x v="2"/>
    <x v="0"/>
    <x v="1"/>
    <x v="0"/>
    <s v="Rendah"/>
    <x v="1"/>
    <s v="sangat rendah"/>
  </r>
  <r>
    <s v="ORD01715"/>
    <x v="1262"/>
    <s v="Aulia Iskandar"/>
    <x v="12"/>
    <x v="6"/>
    <n v="55000"/>
    <n v="5"/>
    <n v="20"/>
    <n v="275000"/>
    <n v="55000"/>
    <n v="220000"/>
    <n v="74000"/>
    <n v="294000"/>
    <x v="1"/>
    <x v="2"/>
    <x v="0"/>
    <x v="3"/>
    <x v="0"/>
    <s v="Bagus"/>
    <x v="5"/>
    <s v="mbuh"/>
  </r>
  <r>
    <s v="ORD00173"/>
    <x v="1263"/>
    <s v="Bella Santoso"/>
    <x v="2"/>
    <x v="7"/>
    <n v="12000"/>
    <n v="4"/>
    <n v="0"/>
    <n v="48000"/>
    <n v="0"/>
    <n v="48000"/>
    <n v="26000"/>
    <n v="74000"/>
    <x v="0"/>
    <x v="2"/>
    <x v="2"/>
    <x v="1"/>
    <x v="0"/>
    <s v="Rendah"/>
    <x v="1"/>
    <s v="sangat rendah"/>
  </r>
  <r>
    <s v="ORD00005"/>
    <x v="1264"/>
    <s v="Iwan Budiman"/>
    <x v="35"/>
    <x v="20"/>
    <n v="40000"/>
    <n v="5"/>
    <n v="10"/>
    <n v="200000"/>
    <n v="20000"/>
    <n v="180000"/>
    <n v="76000"/>
    <n v="256000"/>
    <x v="2"/>
    <x v="3"/>
    <x v="4"/>
    <x v="4"/>
    <x v="1"/>
    <s v="Bagus"/>
    <x v="2"/>
    <s v="normal"/>
  </r>
  <r>
    <s v="ORD00199"/>
    <x v="1265"/>
    <s v="Erna Fauziah"/>
    <x v="11"/>
    <x v="12"/>
    <n v="25000"/>
    <n v="3"/>
    <n v="0"/>
    <n v="75000"/>
    <n v="0"/>
    <n v="75000"/>
    <n v="56000"/>
    <n v="131000"/>
    <x v="0"/>
    <x v="2"/>
    <x v="3"/>
    <x v="0"/>
    <x v="0"/>
    <s v="Standar"/>
    <x v="1"/>
    <s v="sangat rendah"/>
  </r>
  <r>
    <s v="ORD01518"/>
    <x v="1266"/>
    <s v="Joko Ananda"/>
    <x v="10"/>
    <x v="26"/>
    <n v="16000"/>
    <n v="5"/>
    <n v="0"/>
    <n v="80000"/>
    <n v="0"/>
    <n v="80000"/>
    <n v="84000"/>
    <n v="164000"/>
    <x v="2"/>
    <x v="2"/>
    <x v="3"/>
    <x v="0"/>
    <x v="1"/>
    <s v="Standar"/>
    <x v="1"/>
    <s v="sangat rendah"/>
  </r>
  <r>
    <s v="ORD00599"/>
    <x v="1267"/>
    <s v="Dimas Puspita"/>
    <x v="31"/>
    <x v="14"/>
    <n v="18000"/>
    <n v="4"/>
    <n v="10"/>
    <n v="72000"/>
    <n v="7200"/>
    <n v="64800"/>
    <n v="18000"/>
    <n v="82800"/>
    <x v="0"/>
    <x v="2"/>
    <x v="3"/>
    <x v="0"/>
    <x v="1"/>
    <s v="Standar"/>
    <x v="0"/>
    <s v="rendah"/>
  </r>
  <r>
    <s v="ORD01805"/>
    <x v="1268"/>
    <s v="Clara Ananda"/>
    <x v="4"/>
    <x v="4"/>
    <n v="6000"/>
    <n v="2"/>
    <n v="0"/>
    <n v="12000"/>
    <n v="0"/>
    <n v="12000"/>
    <n v="0"/>
    <n v="12000"/>
    <x v="1"/>
    <x v="2"/>
    <x v="3"/>
    <x v="4"/>
    <x v="0"/>
    <s v="Bagus"/>
    <x v="1"/>
    <s v="sangat rendah"/>
  </r>
  <r>
    <s v="ORD00569"/>
    <x v="1269"/>
    <s v="Tono Hidayat"/>
    <x v="31"/>
    <x v="11"/>
    <n v="30000"/>
    <n v="5"/>
    <n v="5"/>
    <n v="150000"/>
    <n v="7500"/>
    <n v="142500"/>
    <n v="18000"/>
    <n v="160500"/>
    <x v="0"/>
    <x v="3"/>
    <x v="4"/>
    <x v="3"/>
    <x v="1"/>
    <s v="Bagus"/>
    <x v="0"/>
    <s v="rendah"/>
  </r>
  <r>
    <s v="ORD00207"/>
    <x v="1270"/>
    <s v="Yani Rahmawati"/>
    <x v="36"/>
    <x v="1"/>
    <n v="17000"/>
    <n v="4"/>
    <n v="20"/>
    <n v="68000"/>
    <n v="13600"/>
    <n v="54400"/>
    <n v="49000"/>
    <n v="103400"/>
    <x v="0"/>
    <x v="2"/>
    <x v="0"/>
    <x v="2"/>
    <x v="0"/>
    <s v="Rendah"/>
    <x v="2"/>
    <s v="normal"/>
  </r>
  <r>
    <s v="ORD00207"/>
    <x v="1270"/>
    <s v="Yani Rahmawati"/>
    <x v="36"/>
    <x v="21"/>
    <n v="10000"/>
    <n v="4"/>
    <n v="10"/>
    <n v="40000"/>
    <n v="4000"/>
    <n v="36000"/>
    <n v="0"/>
    <n v="36000"/>
    <x v="0"/>
    <x v="2"/>
    <x v="0"/>
    <x v="2"/>
    <x v="0"/>
    <s v="Rendah"/>
    <x v="1"/>
    <s v="sangat rendah"/>
  </r>
  <r>
    <s v="ORD00148"/>
    <x v="1271"/>
    <s v="Ani Budiman"/>
    <x v="21"/>
    <x v="11"/>
    <n v="30000"/>
    <n v="2"/>
    <n v="10"/>
    <n v="60000"/>
    <n v="6000"/>
    <n v="54000"/>
    <n v="72000"/>
    <n v="126000"/>
    <x v="2"/>
    <x v="3"/>
    <x v="1"/>
    <x v="4"/>
    <x v="0"/>
    <s v="Bagus"/>
    <x v="0"/>
    <s v="rendah"/>
  </r>
  <r>
    <s v="ORD01451"/>
    <x v="1272"/>
    <s v="Kartika Nugroho"/>
    <x v="18"/>
    <x v="9"/>
    <n v="35000"/>
    <n v="3"/>
    <n v="5"/>
    <n v="105000"/>
    <n v="5250"/>
    <n v="99750"/>
    <n v="43000"/>
    <n v="142750"/>
    <x v="3"/>
    <x v="4"/>
    <x v="3"/>
    <x v="0"/>
    <x v="0"/>
    <s v="Standar"/>
    <x v="0"/>
    <s v="rendah"/>
  </r>
  <r>
    <s v="ORD01639"/>
    <x v="1273"/>
    <s v="Joko Maulana"/>
    <x v="36"/>
    <x v="21"/>
    <n v="10000"/>
    <n v="3"/>
    <n v="15"/>
    <n v="30000"/>
    <n v="4500"/>
    <n v="25500"/>
    <n v="49000"/>
    <n v="74500"/>
    <x v="2"/>
    <x v="2"/>
    <x v="1"/>
    <x v="0"/>
    <x v="1"/>
    <s v="Standar"/>
    <x v="1"/>
    <s v="sangat rendah"/>
  </r>
  <r>
    <s v="ORD01251"/>
    <x v="1274"/>
    <s v="Lestari Syahputra"/>
    <x v="27"/>
    <x v="12"/>
    <n v="25000"/>
    <n v="4"/>
    <n v="0"/>
    <n v="100000"/>
    <n v="0"/>
    <n v="100000"/>
    <n v="18000"/>
    <n v="118000"/>
    <x v="0"/>
    <x v="4"/>
    <x v="3"/>
    <x v="4"/>
    <x v="0"/>
    <s v="Bagus"/>
    <x v="1"/>
    <s v="sangat rendah"/>
  </r>
  <r>
    <s v="ORD00035"/>
    <x v="1275"/>
    <s v="Tono Hidayat"/>
    <x v="31"/>
    <x v="19"/>
    <n v="35000"/>
    <n v="2"/>
    <n v="5"/>
    <n v="70000"/>
    <n v="3500"/>
    <n v="66500"/>
    <n v="18000"/>
    <n v="84500"/>
    <x v="1"/>
    <x v="4"/>
    <x v="3"/>
    <x v="1"/>
    <x v="1"/>
    <s v="Rendah"/>
    <x v="1"/>
    <s v="sangat rendah"/>
  </r>
  <r>
    <s v="ORD01848"/>
    <x v="1276"/>
    <s v="Dewi Hidayat"/>
    <x v="3"/>
    <x v="15"/>
    <n v="4000"/>
    <n v="3"/>
    <n v="10"/>
    <n v="12000"/>
    <n v="1200"/>
    <n v="10800"/>
    <n v="18000"/>
    <n v="28800"/>
    <x v="3"/>
    <x v="3"/>
    <x v="2"/>
    <x v="1"/>
    <x v="0"/>
    <s v="Rendah"/>
    <x v="1"/>
    <s v="sangat rendah"/>
  </r>
  <r>
    <s v="ORD00977"/>
    <x v="1277"/>
    <s v="Wahyu Santoso"/>
    <x v="31"/>
    <x v="20"/>
    <n v="40000"/>
    <n v="2"/>
    <n v="5"/>
    <n v="80000"/>
    <n v="4000"/>
    <n v="76000"/>
    <n v="18000"/>
    <n v="94000"/>
    <x v="1"/>
    <x v="3"/>
    <x v="0"/>
    <x v="3"/>
    <x v="1"/>
    <s v="Bagus"/>
    <x v="1"/>
    <s v="sangat rendah"/>
  </r>
  <r>
    <s v="ORD00641"/>
    <x v="1278"/>
    <s v="Sari Wijaya"/>
    <x v="18"/>
    <x v="11"/>
    <n v="30000"/>
    <n v="3"/>
    <n v="10"/>
    <n v="90000"/>
    <n v="9000"/>
    <n v="81000"/>
    <n v="43000"/>
    <n v="124000"/>
    <x v="1"/>
    <x v="2"/>
    <x v="3"/>
    <x v="1"/>
    <x v="0"/>
    <s v="Rendah"/>
    <x v="0"/>
    <s v="rendah"/>
  </r>
  <r>
    <s v="ORD00421"/>
    <x v="1279"/>
    <s v="Bella Maulana"/>
    <x v="23"/>
    <x v="25"/>
    <n v="40000"/>
    <n v="1"/>
    <n v="10"/>
    <n v="40000"/>
    <n v="4000"/>
    <n v="36000"/>
    <n v="49000"/>
    <n v="85000"/>
    <x v="2"/>
    <x v="4"/>
    <x v="0"/>
    <x v="2"/>
    <x v="0"/>
    <s v="Rendah"/>
    <x v="1"/>
    <s v="sangat rendah"/>
  </r>
  <r>
    <s v="ORD01066"/>
    <x v="1280"/>
    <s v="Putri Iskandar"/>
    <x v="25"/>
    <x v="15"/>
    <n v="4000"/>
    <n v="3"/>
    <n v="20"/>
    <n v="12000"/>
    <n v="2400"/>
    <n v="9600"/>
    <n v="48000"/>
    <n v="57600"/>
    <x v="3"/>
    <x v="2"/>
    <x v="1"/>
    <x v="0"/>
    <x v="0"/>
    <s v="Standar"/>
    <x v="1"/>
    <s v="sangat rendah"/>
  </r>
  <r>
    <s v="ORD01182"/>
    <x v="1281"/>
    <s v="Zahra Ananda"/>
    <x v="4"/>
    <x v="21"/>
    <n v="10000"/>
    <n v="4"/>
    <n v="15"/>
    <n v="40000"/>
    <n v="6000"/>
    <n v="34000"/>
    <n v="0"/>
    <n v="34000"/>
    <x v="3"/>
    <x v="2"/>
    <x v="4"/>
    <x v="0"/>
    <x v="0"/>
    <s v="Standar"/>
    <x v="0"/>
    <s v="rendah"/>
  </r>
  <r>
    <s v="ORD00362"/>
    <x v="1282"/>
    <s v="Dewi Hidayat"/>
    <x v="3"/>
    <x v="16"/>
    <n v="28000"/>
    <n v="5"/>
    <n v="10"/>
    <n v="140000"/>
    <n v="14000"/>
    <n v="126000"/>
    <n v="18000"/>
    <n v="144000"/>
    <x v="2"/>
    <x v="2"/>
    <x v="2"/>
    <x v="2"/>
    <x v="0"/>
    <s v="Rendah"/>
    <x v="2"/>
    <s v="normal"/>
  </r>
  <r>
    <s v="ORD00362"/>
    <x v="1282"/>
    <s v="Dewi Hidayat"/>
    <x v="3"/>
    <x v="7"/>
    <n v="12000"/>
    <n v="3"/>
    <n v="5"/>
    <n v="36000"/>
    <n v="1800"/>
    <n v="34200"/>
    <n v="0"/>
    <n v="34200"/>
    <x v="2"/>
    <x v="2"/>
    <x v="2"/>
    <x v="2"/>
    <x v="0"/>
    <s v="Rendah"/>
    <x v="1"/>
    <s v="sangat rendah"/>
  </r>
  <r>
    <s v="ORD00546"/>
    <x v="1283"/>
    <s v="Zahra Kusuma"/>
    <x v="2"/>
    <x v="1"/>
    <n v="17000"/>
    <n v="4"/>
    <n v="5"/>
    <n v="68000"/>
    <n v="3400"/>
    <n v="64600"/>
    <n v="26000"/>
    <n v="90600"/>
    <x v="1"/>
    <x v="4"/>
    <x v="4"/>
    <x v="0"/>
    <x v="0"/>
    <s v="Standar"/>
    <x v="1"/>
    <s v="sangat rendah"/>
  </r>
  <r>
    <s v="ORD01291"/>
    <x v="1284"/>
    <s v="Sari Syahputra"/>
    <x v="32"/>
    <x v="10"/>
    <n v="45000"/>
    <n v="1"/>
    <n v="5"/>
    <n v="45000"/>
    <n v="2250"/>
    <n v="42750"/>
    <n v="59000"/>
    <n v="101750"/>
    <x v="0"/>
    <x v="4"/>
    <x v="3"/>
    <x v="3"/>
    <x v="0"/>
    <s v="Bagus"/>
    <x v="1"/>
    <s v="sangat rendah"/>
  </r>
  <r>
    <s v="ORD00395"/>
    <x v="1285"/>
    <s v="Yani Wijaya"/>
    <x v="12"/>
    <x v="3"/>
    <n v="14000"/>
    <n v="3"/>
    <n v="10"/>
    <n v="42000"/>
    <n v="4200"/>
    <n v="37800"/>
    <n v="0"/>
    <n v="37800"/>
    <x v="2"/>
    <x v="2"/>
    <x v="0"/>
    <x v="2"/>
    <x v="0"/>
    <s v="Rendah"/>
    <x v="1"/>
    <s v="sangat rendah"/>
  </r>
  <r>
    <s v="ORD00395"/>
    <x v="1285"/>
    <s v="Yani Wijaya"/>
    <x v="12"/>
    <x v="9"/>
    <n v="35000"/>
    <n v="4"/>
    <n v="15"/>
    <n v="140000"/>
    <n v="21000"/>
    <n v="119000"/>
    <n v="74000"/>
    <n v="193000"/>
    <x v="2"/>
    <x v="2"/>
    <x v="0"/>
    <x v="2"/>
    <x v="0"/>
    <s v="Rendah"/>
    <x v="4"/>
    <s v="tinggi"/>
  </r>
  <r>
    <s v="ORD00169"/>
    <x v="1286"/>
    <s v="Dewi Maulana"/>
    <x v="11"/>
    <x v="22"/>
    <n v="18000"/>
    <n v="3"/>
    <n v="10"/>
    <n v="54000"/>
    <n v="5400"/>
    <n v="48600"/>
    <n v="56000"/>
    <n v="104600"/>
    <x v="3"/>
    <x v="2"/>
    <x v="0"/>
    <x v="0"/>
    <x v="0"/>
    <s v="Standar"/>
    <x v="0"/>
    <s v="rendah"/>
  </r>
  <r>
    <s v="ORD01675"/>
    <x v="1287"/>
    <s v="Ani Fauziah"/>
    <x v="30"/>
    <x v="8"/>
    <n v="14000"/>
    <n v="2"/>
    <n v="0"/>
    <n v="28000"/>
    <n v="0"/>
    <n v="28000"/>
    <n v="97000"/>
    <n v="125000"/>
    <x v="1"/>
    <x v="2"/>
    <x v="1"/>
    <x v="4"/>
    <x v="0"/>
    <s v="Bagus"/>
    <x v="1"/>
    <s v="sangat rendah"/>
  </r>
  <r>
    <s v="ORD01821"/>
    <x v="1288"/>
    <s v="Hana Nugroho"/>
    <x v="12"/>
    <x v="7"/>
    <n v="12000"/>
    <n v="2"/>
    <n v="10"/>
    <n v="24000"/>
    <n v="2400"/>
    <n v="21600"/>
    <n v="74000"/>
    <n v="95600"/>
    <x v="2"/>
    <x v="2"/>
    <x v="1"/>
    <x v="2"/>
    <x v="0"/>
    <s v="Rendah"/>
    <x v="1"/>
    <s v="sangat rendah"/>
  </r>
  <r>
    <s v="ORD01133"/>
    <x v="1289"/>
    <s v="Ani Fauziah"/>
    <x v="30"/>
    <x v="24"/>
    <n v="22000"/>
    <n v="5"/>
    <n v="20"/>
    <n v="110000"/>
    <n v="22000"/>
    <n v="88000"/>
    <n v="97000"/>
    <n v="185000"/>
    <x v="3"/>
    <x v="2"/>
    <x v="1"/>
    <x v="3"/>
    <x v="0"/>
    <s v="Bagus"/>
    <x v="4"/>
    <s v="tinggi"/>
  </r>
  <r>
    <s v="ORD00960"/>
    <x v="1290"/>
    <s v="Clara Pradipta"/>
    <x v="30"/>
    <x v="8"/>
    <n v="14000"/>
    <n v="4"/>
    <n v="10"/>
    <n v="56000"/>
    <n v="5600"/>
    <n v="50400"/>
    <n v="97000"/>
    <n v="147400"/>
    <x v="3"/>
    <x v="2"/>
    <x v="4"/>
    <x v="0"/>
    <x v="0"/>
    <s v="Standar"/>
    <x v="0"/>
    <s v="rendah"/>
  </r>
  <r>
    <s v="ORD00393"/>
    <x v="1291"/>
    <s v="Vina Budiman"/>
    <x v="18"/>
    <x v="25"/>
    <n v="40000"/>
    <n v="1"/>
    <n v="0"/>
    <n v="40000"/>
    <n v="0"/>
    <n v="40000"/>
    <n v="43000"/>
    <n v="83000"/>
    <x v="1"/>
    <x v="4"/>
    <x v="3"/>
    <x v="2"/>
    <x v="0"/>
    <s v="Rendah"/>
    <x v="1"/>
    <s v="sangat rendah"/>
  </r>
  <r>
    <s v="ORD00393"/>
    <x v="1291"/>
    <s v="Vina Budiman"/>
    <x v="18"/>
    <x v="13"/>
    <n v="17000"/>
    <n v="1"/>
    <n v="10"/>
    <n v="17000"/>
    <n v="1700"/>
    <n v="15300"/>
    <n v="0"/>
    <n v="15300"/>
    <x v="1"/>
    <x v="4"/>
    <x v="3"/>
    <x v="2"/>
    <x v="0"/>
    <s v="Rendah"/>
    <x v="1"/>
    <s v="sangat rendah"/>
  </r>
  <r>
    <s v="ORD00974"/>
    <x v="1292"/>
    <s v="Yani Ramadhani"/>
    <x v="9"/>
    <x v="10"/>
    <n v="45000"/>
    <n v="4"/>
    <n v="0"/>
    <n v="180000"/>
    <n v="0"/>
    <n v="180000"/>
    <n v="21000"/>
    <n v="201000"/>
    <x v="2"/>
    <x v="3"/>
    <x v="0"/>
    <x v="3"/>
    <x v="0"/>
    <s v="Bagus"/>
    <x v="1"/>
    <s v="sangat rendah"/>
  </r>
  <r>
    <s v="ORD00601"/>
    <x v="1293"/>
    <s v="Ani Ramadhani"/>
    <x v="16"/>
    <x v="14"/>
    <n v="18000"/>
    <n v="2"/>
    <n v="0"/>
    <n v="36000"/>
    <n v="0"/>
    <n v="36000"/>
    <n v="50000"/>
    <n v="86000"/>
    <x v="0"/>
    <x v="2"/>
    <x v="1"/>
    <x v="0"/>
    <x v="0"/>
    <s v="Standar"/>
    <x v="1"/>
    <s v="sangat rendah"/>
  </r>
  <r>
    <s v="ORD01022"/>
    <x v="1294"/>
    <s v="Gita Saputra"/>
    <x v="21"/>
    <x v="19"/>
    <n v="35000"/>
    <n v="5"/>
    <n v="15"/>
    <n v="175000"/>
    <n v="26250"/>
    <n v="148750"/>
    <n v="72000"/>
    <n v="220750"/>
    <x v="1"/>
    <x v="2"/>
    <x v="1"/>
    <x v="0"/>
    <x v="0"/>
    <s v="Standar"/>
    <x v="4"/>
    <s v="tinggi"/>
  </r>
  <r>
    <s v="ORD00845"/>
    <x v="1295"/>
    <s v="Aulia Puspita"/>
    <x v="25"/>
    <x v="1"/>
    <n v="17000"/>
    <n v="2"/>
    <n v="5"/>
    <n v="34000"/>
    <n v="1700"/>
    <n v="32300"/>
    <n v="48000"/>
    <n v="80300"/>
    <x v="0"/>
    <x v="2"/>
    <x v="3"/>
    <x v="1"/>
    <x v="0"/>
    <s v="Rendah"/>
    <x v="1"/>
    <s v="sangat rendah"/>
  </r>
  <r>
    <s v="ORD00063"/>
    <x v="1296"/>
    <s v="Tono Ananda"/>
    <x v="1"/>
    <x v="16"/>
    <n v="28000"/>
    <n v="4"/>
    <n v="20"/>
    <n v="112000"/>
    <n v="22400"/>
    <n v="89600"/>
    <n v="59000"/>
    <n v="148600"/>
    <x v="3"/>
    <x v="2"/>
    <x v="2"/>
    <x v="2"/>
    <x v="1"/>
    <s v="Rendah"/>
    <x v="4"/>
    <s v="tinggi"/>
  </r>
  <r>
    <s v="ORD00590"/>
    <x v="1297"/>
    <s v="Sari Puspita"/>
    <x v="30"/>
    <x v="2"/>
    <n v="5000"/>
    <n v="2"/>
    <n v="15"/>
    <n v="10000"/>
    <n v="1500"/>
    <n v="8500"/>
    <n v="97000"/>
    <n v="105500"/>
    <x v="2"/>
    <x v="2"/>
    <x v="3"/>
    <x v="4"/>
    <x v="0"/>
    <s v="Bagus"/>
    <x v="1"/>
    <s v="sangat rendah"/>
  </r>
  <r>
    <s v="ORD01051"/>
    <x v="1298"/>
    <s v="Bella Santoso"/>
    <x v="2"/>
    <x v="25"/>
    <n v="40000"/>
    <n v="3"/>
    <n v="0"/>
    <n v="120000"/>
    <n v="0"/>
    <n v="120000"/>
    <n v="26000"/>
    <n v="146000"/>
    <x v="3"/>
    <x v="2"/>
    <x v="2"/>
    <x v="2"/>
    <x v="0"/>
    <s v="Rendah"/>
    <x v="1"/>
    <s v="sangat rendah"/>
  </r>
  <r>
    <s v="ORD00445"/>
    <x v="1299"/>
    <s v="Citra Kusuma"/>
    <x v="24"/>
    <x v="24"/>
    <n v="22000"/>
    <n v="4"/>
    <n v="15"/>
    <n v="88000"/>
    <n v="13200"/>
    <n v="74800"/>
    <n v="93000"/>
    <n v="167800"/>
    <x v="0"/>
    <x v="2"/>
    <x v="4"/>
    <x v="1"/>
    <x v="0"/>
    <s v="Rendah"/>
    <x v="2"/>
    <s v="normal"/>
  </r>
  <r>
    <s v="ORD00445"/>
    <x v="1299"/>
    <s v="Citra Kusuma"/>
    <x v="24"/>
    <x v="5"/>
    <n v="50000"/>
    <n v="2"/>
    <n v="10"/>
    <n v="100000"/>
    <n v="10000"/>
    <n v="90000"/>
    <n v="0"/>
    <n v="90000"/>
    <x v="0"/>
    <x v="2"/>
    <x v="4"/>
    <x v="1"/>
    <x v="0"/>
    <s v="Rendah"/>
    <x v="0"/>
    <s v="rendah"/>
  </r>
  <r>
    <s v="ORD00704"/>
    <x v="1300"/>
    <s v="Bella Halim"/>
    <x v="35"/>
    <x v="24"/>
    <n v="22000"/>
    <n v="1"/>
    <n v="10"/>
    <n v="22000"/>
    <n v="2200"/>
    <n v="19800"/>
    <n v="76000"/>
    <n v="95800"/>
    <x v="0"/>
    <x v="2"/>
    <x v="0"/>
    <x v="0"/>
    <x v="0"/>
    <s v="Standar"/>
    <x v="1"/>
    <s v="sangat rendah"/>
  </r>
  <r>
    <s v="ORD00331"/>
    <x v="1301"/>
    <s v="Yani Utami"/>
    <x v="8"/>
    <x v="17"/>
    <n v="15000"/>
    <n v="3"/>
    <n v="20"/>
    <n v="45000"/>
    <n v="9000"/>
    <n v="36000"/>
    <n v="87000"/>
    <n v="123000"/>
    <x v="0"/>
    <x v="2"/>
    <x v="3"/>
    <x v="1"/>
    <x v="0"/>
    <s v="Rendah"/>
    <x v="0"/>
    <s v="rendah"/>
  </r>
  <r>
    <s v="ORD01071"/>
    <x v="1302"/>
    <s v="Qori Fauziah"/>
    <x v="12"/>
    <x v="21"/>
    <n v="10000"/>
    <n v="2"/>
    <n v="10"/>
    <n v="20000"/>
    <n v="2000"/>
    <n v="18000"/>
    <n v="74000"/>
    <n v="92000"/>
    <x v="1"/>
    <x v="2"/>
    <x v="0"/>
    <x v="4"/>
    <x v="0"/>
    <s v="Bagus"/>
    <x v="1"/>
    <s v="sangat rendah"/>
  </r>
  <r>
    <s v="ORD01054"/>
    <x v="1303"/>
    <s v="Putri Syahputra"/>
    <x v="14"/>
    <x v="22"/>
    <n v="18000"/>
    <n v="3"/>
    <n v="5"/>
    <n v="54000"/>
    <n v="2700"/>
    <n v="51300"/>
    <n v="46000"/>
    <n v="97300"/>
    <x v="3"/>
    <x v="2"/>
    <x v="1"/>
    <x v="1"/>
    <x v="0"/>
    <s v="Rendah"/>
    <x v="1"/>
    <s v="sangat rendah"/>
  </r>
  <r>
    <s v="ORD00009"/>
    <x v="1304"/>
    <s v="Tono Syahputra"/>
    <x v="7"/>
    <x v="15"/>
    <n v="4000"/>
    <n v="3"/>
    <n v="10"/>
    <n v="12000"/>
    <n v="1200"/>
    <n v="10800"/>
    <n v="15000"/>
    <n v="25800"/>
    <x v="0"/>
    <x v="2"/>
    <x v="4"/>
    <x v="3"/>
    <x v="1"/>
    <s v="Bagus"/>
    <x v="1"/>
    <s v="sangat rendah"/>
  </r>
  <r>
    <s v="ORD00951"/>
    <x v="1305"/>
    <s v="Dimas Utami"/>
    <x v="4"/>
    <x v="9"/>
    <n v="35000"/>
    <n v="3"/>
    <n v="15"/>
    <n v="105000"/>
    <n v="15750"/>
    <n v="89250"/>
    <n v="0"/>
    <n v="89250"/>
    <x v="0"/>
    <x v="2"/>
    <x v="3"/>
    <x v="2"/>
    <x v="1"/>
    <s v="Rendah"/>
    <x v="2"/>
    <s v="normal"/>
  </r>
  <r>
    <s v="ORD01337"/>
    <x v="1306"/>
    <s v="Citra Maulana"/>
    <x v="21"/>
    <x v="23"/>
    <n v="45000"/>
    <n v="4"/>
    <n v="0"/>
    <n v="180000"/>
    <n v="0"/>
    <n v="180000"/>
    <n v="72000"/>
    <n v="252000"/>
    <x v="1"/>
    <x v="2"/>
    <x v="2"/>
    <x v="3"/>
    <x v="0"/>
    <s v="Bagus"/>
    <x v="1"/>
    <s v="sangat rendah"/>
  </r>
  <r>
    <s v="ORD00430"/>
    <x v="1307"/>
    <s v="Gita Wijaya"/>
    <x v="13"/>
    <x v="16"/>
    <n v="28000"/>
    <n v="5"/>
    <n v="10"/>
    <n v="140000"/>
    <n v="14000"/>
    <n v="126000"/>
    <n v="87000"/>
    <n v="213000"/>
    <x v="0"/>
    <x v="4"/>
    <x v="4"/>
    <x v="4"/>
    <x v="0"/>
    <s v="Bagus"/>
    <x v="2"/>
    <s v="normal"/>
  </r>
  <r>
    <s v="ORD00430"/>
    <x v="1307"/>
    <s v="Gita Wijaya"/>
    <x v="13"/>
    <x v="14"/>
    <n v="18000"/>
    <n v="4"/>
    <n v="10"/>
    <n v="72000"/>
    <n v="7200"/>
    <n v="64800"/>
    <n v="0"/>
    <n v="64800"/>
    <x v="0"/>
    <x v="4"/>
    <x v="4"/>
    <x v="4"/>
    <x v="0"/>
    <s v="Bagus"/>
    <x v="0"/>
    <s v="rendah"/>
  </r>
  <r>
    <s v="ORD00081"/>
    <x v="1308"/>
    <s v="Hendra Wijaya"/>
    <x v="7"/>
    <x v="17"/>
    <n v="15000"/>
    <n v="3"/>
    <n v="15"/>
    <n v="45000"/>
    <n v="6750"/>
    <n v="38250"/>
    <n v="15000"/>
    <n v="53250"/>
    <x v="3"/>
    <x v="2"/>
    <x v="0"/>
    <x v="3"/>
    <x v="1"/>
    <s v="Bagus"/>
    <x v="0"/>
    <s v="rendah"/>
  </r>
  <r>
    <s v="ORD01803"/>
    <x v="1309"/>
    <s v="Erna Hidayat"/>
    <x v="26"/>
    <x v="1"/>
    <n v="17000"/>
    <n v="5"/>
    <n v="10"/>
    <n v="85000"/>
    <n v="8500"/>
    <n v="76500"/>
    <n v="28000"/>
    <n v="104500"/>
    <x v="2"/>
    <x v="4"/>
    <x v="2"/>
    <x v="4"/>
    <x v="0"/>
    <s v="Bagus"/>
    <x v="0"/>
    <s v="rendah"/>
  </r>
  <r>
    <s v="ORD01433"/>
    <x v="1310"/>
    <s v="Clara Iskandar"/>
    <x v="31"/>
    <x v="21"/>
    <n v="10000"/>
    <n v="1"/>
    <n v="5"/>
    <n v="10000"/>
    <n v="500"/>
    <n v="9500"/>
    <n v="18000"/>
    <n v="27500"/>
    <x v="0"/>
    <x v="2"/>
    <x v="4"/>
    <x v="0"/>
    <x v="0"/>
    <s v="Standar"/>
    <x v="1"/>
    <s v="sangat rendah"/>
  </r>
  <r>
    <s v="ORD00851"/>
    <x v="1311"/>
    <s v="Citra Budiman"/>
    <x v="4"/>
    <x v="17"/>
    <n v="15000"/>
    <n v="1"/>
    <n v="15"/>
    <n v="15000"/>
    <n v="2250"/>
    <n v="12750"/>
    <n v="0"/>
    <n v="12750"/>
    <x v="1"/>
    <x v="2"/>
    <x v="4"/>
    <x v="2"/>
    <x v="0"/>
    <s v="Rendah"/>
    <x v="1"/>
    <s v="sangat rendah"/>
  </r>
  <r>
    <s v="ORD01520"/>
    <x v="1312"/>
    <s v="Dewi Ananda"/>
    <x v="17"/>
    <x v="0"/>
    <n v="16000"/>
    <n v="1"/>
    <n v="5"/>
    <n v="16000"/>
    <n v="800"/>
    <n v="15200"/>
    <n v="50000"/>
    <n v="65200"/>
    <x v="2"/>
    <x v="2"/>
    <x v="3"/>
    <x v="2"/>
    <x v="0"/>
    <s v="Rendah"/>
    <x v="1"/>
    <s v="sangat rendah"/>
  </r>
  <r>
    <s v="ORD00656"/>
    <x v="1313"/>
    <s v="Qori Utami"/>
    <x v="37"/>
    <x v="2"/>
    <n v="5000"/>
    <n v="5"/>
    <n v="0"/>
    <n v="25000"/>
    <n v="0"/>
    <n v="25000"/>
    <n v="57000"/>
    <n v="82000"/>
    <x v="0"/>
    <x v="2"/>
    <x v="0"/>
    <x v="2"/>
    <x v="0"/>
    <s v="Rendah"/>
    <x v="1"/>
    <s v="sangat rendah"/>
  </r>
  <r>
    <s v="ORD00184"/>
    <x v="1314"/>
    <s v="Yani Wijaya"/>
    <x v="12"/>
    <x v="15"/>
    <n v="4000"/>
    <n v="3"/>
    <n v="15"/>
    <n v="12000"/>
    <n v="1800"/>
    <n v="10200"/>
    <n v="74000"/>
    <n v="84200"/>
    <x v="1"/>
    <x v="2"/>
    <x v="4"/>
    <x v="2"/>
    <x v="0"/>
    <s v="Rendah"/>
    <x v="1"/>
    <s v="sangat rendah"/>
  </r>
  <r>
    <s v="ORD00184"/>
    <x v="1314"/>
    <s v="Yani Wijaya"/>
    <x v="12"/>
    <x v="1"/>
    <n v="17000"/>
    <n v="2"/>
    <n v="10"/>
    <n v="34000"/>
    <n v="3400"/>
    <n v="30600"/>
    <n v="0"/>
    <n v="30600"/>
    <x v="1"/>
    <x v="2"/>
    <x v="4"/>
    <x v="2"/>
    <x v="0"/>
    <s v="Rendah"/>
    <x v="1"/>
    <s v="sangat rendah"/>
  </r>
  <r>
    <s v="ORD01758"/>
    <x v="1315"/>
    <s v="Fitri Halim"/>
    <x v="22"/>
    <x v="9"/>
    <n v="35000"/>
    <n v="1"/>
    <n v="5"/>
    <n v="35000"/>
    <n v="1750"/>
    <n v="33250"/>
    <n v="80000"/>
    <n v="113250"/>
    <x v="1"/>
    <x v="2"/>
    <x v="3"/>
    <x v="1"/>
    <x v="0"/>
    <s v="Rendah"/>
    <x v="1"/>
    <s v="sangat rendah"/>
  </r>
  <r>
    <s v="ORD01394"/>
    <x v="1316"/>
    <s v="Sari Kurniawan"/>
    <x v="28"/>
    <x v="15"/>
    <n v="4000"/>
    <n v="5"/>
    <n v="10"/>
    <n v="20000"/>
    <n v="2000"/>
    <n v="18000"/>
    <n v="79000"/>
    <n v="97000"/>
    <x v="2"/>
    <x v="2"/>
    <x v="1"/>
    <x v="1"/>
    <x v="0"/>
    <s v="Rendah"/>
    <x v="1"/>
    <s v="sangat rendah"/>
  </r>
  <r>
    <s v="ORD01121"/>
    <x v="1317"/>
    <s v="Yani Puspita"/>
    <x v="15"/>
    <x v="6"/>
    <n v="55000"/>
    <n v="4"/>
    <n v="0"/>
    <n v="220000"/>
    <n v="0"/>
    <n v="220000"/>
    <n v="17000"/>
    <n v="237000"/>
    <x v="1"/>
    <x v="2"/>
    <x v="2"/>
    <x v="0"/>
    <x v="0"/>
    <s v="Standar"/>
    <x v="1"/>
    <s v="sangat rendah"/>
  </r>
  <r>
    <s v="ORD00221"/>
    <x v="1318"/>
    <s v="Putri Halim"/>
    <x v="33"/>
    <x v="1"/>
    <n v="17000"/>
    <n v="5"/>
    <n v="20"/>
    <n v="85000"/>
    <n v="17000"/>
    <n v="68000"/>
    <n v="0"/>
    <n v="68000"/>
    <x v="1"/>
    <x v="2"/>
    <x v="1"/>
    <x v="3"/>
    <x v="0"/>
    <s v="Bagus"/>
    <x v="2"/>
    <s v="normal"/>
  </r>
  <r>
    <s v="ORD00221"/>
    <x v="1318"/>
    <s v="Putri Halim"/>
    <x v="33"/>
    <x v="19"/>
    <n v="35000"/>
    <n v="4"/>
    <n v="15"/>
    <n v="140000"/>
    <n v="21000"/>
    <n v="119000"/>
    <n v="68000"/>
    <n v="187000"/>
    <x v="1"/>
    <x v="2"/>
    <x v="1"/>
    <x v="3"/>
    <x v="0"/>
    <s v="Bagus"/>
    <x v="4"/>
    <s v="tinggi"/>
  </r>
  <r>
    <s v="ORD00556"/>
    <x v="1319"/>
    <s v="Fajar Puspita"/>
    <x v="22"/>
    <x v="25"/>
    <n v="40000"/>
    <n v="4"/>
    <n v="15"/>
    <n v="160000"/>
    <n v="24000"/>
    <n v="136000"/>
    <n v="80000"/>
    <n v="216000"/>
    <x v="2"/>
    <x v="2"/>
    <x v="0"/>
    <x v="4"/>
    <x v="1"/>
    <s v="Bagus"/>
    <x v="4"/>
    <s v="tinggi"/>
  </r>
  <r>
    <s v="ORD00670"/>
    <x v="1320"/>
    <s v="Wahyu Pradipta"/>
    <x v="30"/>
    <x v="0"/>
    <n v="16000"/>
    <n v="1"/>
    <n v="15"/>
    <n v="16000"/>
    <n v="2400"/>
    <n v="13600"/>
    <n v="97000"/>
    <n v="110600"/>
    <x v="2"/>
    <x v="4"/>
    <x v="2"/>
    <x v="3"/>
    <x v="1"/>
    <s v="Bagus"/>
    <x v="1"/>
    <s v="sangat rendah"/>
  </r>
  <r>
    <s v="ORD00212"/>
    <x v="1321"/>
    <s v="Eka Saputra"/>
    <x v="25"/>
    <x v="6"/>
    <n v="55000"/>
    <n v="1"/>
    <n v="10"/>
    <n v="55000"/>
    <n v="5500"/>
    <n v="49500"/>
    <n v="48000"/>
    <n v="97500"/>
    <x v="0"/>
    <x v="4"/>
    <x v="0"/>
    <x v="1"/>
    <x v="0"/>
    <s v="Rendah"/>
    <x v="0"/>
    <s v="rendah"/>
  </r>
  <r>
    <s v="ORD00677"/>
    <x v="1322"/>
    <s v="Zahra Utami"/>
    <x v="16"/>
    <x v="19"/>
    <n v="35000"/>
    <n v="4"/>
    <n v="15"/>
    <n v="140000"/>
    <n v="21000"/>
    <n v="119000"/>
    <n v="50000"/>
    <n v="169000"/>
    <x v="1"/>
    <x v="2"/>
    <x v="3"/>
    <x v="1"/>
    <x v="0"/>
    <s v="Rendah"/>
    <x v="4"/>
    <s v="tinggi"/>
  </r>
  <r>
    <s v="ORD00413"/>
    <x v="1323"/>
    <s v="Kartika Saputra"/>
    <x v="0"/>
    <x v="0"/>
    <n v="16000"/>
    <n v="2"/>
    <n v="10"/>
    <n v="32000"/>
    <n v="3200"/>
    <n v="28800"/>
    <n v="67000"/>
    <n v="95800"/>
    <x v="0"/>
    <x v="2"/>
    <x v="1"/>
    <x v="0"/>
    <x v="0"/>
    <s v="Standar"/>
    <x v="1"/>
    <s v="sangat rendah"/>
  </r>
  <r>
    <s v="ORD00413"/>
    <x v="1323"/>
    <s v="Kartika Saputra"/>
    <x v="0"/>
    <x v="10"/>
    <n v="45000"/>
    <n v="1"/>
    <n v="20"/>
    <n v="45000"/>
    <n v="9000"/>
    <n v="36000"/>
    <n v="0"/>
    <n v="36000"/>
    <x v="0"/>
    <x v="2"/>
    <x v="1"/>
    <x v="0"/>
    <x v="0"/>
    <s v="Standar"/>
    <x v="0"/>
    <s v="rendah"/>
  </r>
  <r>
    <s v="ORD00809"/>
    <x v="1324"/>
    <s v="Yani Ananda"/>
    <x v="11"/>
    <x v="17"/>
    <n v="15000"/>
    <n v="2"/>
    <n v="0"/>
    <n v="30000"/>
    <n v="0"/>
    <n v="30000"/>
    <n v="56000"/>
    <n v="86000"/>
    <x v="2"/>
    <x v="2"/>
    <x v="4"/>
    <x v="2"/>
    <x v="0"/>
    <s v="Rendah"/>
    <x v="1"/>
    <s v="sangat rendah"/>
  </r>
  <r>
    <s v="ORD00528"/>
    <x v="1325"/>
    <s v="Zahra Setiawan"/>
    <x v="19"/>
    <x v="1"/>
    <n v="17000"/>
    <n v="1"/>
    <n v="10"/>
    <n v="17000"/>
    <n v="1700"/>
    <n v="15300"/>
    <n v="55000"/>
    <n v="70300"/>
    <x v="0"/>
    <x v="4"/>
    <x v="2"/>
    <x v="1"/>
    <x v="0"/>
    <s v="Rendah"/>
    <x v="1"/>
    <s v="sangat rendah"/>
  </r>
  <r>
    <s v="ORD00616"/>
    <x v="1326"/>
    <s v="Wahyu Hidayat"/>
    <x v="7"/>
    <x v="15"/>
    <n v="4000"/>
    <n v="1"/>
    <n v="20"/>
    <n v="4000"/>
    <n v="800"/>
    <n v="3200"/>
    <n v="15000"/>
    <n v="18200"/>
    <x v="2"/>
    <x v="2"/>
    <x v="3"/>
    <x v="0"/>
    <x v="1"/>
    <s v="Standar"/>
    <x v="1"/>
    <s v="sangat rendah"/>
  </r>
  <r>
    <s v="ORD01352"/>
    <x v="1327"/>
    <s v="Indra Halim"/>
    <x v="2"/>
    <x v="14"/>
    <n v="18000"/>
    <n v="1"/>
    <n v="5"/>
    <n v="18000"/>
    <n v="900"/>
    <n v="17100"/>
    <n v="26000"/>
    <n v="43100"/>
    <x v="3"/>
    <x v="2"/>
    <x v="1"/>
    <x v="4"/>
    <x v="1"/>
    <s v="Bagus"/>
    <x v="1"/>
    <s v="sangat rendah"/>
  </r>
  <r>
    <s v="ORD00642"/>
    <x v="1328"/>
    <s v="Hendra Syahputra"/>
    <x v="7"/>
    <x v="24"/>
    <n v="22000"/>
    <n v="1"/>
    <n v="10"/>
    <n v="22000"/>
    <n v="2200"/>
    <n v="19800"/>
    <n v="15000"/>
    <n v="34800"/>
    <x v="1"/>
    <x v="2"/>
    <x v="1"/>
    <x v="2"/>
    <x v="1"/>
    <s v="Rendah"/>
    <x v="1"/>
    <s v="sangat rendah"/>
  </r>
  <r>
    <s v="ORD01854"/>
    <x v="1329"/>
    <s v="Tono Kurniawan"/>
    <x v="35"/>
    <x v="4"/>
    <n v="6000"/>
    <n v="4"/>
    <n v="10"/>
    <n v="24000"/>
    <n v="2400"/>
    <n v="21600"/>
    <n v="76000"/>
    <n v="97600"/>
    <x v="3"/>
    <x v="4"/>
    <x v="2"/>
    <x v="0"/>
    <x v="1"/>
    <s v="Standar"/>
    <x v="1"/>
    <s v="sangat rendah"/>
  </r>
  <r>
    <s v="ORD01549"/>
    <x v="1330"/>
    <s v="Fitri Ramadhani"/>
    <x v="12"/>
    <x v="16"/>
    <n v="28000"/>
    <n v="5"/>
    <n v="5"/>
    <n v="140000"/>
    <n v="7000"/>
    <n v="133000"/>
    <n v="74000"/>
    <n v="207000"/>
    <x v="1"/>
    <x v="2"/>
    <x v="3"/>
    <x v="0"/>
    <x v="0"/>
    <s v="Standar"/>
    <x v="0"/>
    <s v="rendah"/>
  </r>
  <r>
    <s v="ORD00724"/>
    <x v="1331"/>
    <s v="Vina Maulana"/>
    <x v="7"/>
    <x v="11"/>
    <n v="30000"/>
    <n v="3"/>
    <n v="20"/>
    <n v="90000"/>
    <n v="18000"/>
    <n v="72000"/>
    <n v="15000"/>
    <n v="87000"/>
    <x v="2"/>
    <x v="2"/>
    <x v="0"/>
    <x v="3"/>
    <x v="0"/>
    <s v="Bagus"/>
    <x v="2"/>
    <s v="normal"/>
  </r>
  <r>
    <s v="ORD00223"/>
    <x v="1332"/>
    <s v="Aulia Syahputra"/>
    <x v="28"/>
    <x v="7"/>
    <n v="12000"/>
    <n v="4"/>
    <n v="20"/>
    <n v="48000"/>
    <n v="9600"/>
    <n v="38400"/>
    <n v="79000"/>
    <n v="117400"/>
    <x v="2"/>
    <x v="2"/>
    <x v="1"/>
    <x v="1"/>
    <x v="0"/>
    <s v="Rendah"/>
    <x v="0"/>
    <s v="rendah"/>
  </r>
  <r>
    <s v="ORD00442"/>
    <x v="1333"/>
    <s v="Gita Kusuma"/>
    <x v="23"/>
    <x v="25"/>
    <n v="40000"/>
    <n v="4"/>
    <n v="20"/>
    <n v="160000"/>
    <n v="32000"/>
    <n v="128000"/>
    <n v="49000"/>
    <n v="177000"/>
    <x v="0"/>
    <x v="2"/>
    <x v="4"/>
    <x v="3"/>
    <x v="0"/>
    <s v="Bagus"/>
    <x v="4"/>
    <s v="tinggi"/>
  </r>
  <r>
    <s v="ORD01491"/>
    <x v="1334"/>
    <s v="Hana Wijaya"/>
    <x v="13"/>
    <x v="18"/>
    <n v="16000"/>
    <n v="5"/>
    <n v="0"/>
    <n v="80000"/>
    <n v="0"/>
    <n v="80000"/>
    <n v="87000"/>
    <n v="167000"/>
    <x v="1"/>
    <x v="2"/>
    <x v="2"/>
    <x v="3"/>
    <x v="0"/>
    <s v="Bagus"/>
    <x v="1"/>
    <s v="sangat rendah"/>
  </r>
  <r>
    <s v="ORD01065"/>
    <x v="1335"/>
    <s v="Dewi Budiman"/>
    <x v="9"/>
    <x v="4"/>
    <n v="6000"/>
    <n v="3"/>
    <n v="20"/>
    <n v="18000"/>
    <n v="3600"/>
    <n v="14400"/>
    <n v="21000"/>
    <n v="35400"/>
    <x v="1"/>
    <x v="2"/>
    <x v="3"/>
    <x v="4"/>
    <x v="0"/>
    <s v="Bagus"/>
    <x v="1"/>
    <s v="sangat rendah"/>
  </r>
  <r>
    <s v="ORD00233"/>
    <x v="1336"/>
    <s v="Gita Puspita"/>
    <x v="0"/>
    <x v="8"/>
    <n v="14000"/>
    <n v="1"/>
    <n v="20"/>
    <n v="14000"/>
    <n v="2800"/>
    <n v="11200"/>
    <n v="67000"/>
    <n v="78200"/>
    <x v="1"/>
    <x v="2"/>
    <x v="0"/>
    <x v="3"/>
    <x v="0"/>
    <s v="Bagus"/>
    <x v="1"/>
    <s v="sangat rendah"/>
  </r>
  <r>
    <s v="ORD00406"/>
    <x v="1337"/>
    <s v="Eka Maulana"/>
    <x v="35"/>
    <x v="21"/>
    <n v="10000"/>
    <n v="4"/>
    <n v="10"/>
    <n v="40000"/>
    <n v="4000"/>
    <n v="36000"/>
    <n v="76000"/>
    <n v="112000"/>
    <x v="3"/>
    <x v="2"/>
    <x v="2"/>
    <x v="2"/>
    <x v="0"/>
    <s v="Rendah"/>
    <x v="1"/>
    <s v="sangat rendah"/>
  </r>
  <r>
    <s v="ORD00406"/>
    <x v="1337"/>
    <s v="Eka Maulana"/>
    <x v="35"/>
    <x v="6"/>
    <n v="55000"/>
    <n v="2"/>
    <n v="15"/>
    <n v="110000"/>
    <n v="16500"/>
    <n v="93500"/>
    <n v="0"/>
    <n v="93500"/>
    <x v="3"/>
    <x v="2"/>
    <x v="2"/>
    <x v="2"/>
    <x v="0"/>
    <s v="Rendah"/>
    <x v="2"/>
    <s v="normal"/>
  </r>
  <r>
    <s v="ORD01764"/>
    <x v="1338"/>
    <s v="Qori Fauziah"/>
    <x v="12"/>
    <x v="15"/>
    <n v="4000"/>
    <n v="4"/>
    <n v="10"/>
    <n v="16000"/>
    <n v="1600"/>
    <n v="14400"/>
    <n v="74000"/>
    <n v="88400"/>
    <x v="1"/>
    <x v="4"/>
    <x v="3"/>
    <x v="4"/>
    <x v="0"/>
    <s v="Bagus"/>
    <x v="1"/>
    <s v="sangat rendah"/>
  </r>
  <r>
    <s v="ORD00262"/>
    <x v="1339"/>
    <s v="Dewi Ramadhani"/>
    <x v="5"/>
    <x v="9"/>
    <n v="35000"/>
    <n v="3"/>
    <n v="0"/>
    <n v="105000"/>
    <n v="0"/>
    <n v="105000"/>
    <n v="78000"/>
    <n v="183000"/>
    <x v="3"/>
    <x v="2"/>
    <x v="1"/>
    <x v="4"/>
    <x v="0"/>
    <s v="Bagus"/>
    <x v="1"/>
    <s v="sangat rendah"/>
  </r>
  <r>
    <s v="ORD00961"/>
    <x v="1340"/>
    <s v="Clara Iskandar"/>
    <x v="31"/>
    <x v="4"/>
    <n v="6000"/>
    <n v="5"/>
    <n v="5"/>
    <n v="30000"/>
    <n v="1500"/>
    <n v="28500"/>
    <n v="18000"/>
    <n v="46500"/>
    <x v="1"/>
    <x v="2"/>
    <x v="4"/>
    <x v="0"/>
    <x v="0"/>
    <s v="Standar"/>
    <x v="1"/>
    <s v="sangat rendah"/>
  </r>
  <r>
    <s v="ORD00044"/>
    <x v="1341"/>
    <s v="Nanda Utami"/>
    <x v="24"/>
    <x v="6"/>
    <n v="55000"/>
    <n v="2"/>
    <n v="10"/>
    <n v="110000"/>
    <n v="11000"/>
    <n v="99000"/>
    <n v="93000"/>
    <n v="192000"/>
    <x v="0"/>
    <x v="2"/>
    <x v="3"/>
    <x v="2"/>
    <x v="1"/>
    <s v="Rendah"/>
    <x v="2"/>
    <s v="normal"/>
  </r>
  <r>
    <s v="ORD00748"/>
    <x v="1342"/>
    <s v="Vina Hidayat"/>
    <x v="29"/>
    <x v="8"/>
    <n v="14000"/>
    <n v="1"/>
    <n v="10"/>
    <n v="14000"/>
    <n v="1400"/>
    <n v="12600"/>
    <n v="89000"/>
    <n v="101600"/>
    <x v="3"/>
    <x v="2"/>
    <x v="4"/>
    <x v="2"/>
    <x v="0"/>
    <s v="Rendah"/>
    <x v="1"/>
    <s v="sangat rendah"/>
  </r>
  <r>
    <s v="ORD01029"/>
    <x v="1343"/>
    <s v="Galih Iskandar"/>
    <x v="36"/>
    <x v="17"/>
    <n v="15000"/>
    <n v="2"/>
    <n v="0"/>
    <n v="30000"/>
    <n v="0"/>
    <n v="30000"/>
    <n v="49000"/>
    <n v="79000"/>
    <x v="3"/>
    <x v="2"/>
    <x v="4"/>
    <x v="3"/>
    <x v="1"/>
    <s v="Bagus"/>
    <x v="1"/>
    <s v="sangat rendah"/>
  </r>
  <r>
    <s v="ORD00086"/>
    <x v="1344"/>
    <s v="Yoga Wijaya"/>
    <x v="28"/>
    <x v="13"/>
    <n v="17000"/>
    <n v="3"/>
    <n v="0"/>
    <n v="51000"/>
    <n v="0"/>
    <n v="51000"/>
    <n v="79000"/>
    <n v="130000"/>
    <x v="3"/>
    <x v="4"/>
    <x v="2"/>
    <x v="3"/>
    <x v="1"/>
    <s v="Bagus"/>
    <x v="1"/>
    <s v="sangat rendah"/>
  </r>
  <r>
    <s v="ORD01652"/>
    <x v="1345"/>
    <s v="Yani Santoso"/>
    <x v="20"/>
    <x v="1"/>
    <n v="17000"/>
    <n v="3"/>
    <n v="0"/>
    <n v="51000"/>
    <n v="0"/>
    <n v="51000"/>
    <n v="85000"/>
    <n v="136000"/>
    <x v="2"/>
    <x v="4"/>
    <x v="1"/>
    <x v="3"/>
    <x v="0"/>
    <s v="Bagus"/>
    <x v="1"/>
    <s v="sangat rendah"/>
  </r>
  <r>
    <s v="ORD00145"/>
    <x v="1346"/>
    <s v="Erna Wijaya"/>
    <x v="26"/>
    <x v="15"/>
    <n v="4000"/>
    <n v="1"/>
    <n v="5"/>
    <n v="4000"/>
    <n v="200"/>
    <n v="3800"/>
    <n v="28000"/>
    <n v="31800"/>
    <x v="1"/>
    <x v="2"/>
    <x v="1"/>
    <x v="2"/>
    <x v="0"/>
    <s v="Rendah"/>
    <x v="1"/>
    <s v="sangat rendah"/>
  </r>
  <r>
    <s v="ORD00785"/>
    <x v="1347"/>
    <s v="Qori Hidayat"/>
    <x v="15"/>
    <x v="26"/>
    <n v="16000"/>
    <n v="4"/>
    <n v="15"/>
    <n v="64000"/>
    <n v="9600"/>
    <n v="54400"/>
    <n v="17000"/>
    <n v="71400"/>
    <x v="3"/>
    <x v="4"/>
    <x v="0"/>
    <x v="1"/>
    <x v="0"/>
    <s v="Rendah"/>
    <x v="0"/>
    <s v="rendah"/>
  </r>
  <r>
    <s v="ORD00108"/>
    <x v="1348"/>
    <s v="Sari Budiman"/>
    <x v="13"/>
    <x v="21"/>
    <n v="10000"/>
    <n v="4"/>
    <n v="5"/>
    <n v="40000"/>
    <n v="2000"/>
    <n v="38000"/>
    <n v="87000"/>
    <n v="125000"/>
    <x v="3"/>
    <x v="2"/>
    <x v="0"/>
    <x v="1"/>
    <x v="0"/>
    <s v="Rendah"/>
    <x v="1"/>
    <s v="sangat rendah"/>
  </r>
  <r>
    <s v="ORD00861"/>
    <x v="1349"/>
    <s v="Ani Ramadhani"/>
    <x v="16"/>
    <x v="3"/>
    <n v="14000"/>
    <n v="5"/>
    <n v="15"/>
    <n v="70000"/>
    <n v="10500"/>
    <n v="59500"/>
    <n v="50000"/>
    <n v="109500"/>
    <x v="0"/>
    <x v="2"/>
    <x v="3"/>
    <x v="4"/>
    <x v="0"/>
    <s v="Bagus"/>
    <x v="2"/>
    <s v="normal"/>
  </r>
  <r>
    <s v="ORD01728"/>
    <x v="1350"/>
    <s v="Dimas Puspita"/>
    <x v="31"/>
    <x v="14"/>
    <n v="18000"/>
    <n v="2"/>
    <n v="0"/>
    <n v="36000"/>
    <n v="0"/>
    <n v="36000"/>
    <n v="18000"/>
    <n v="54000"/>
    <x v="3"/>
    <x v="3"/>
    <x v="3"/>
    <x v="1"/>
    <x v="1"/>
    <s v="Rendah"/>
    <x v="1"/>
    <s v="sangat rendah"/>
  </r>
  <r>
    <s v="ORD00916"/>
    <x v="1351"/>
    <s v="Bella Rahmawati"/>
    <x v="1"/>
    <x v="2"/>
    <n v="5000"/>
    <n v="3"/>
    <n v="10"/>
    <n v="15000"/>
    <n v="1500"/>
    <n v="13500"/>
    <n v="59000"/>
    <n v="72500"/>
    <x v="0"/>
    <x v="4"/>
    <x v="1"/>
    <x v="3"/>
    <x v="0"/>
    <s v="Bagus"/>
    <x v="1"/>
    <s v="sangat rendah"/>
  </r>
  <r>
    <s v="ORD00824"/>
    <x v="1352"/>
    <s v="Hendra Wijaya"/>
    <x v="7"/>
    <x v="11"/>
    <n v="30000"/>
    <n v="2"/>
    <n v="20"/>
    <n v="60000"/>
    <n v="12000"/>
    <n v="48000"/>
    <n v="15000"/>
    <n v="63000"/>
    <x v="0"/>
    <x v="2"/>
    <x v="0"/>
    <x v="2"/>
    <x v="1"/>
    <s v="Rendah"/>
    <x v="2"/>
    <s v="normal"/>
  </r>
  <r>
    <s v="ORD00508"/>
    <x v="1353"/>
    <s v="Yani Saputra"/>
    <x v="6"/>
    <x v="19"/>
    <n v="35000"/>
    <n v="1"/>
    <n v="10"/>
    <n v="35000"/>
    <n v="3500"/>
    <n v="31500"/>
    <n v="30000"/>
    <n v="61500"/>
    <x v="2"/>
    <x v="2"/>
    <x v="0"/>
    <x v="0"/>
    <x v="0"/>
    <s v="Standar"/>
    <x v="1"/>
    <s v="sangat rendah"/>
  </r>
  <r>
    <s v="ORD00663"/>
    <x v="1354"/>
    <s v="Made Kusuma"/>
    <x v="10"/>
    <x v="14"/>
    <n v="18000"/>
    <n v="4"/>
    <n v="5"/>
    <n v="72000"/>
    <n v="3600"/>
    <n v="68400"/>
    <n v="84000"/>
    <n v="152400"/>
    <x v="1"/>
    <x v="2"/>
    <x v="3"/>
    <x v="2"/>
    <x v="1"/>
    <s v="Rendah"/>
    <x v="1"/>
    <s v="sangat rendah"/>
  </r>
  <r>
    <s v="ORD00996"/>
    <x v="1355"/>
    <s v="Eka Halim"/>
    <x v="24"/>
    <x v="5"/>
    <n v="50000"/>
    <n v="2"/>
    <n v="0"/>
    <n v="100000"/>
    <n v="0"/>
    <n v="100000"/>
    <n v="93000"/>
    <n v="193000"/>
    <x v="1"/>
    <x v="2"/>
    <x v="3"/>
    <x v="2"/>
    <x v="0"/>
    <s v="Rendah"/>
    <x v="1"/>
    <s v="sangat rendah"/>
  </r>
  <r>
    <s v="ORD00509"/>
    <x v="1356"/>
    <s v="Kartika Fauziah"/>
    <x v="11"/>
    <x v="1"/>
    <n v="17000"/>
    <n v="4"/>
    <n v="20"/>
    <n v="68000"/>
    <n v="13600"/>
    <n v="54400"/>
    <n v="56000"/>
    <n v="110400"/>
    <x v="3"/>
    <x v="2"/>
    <x v="0"/>
    <x v="0"/>
    <x v="0"/>
    <s v="Standar"/>
    <x v="2"/>
    <s v="normal"/>
  </r>
  <r>
    <s v="ORD00710"/>
    <x v="1357"/>
    <s v="Nanda Iskandar"/>
    <x v="20"/>
    <x v="12"/>
    <n v="25000"/>
    <n v="5"/>
    <n v="20"/>
    <n v="125000"/>
    <n v="25000"/>
    <n v="100000"/>
    <n v="85000"/>
    <n v="185000"/>
    <x v="0"/>
    <x v="2"/>
    <x v="2"/>
    <x v="4"/>
    <x v="1"/>
    <s v="Bagus"/>
    <x v="4"/>
    <s v="tinggi"/>
  </r>
  <r>
    <s v="ORD01813"/>
    <x v="1358"/>
    <s v="Ani Hidayat"/>
    <x v="18"/>
    <x v="24"/>
    <n v="22000"/>
    <n v="2"/>
    <n v="15"/>
    <n v="44000"/>
    <n v="6600"/>
    <n v="37400"/>
    <n v="43000"/>
    <n v="80400"/>
    <x v="3"/>
    <x v="3"/>
    <x v="3"/>
    <x v="1"/>
    <x v="0"/>
    <s v="Rendah"/>
    <x v="0"/>
    <s v="rendah"/>
  </r>
  <r>
    <s v="ORD00120"/>
    <x v="1359"/>
    <s v="Yani Puspita"/>
    <x v="15"/>
    <x v="2"/>
    <n v="5000"/>
    <n v="4"/>
    <n v="15"/>
    <n v="20000"/>
    <n v="3000"/>
    <n v="17000"/>
    <n v="17000"/>
    <n v="34000"/>
    <x v="0"/>
    <x v="2"/>
    <x v="4"/>
    <x v="4"/>
    <x v="0"/>
    <s v="Bagus"/>
    <x v="1"/>
    <s v="sangat rendah"/>
  </r>
  <r>
    <s v="ORD01139"/>
    <x v="1360"/>
    <s v="Clara Utami"/>
    <x v="31"/>
    <x v="4"/>
    <n v="6000"/>
    <n v="3"/>
    <n v="15"/>
    <n v="18000"/>
    <n v="2700"/>
    <n v="15300"/>
    <n v="18000"/>
    <n v="33300"/>
    <x v="2"/>
    <x v="2"/>
    <x v="1"/>
    <x v="1"/>
    <x v="0"/>
    <s v="Rendah"/>
    <x v="1"/>
    <s v="sangat rendah"/>
  </r>
  <r>
    <s v="ORD00071"/>
    <x v="1361"/>
    <s v="Galih Puspita"/>
    <x v="24"/>
    <x v="24"/>
    <n v="22000"/>
    <n v="2"/>
    <n v="10"/>
    <n v="44000"/>
    <n v="4400"/>
    <n v="39600"/>
    <n v="93000"/>
    <n v="132600"/>
    <x v="2"/>
    <x v="2"/>
    <x v="1"/>
    <x v="2"/>
    <x v="1"/>
    <s v="Rendah"/>
    <x v="1"/>
    <s v="sangat rendah"/>
  </r>
  <r>
    <s v="ORD00071"/>
    <x v="1361"/>
    <s v="Galih Puspita"/>
    <x v="24"/>
    <x v="2"/>
    <n v="5000"/>
    <n v="2"/>
    <n v="10"/>
    <n v="10000"/>
    <n v="1000"/>
    <n v="9000"/>
    <n v="0"/>
    <n v="9000"/>
    <x v="2"/>
    <x v="2"/>
    <x v="1"/>
    <x v="2"/>
    <x v="1"/>
    <s v="Rendah"/>
    <x v="1"/>
    <s v="sangat rendah"/>
  </r>
  <r>
    <s v="ORD00475"/>
    <x v="1362"/>
    <s v="Kartika Ananda"/>
    <x v="23"/>
    <x v="17"/>
    <n v="15000"/>
    <n v="2"/>
    <n v="0"/>
    <n v="30000"/>
    <n v="0"/>
    <n v="30000"/>
    <n v="49000"/>
    <n v="79000"/>
    <x v="1"/>
    <x v="2"/>
    <x v="1"/>
    <x v="0"/>
    <x v="0"/>
    <s v="Standar"/>
    <x v="1"/>
    <s v="sangat rendah"/>
  </r>
  <r>
    <s v="ORD00475"/>
    <x v="1362"/>
    <s v="Kartika Ananda"/>
    <x v="23"/>
    <x v="9"/>
    <n v="35000"/>
    <n v="1"/>
    <n v="5"/>
    <n v="35000"/>
    <n v="1750"/>
    <n v="33250"/>
    <n v="0"/>
    <n v="33250"/>
    <x v="1"/>
    <x v="2"/>
    <x v="1"/>
    <x v="0"/>
    <x v="0"/>
    <s v="Standar"/>
    <x v="1"/>
    <s v="sangat rendah"/>
  </r>
  <r>
    <s v="ORD00316"/>
    <x v="1363"/>
    <s v="Bella Budiman"/>
    <x v="15"/>
    <x v="16"/>
    <n v="28000"/>
    <n v="3"/>
    <n v="5"/>
    <n v="84000"/>
    <n v="4200"/>
    <n v="79800"/>
    <n v="17000"/>
    <n v="96800"/>
    <x v="0"/>
    <x v="2"/>
    <x v="0"/>
    <x v="1"/>
    <x v="0"/>
    <s v="Rendah"/>
    <x v="1"/>
    <s v="sangat rendah"/>
  </r>
  <r>
    <s v="ORD01357"/>
    <x v="1364"/>
    <s v="Aulia Rahmawati"/>
    <x v="8"/>
    <x v="8"/>
    <n v="14000"/>
    <n v="2"/>
    <n v="15"/>
    <n v="28000"/>
    <n v="4200"/>
    <n v="23800"/>
    <n v="87000"/>
    <n v="110800"/>
    <x v="0"/>
    <x v="2"/>
    <x v="1"/>
    <x v="3"/>
    <x v="0"/>
    <s v="Bagus"/>
    <x v="1"/>
    <s v="sangat rendah"/>
  </r>
  <r>
    <s v="ORD00882"/>
    <x v="1365"/>
    <s v="Ani Fauziah"/>
    <x v="30"/>
    <x v="17"/>
    <n v="15000"/>
    <n v="5"/>
    <n v="20"/>
    <n v="75000"/>
    <n v="15000"/>
    <n v="60000"/>
    <n v="97000"/>
    <n v="157000"/>
    <x v="1"/>
    <x v="2"/>
    <x v="1"/>
    <x v="0"/>
    <x v="0"/>
    <s v="Standar"/>
    <x v="2"/>
    <s v="normal"/>
  </r>
  <r>
    <s v="ORD01465"/>
    <x v="1366"/>
    <s v="Fitri Saputra"/>
    <x v="30"/>
    <x v="0"/>
    <n v="16000"/>
    <n v="1"/>
    <n v="5"/>
    <n v="16000"/>
    <n v="800"/>
    <n v="15200"/>
    <n v="97000"/>
    <n v="112200"/>
    <x v="2"/>
    <x v="4"/>
    <x v="4"/>
    <x v="1"/>
    <x v="0"/>
    <s v="Rendah"/>
    <x v="1"/>
    <s v="sangat rendah"/>
  </r>
  <r>
    <s v="ORD00493"/>
    <x v="1367"/>
    <s v="Putri Syahputra"/>
    <x v="14"/>
    <x v="17"/>
    <n v="15000"/>
    <n v="2"/>
    <n v="20"/>
    <n v="30000"/>
    <n v="6000"/>
    <n v="24000"/>
    <n v="46000"/>
    <n v="70000"/>
    <x v="0"/>
    <x v="2"/>
    <x v="3"/>
    <x v="1"/>
    <x v="0"/>
    <s v="Rendah"/>
    <x v="0"/>
    <s v="rendah"/>
  </r>
  <r>
    <s v="ORD00823"/>
    <x v="1368"/>
    <s v="Sari Pradipta"/>
    <x v="27"/>
    <x v="24"/>
    <n v="22000"/>
    <n v="5"/>
    <n v="20"/>
    <n v="110000"/>
    <n v="22000"/>
    <n v="88000"/>
    <n v="18000"/>
    <n v="106000"/>
    <x v="0"/>
    <x v="2"/>
    <x v="1"/>
    <x v="2"/>
    <x v="0"/>
    <s v="Rendah"/>
    <x v="4"/>
    <s v="tinggi"/>
  </r>
  <r>
    <s v="ORD00434"/>
    <x v="1369"/>
    <s v="Bella Utami"/>
    <x v="33"/>
    <x v="7"/>
    <n v="12000"/>
    <n v="5"/>
    <n v="15"/>
    <n v="60000"/>
    <n v="9000"/>
    <n v="51000"/>
    <n v="68000"/>
    <n v="119000"/>
    <x v="2"/>
    <x v="3"/>
    <x v="3"/>
    <x v="4"/>
    <x v="0"/>
    <s v="Bagus"/>
    <x v="0"/>
    <s v="rendah"/>
  </r>
  <r>
    <s v="ORD01265"/>
    <x v="1370"/>
    <s v="Clara Iskandar"/>
    <x v="31"/>
    <x v="23"/>
    <n v="45000"/>
    <n v="1"/>
    <n v="10"/>
    <n v="45000"/>
    <n v="4500"/>
    <n v="40500"/>
    <n v="18000"/>
    <n v="58500"/>
    <x v="0"/>
    <x v="4"/>
    <x v="3"/>
    <x v="3"/>
    <x v="0"/>
    <s v="Bagus"/>
    <x v="1"/>
    <s v="sangat rendah"/>
  </r>
  <r>
    <s v="ORD00989"/>
    <x v="1371"/>
    <s v="Eka Syahputra"/>
    <x v="30"/>
    <x v="22"/>
    <n v="18000"/>
    <n v="1"/>
    <n v="5"/>
    <n v="18000"/>
    <n v="900"/>
    <n v="17100"/>
    <n v="97000"/>
    <n v="114100"/>
    <x v="2"/>
    <x v="2"/>
    <x v="0"/>
    <x v="0"/>
    <x v="0"/>
    <s v="Standar"/>
    <x v="1"/>
    <s v="sangat rendah"/>
  </r>
  <r>
    <s v="ORD00725"/>
    <x v="1372"/>
    <s v="Fitri Halim"/>
    <x v="22"/>
    <x v="23"/>
    <n v="45000"/>
    <n v="3"/>
    <n v="0"/>
    <n v="135000"/>
    <n v="0"/>
    <n v="135000"/>
    <n v="80000"/>
    <n v="215000"/>
    <x v="3"/>
    <x v="2"/>
    <x v="4"/>
    <x v="3"/>
    <x v="0"/>
    <s v="Bagus"/>
    <x v="1"/>
    <s v="sangat rendah"/>
  </r>
  <r>
    <s v="ORD01034"/>
    <x v="1373"/>
    <s v="Erna Maulana"/>
    <x v="13"/>
    <x v="16"/>
    <n v="28000"/>
    <n v="4"/>
    <n v="20"/>
    <n v="112000"/>
    <n v="22400"/>
    <n v="89600"/>
    <n v="87000"/>
    <n v="176600"/>
    <x v="0"/>
    <x v="2"/>
    <x v="2"/>
    <x v="0"/>
    <x v="0"/>
    <s v="Standar"/>
    <x v="4"/>
    <s v="tinggi"/>
  </r>
  <r>
    <s v="ORD00865"/>
    <x v="1374"/>
    <s v="Wahyu Hidayat"/>
    <x v="7"/>
    <x v="24"/>
    <n v="22000"/>
    <n v="1"/>
    <n v="0"/>
    <n v="22000"/>
    <n v="0"/>
    <n v="22000"/>
    <n v="15000"/>
    <n v="37000"/>
    <x v="2"/>
    <x v="2"/>
    <x v="4"/>
    <x v="4"/>
    <x v="1"/>
    <s v="Bagus"/>
    <x v="1"/>
    <s v="sangat rendah"/>
  </r>
  <r>
    <s v="ORD00520"/>
    <x v="1375"/>
    <s v="Zahra Santoso"/>
    <x v="29"/>
    <x v="11"/>
    <n v="30000"/>
    <n v="1"/>
    <n v="10"/>
    <n v="30000"/>
    <n v="3000"/>
    <n v="27000"/>
    <n v="89000"/>
    <n v="116000"/>
    <x v="0"/>
    <x v="2"/>
    <x v="1"/>
    <x v="1"/>
    <x v="0"/>
    <s v="Rendah"/>
    <x v="1"/>
    <s v="sangat rendah"/>
  </r>
  <r>
    <s v="ORD01144"/>
    <x v="1376"/>
    <s v="Ani Ramadhani"/>
    <x v="16"/>
    <x v="2"/>
    <n v="5000"/>
    <n v="3"/>
    <n v="5"/>
    <n v="15000"/>
    <n v="750"/>
    <n v="14250"/>
    <n v="50000"/>
    <n v="64250"/>
    <x v="3"/>
    <x v="2"/>
    <x v="3"/>
    <x v="4"/>
    <x v="0"/>
    <s v="Bagus"/>
    <x v="1"/>
    <s v="sangat rendah"/>
  </r>
  <r>
    <s v="ORD01449"/>
    <x v="1377"/>
    <s v="Citra Maulana"/>
    <x v="21"/>
    <x v="24"/>
    <n v="22000"/>
    <n v="1"/>
    <n v="0"/>
    <n v="22000"/>
    <n v="0"/>
    <n v="22000"/>
    <n v="72000"/>
    <n v="94000"/>
    <x v="0"/>
    <x v="2"/>
    <x v="2"/>
    <x v="1"/>
    <x v="0"/>
    <s v="Rendah"/>
    <x v="1"/>
    <s v="sangat rendah"/>
  </r>
  <r>
    <s v="ORD01515"/>
    <x v="1378"/>
    <s v="Dewi Ananda"/>
    <x v="17"/>
    <x v="24"/>
    <n v="22000"/>
    <n v="1"/>
    <n v="5"/>
    <n v="22000"/>
    <n v="1100"/>
    <n v="20900"/>
    <n v="50000"/>
    <n v="70900"/>
    <x v="1"/>
    <x v="2"/>
    <x v="2"/>
    <x v="1"/>
    <x v="0"/>
    <s v="Rendah"/>
    <x v="1"/>
    <s v="sangat rendah"/>
  </r>
  <r>
    <s v="ORD00512"/>
    <x v="1379"/>
    <s v="Aulia Utami"/>
    <x v="5"/>
    <x v="21"/>
    <n v="10000"/>
    <n v="4"/>
    <n v="20"/>
    <n v="40000"/>
    <n v="8000"/>
    <n v="32000"/>
    <n v="78000"/>
    <n v="110000"/>
    <x v="1"/>
    <x v="2"/>
    <x v="2"/>
    <x v="3"/>
    <x v="0"/>
    <s v="Bagus"/>
    <x v="0"/>
    <s v="rendah"/>
  </r>
  <r>
    <s v="ORD00031"/>
    <x v="1380"/>
    <s v="Budi Fauziah"/>
    <x v="24"/>
    <x v="3"/>
    <n v="14000"/>
    <n v="2"/>
    <n v="10"/>
    <n v="28000"/>
    <n v="2800"/>
    <n v="25200"/>
    <n v="93000"/>
    <n v="118200"/>
    <x v="2"/>
    <x v="2"/>
    <x v="1"/>
    <x v="2"/>
    <x v="1"/>
    <s v="Rendah"/>
    <x v="1"/>
    <s v="sangat rendah"/>
  </r>
  <r>
    <s v="ORD00031"/>
    <x v="1380"/>
    <s v="Budi Fauziah"/>
    <x v="24"/>
    <x v="2"/>
    <n v="5000"/>
    <n v="2"/>
    <n v="0"/>
    <n v="10000"/>
    <n v="0"/>
    <n v="10000"/>
    <n v="0"/>
    <n v="10000"/>
    <x v="2"/>
    <x v="2"/>
    <x v="1"/>
    <x v="2"/>
    <x v="1"/>
    <s v="Rendah"/>
    <x v="1"/>
    <s v="sangat rendah"/>
  </r>
  <r>
    <s v="ORD01023"/>
    <x v="1381"/>
    <s v="Bella Nugroho"/>
    <x v="19"/>
    <x v="3"/>
    <n v="14000"/>
    <n v="4"/>
    <n v="15"/>
    <n v="56000"/>
    <n v="8400"/>
    <n v="47600"/>
    <n v="55000"/>
    <n v="102600"/>
    <x v="1"/>
    <x v="2"/>
    <x v="0"/>
    <x v="4"/>
    <x v="0"/>
    <s v="Bagus"/>
    <x v="0"/>
    <s v="rendah"/>
  </r>
  <r>
    <s v="ORD01497"/>
    <x v="1382"/>
    <s v="Erna Santoso"/>
    <x v="18"/>
    <x v="14"/>
    <n v="18000"/>
    <n v="2"/>
    <n v="10"/>
    <n v="36000"/>
    <n v="3600"/>
    <n v="32400"/>
    <n v="43000"/>
    <n v="75400"/>
    <x v="2"/>
    <x v="2"/>
    <x v="0"/>
    <x v="3"/>
    <x v="0"/>
    <s v="Bagus"/>
    <x v="1"/>
    <s v="sangat rendah"/>
  </r>
  <r>
    <s v="ORD01001"/>
    <x v="1383"/>
    <s v="Sari Saputra"/>
    <x v="34"/>
    <x v="0"/>
    <n v="16000"/>
    <n v="5"/>
    <n v="0"/>
    <n v="80000"/>
    <n v="0"/>
    <n v="80000"/>
    <n v="80000"/>
    <n v="160000"/>
    <x v="0"/>
    <x v="4"/>
    <x v="2"/>
    <x v="1"/>
    <x v="0"/>
    <s v="Rendah"/>
    <x v="1"/>
    <s v="sangat rendah"/>
  </r>
  <r>
    <s v="ORD00098"/>
    <x v="1384"/>
    <s v="Hendra Ramadhani"/>
    <x v="6"/>
    <x v="17"/>
    <n v="15000"/>
    <n v="4"/>
    <n v="15"/>
    <n v="60000"/>
    <n v="9000"/>
    <n v="51000"/>
    <n v="30000"/>
    <n v="81000"/>
    <x v="3"/>
    <x v="2"/>
    <x v="1"/>
    <x v="0"/>
    <x v="1"/>
    <s v="Standar"/>
    <x v="0"/>
    <s v="rendah"/>
  </r>
  <r>
    <s v="ORD00361"/>
    <x v="1385"/>
    <s v="Gita Iskandar"/>
    <x v="19"/>
    <x v="8"/>
    <n v="14000"/>
    <n v="3"/>
    <n v="20"/>
    <n v="42000"/>
    <n v="8400"/>
    <n v="33600"/>
    <n v="55000"/>
    <n v="88600"/>
    <x v="0"/>
    <x v="2"/>
    <x v="2"/>
    <x v="4"/>
    <x v="0"/>
    <s v="Bagus"/>
    <x v="0"/>
    <s v="rendah"/>
  </r>
  <r>
    <s v="ORD01310"/>
    <x v="1386"/>
    <s v="Tono Ananda"/>
    <x v="1"/>
    <x v="9"/>
    <n v="35000"/>
    <n v="1"/>
    <n v="20"/>
    <n v="35000"/>
    <n v="7000"/>
    <n v="28000"/>
    <n v="59000"/>
    <n v="87000"/>
    <x v="2"/>
    <x v="2"/>
    <x v="2"/>
    <x v="4"/>
    <x v="1"/>
    <s v="Bagus"/>
    <x v="0"/>
    <s v="rendah"/>
  </r>
  <r>
    <s v="ORD01345"/>
    <x v="1387"/>
    <s v="Citra Kurniawan"/>
    <x v="32"/>
    <x v="3"/>
    <n v="14000"/>
    <n v="5"/>
    <n v="5"/>
    <n v="70000"/>
    <n v="3500"/>
    <n v="66500"/>
    <n v="59000"/>
    <n v="125500"/>
    <x v="2"/>
    <x v="2"/>
    <x v="2"/>
    <x v="2"/>
    <x v="0"/>
    <s v="Rendah"/>
    <x v="1"/>
    <s v="sangat rendah"/>
  </r>
  <r>
    <s v="ORD01753"/>
    <x v="1388"/>
    <s v="Dina Hidayat"/>
    <x v="23"/>
    <x v="24"/>
    <n v="22000"/>
    <n v="1"/>
    <n v="15"/>
    <n v="22000"/>
    <n v="3300"/>
    <n v="18700"/>
    <n v="49000"/>
    <n v="67700"/>
    <x v="0"/>
    <x v="4"/>
    <x v="1"/>
    <x v="3"/>
    <x v="0"/>
    <s v="Bagus"/>
    <x v="1"/>
    <s v="sangat rendah"/>
  </r>
  <r>
    <s v="ORD01831"/>
    <x v="1389"/>
    <s v="Yani Santoso"/>
    <x v="20"/>
    <x v="24"/>
    <n v="22000"/>
    <n v="3"/>
    <n v="10"/>
    <n v="66000"/>
    <n v="6600"/>
    <n v="59400"/>
    <n v="85000"/>
    <n v="144400"/>
    <x v="2"/>
    <x v="2"/>
    <x v="4"/>
    <x v="1"/>
    <x v="0"/>
    <s v="Rendah"/>
    <x v="0"/>
    <s v="rendah"/>
  </r>
  <r>
    <s v="ORD00214"/>
    <x v="1390"/>
    <s v="Eka Syahputra"/>
    <x v="30"/>
    <x v="4"/>
    <n v="6000"/>
    <n v="2"/>
    <n v="10"/>
    <n v="12000"/>
    <n v="1200"/>
    <n v="10800"/>
    <n v="97000"/>
    <n v="107800"/>
    <x v="1"/>
    <x v="2"/>
    <x v="1"/>
    <x v="1"/>
    <x v="0"/>
    <s v="Rendah"/>
    <x v="1"/>
    <s v="sangat rendah"/>
  </r>
  <r>
    <s v="ORD01045"/>
    <x v="1391"/>
    <s v="Dewi Utami"/>
    <x v="4"/>
    <x v="13"/>
    <n v="17000"/>
    <n v="3"/>
    <n v="0"/>
    <n v="51000"/>
    <n v="0"/>
    <n v="51000"/>
    <n v="0"/>
    <n v="51000"/>
    <x v="2"/>
    <x v="2"/>
    <x v="2"/>
    <x v="2"/>
    <x v="0"/>
    <s v="Rendah"/>
    <x v="1"/>
    <s v="sangat rendah"/>
  </r>
  <r>
    <s v="ORD01017"/>
    <x v="1392"/>
    <s v="Aulia Rahmawati"/>
    <x v="8"/>
    <x v="8"/>
    <n v="14000"/>
    <n v="5"/>
    <n v="20"/>
    <n v="70000"/>
    <n v="14000"/>
    <n v="56000"/>
    <n v="87000"/>
    <n v="143000"/>
    <x v="3"/>
    <x v="2"/>
    <x v="1"/>
    <x v="0"/>
    <x v="0"/>
    <s v="Standar"/>
    <x v="2"/>
    <s v="normal"/>
  </r>
  <r>
    <s v="ORD00943"/>
    <x v="1393"/>
    <s v="Citra Iskandar"/>
    <x v="17"/>
    <x v="23"/>
    <n v="45000"/>
    <n v="2"/>
    <n v="10"/>
    <n v="90000"/>
    <n v="9000"/>
    <n v="81000"/>
    <n v="50000"/>
    <n v="131000"/>
    <x v="1"/>
    <x v="4"/>
    <x v="0"/>
    <x v="4"/>
    <x v="0"/>
    <s v="Bagus"/>
    <x v="0"/>
    <s v="rendah"/>
  </r>
  <r>
    <s v="ORD00234"/>
    <x v="1394"/>
    <s v="Dina Nugroho"/>
    <x v="30"/>
    <x v="23"/>
    <n v="45000"/>
    <n v="3"/>
    <n v="0"/>
    <n v="135000"/>
    <n v="0"/>
    <n v="135000"/>
    <n v="97000"/>
    <n v="232000"/>
    <x v="0"/>
    <x v="3"/>
    <x v="3"/>
    <x v="0"/>
    <x v="0"/>
    <s v="Standar"/>
    <x v="1"/>
    <s v="sangat rendah"/>
  </r>
  <r>
    <s v="ORD01146"/>
    <x v="1395"/>
    <s v="Arif Fauziah"/>
    <x v="22"/>
    <x v="24"/>
    <n v="22000"/>
    <n v="1"/>
    <n v="10"/>
    <n v="22000"/>
    <n v="2200"/>
    <n v="19800"/>
    <n v="80000"/>
    <n v="99800"/>
    <x v="1"/>
    <x v="2"/>
    <x v="2"/>
    <x v="4"/>
    <x v="1"/>
    <s v="Bagus"/>
    <x v="1"/>
    <s v="sangat rendah"/>
  </r>
  <r>
    <s v="ORD01600"/>
    <x v="1396"/>
    <s v="Gita Utami"/>
    <x v="31"/>
    <x v="16"/>
    <n v="28000"/>
    <n v="3"/>
    <n v="0"/>
    <n v="84000"/>
    <n v="0"/>
    <n v="84000"/>
    <n v="18000"/>
    <n v="102000"/>
    <x v="2"/>
    <x v="4"/>
    <x v="3"/>
    <x v="0"/>
    <x v="0"/>
    <s v="Standar"/>
    <x v="1"/>
    <s v="sangat rendah"/>
  </r>
  <r>
    <s v="ORD01487"/>
    <x v="1397"/>
    <s v="Dimas Halim"/>
    <x v="17"/>
    <x v="22"/>
    <n v="18000"/>
    <n v="4"/>
    <n v="20"/>
    <n v="72000"/>
    <n v="14400"/>
    <n v="57600"/>
    <n v="50000"/>
    <n v="107600"/>
    <x v="0"/>
    <x v="2"/>
    <x v="4"/>
    <x v="1"/>
    <x v="1"/>
    <s v="Rendah"/>
    <x v="2"/>
    <s v="normal"/>
  </r>
  <r>
    <s v="ORD00667"/>
    <x v="1398"/>
    <s v="Iwan Budiman"/>
    <x v="35"/>
    <x v="20"/>
    <n v="40000"/>
    <n v="2"/>
    <n v="5"/>
    <n v="80000"/>
    <n v="4000"/>
    <n v="76000"/>
    <n v="76000"/>
    <n v="152000"/>
    <x v="0"/>
    <x v="4"/>
    <x v="2"/>
    <x v="1"/>
    <x v="1"/>
    <s v="Rendah"/>
    <x v="1"/>
    <s v="sangat rendah"/>
  </r>
  <r>
    <s v="ORD01380"/>
    <x v="1399"/>
    <s v="Indra Setiawan"/>
    <x v="11"/>
    <x v="23"/>
    <n v="45000"/>
    <n v="1"/>
    <n v="10"/>
    <n v="45000"/>
    <n v="4500"/>
    <n v="40500"/>
    <n v="56000"/>
    <n v="96500"/>
    <x v="1"/>
    <x v="2"/>
    <x v="1"/>
    <x v="4"/>
    <x v="1"/>
    <s v="Bagus"/>
    <x v="1"/>
    <s v="sangat rendah"/>
  </r>
  <r>
    <s v="ORD01290"/>
    <x v="1400"/>
    <s v="Putri Setiawan"/>
    <x v="32"/>
    <x v="13"/>
    <n v="17000"/>
    <n v="3"/>
    <n v="5"/>
    <n v="51000"/>
    <n v="2550"/>
    <n v="48450"/>
    <n v="59000"/>
    <n v="107450"/>
    <x v="2"/>
    <x v="2"/>
    <x v="4"/>
    <x v="3"/>
    <x v="0"/>
    <s v="Bagus"/>
    <x v="1"/>
    <s v="sangat rendah"/>
  </r>
  <r>
    <s v="ORD01078"/>
    <x v="1401"/>
    <s v="Qori Utami"/>
    <x v="37"/>
    <x v="13"/>
    <n v="17000"/>
    <n v="3"/>
    <n v="5"/>
    <n v="51000"/>
    <n v="2550"/>
    <n v="48450"/>
    <n v="57000"/>
    <n v="105450"/>
    <x v="2"/>
    <x v="2"/>
    <x v="3"/>
    <x v="2"/>
    <x v="0"/>
    <s v="Rendah"/>
    <x v="1"/>
    <s v="sangat rendah"/>
  </r>
  <r>
    <s v="ORD00030"/>
    <x v="1402"/>
    <s v="Indra Halim"/>
    <x v="2"/>
    <x v="1"/>
    <n v="17000"/>
    <n v="1"/>
    <n v="20"/>
    <n v="17000"/>
    <n v="3400"/>
    <n v="13600"/>
    <n v="26000"/>
    <n v="39600"/>
    <x v="0"/>
    <x v="4"/>
    <x v="4"/>
    <x v="3"/>
    <x v="1"/>
    <s v="Bagus"/>
    <x v="1"/>
    <s v="sangat rendah"/>
  </r>
  <r>
    <s v="ORD00352"/>
    <x v="1403"/>
    <s v="Aulia Iskandar"/>
    <x v="12"/>
    <x v="16"/>
    <n v="28000"/>
    <n v="3"/>
    <n v="15"/>
    <n v="84000"/>
    <n v="12600"/>
    <n v="71400"/>
    <n v="74000"/>
    <n v="145400"/>
    <x v="0"/>
    <x v="4"/>
    <x v="0"/>
    <x v="4"/>
    <x v="0"/>
    <s v="Bagus"/>
    <x v="2"/>
    <s v="normal"/>
  </r>
  <r>
    <s v="ORD00352"/>
    <x v="1403"/>
    <s v="Aulia Iskandar"/>
    <x v="12"/>
    <x v="17"/>
    <n v="15000"/>
    <n v="4"/>
    <n v="15"/>
    <n v="60000"/>
    <n v="9000"/>
    <n v="51000"/>
    <n v="0"/>
    <n v="51000"/>
    <x v="0"/>
    <x v="4"/>
    <x v="0"/>
    <x v="4"/>
    <x v="0"/>
    <s v="Bagus"/>
    <x v="0"/>
    <s v="rendah"/>
  </r>
  <r>
    <s v="ORD01661"/>
    <x v="1404"/>
    <s v="Qori Santoso"/>
    <x v="7"/>
    <x v="23"/>
    <n v="45000"/>
    <n v="1"/>
    <n v="20"/>
    <n v="45000"/>
    <n v="9000"/>
    <n v="36000"/>
    <n v="15000"/>
    <n v="51000"/>
    <x v="2"/>
    <x v="2"/>
    <x v="0"/>
    <x v="2"/>
    <x v="0"/>
    <s v="Rendah"/>
    <x v="0"/>
    <s v="rendah"/>
  </r>
  <r>
    <s v="ORD01036"/>
    <x v="1405"/>
    <s v="Yani Santoso"/>
    <x v="20"/>
    <x v="14"/>
    <n v="18000"/>
    <n v="5"/>
    <n v="5"/>
    <n v="90000"/>
    <n v="4500"/>
    <n v="85500"/>
    <n v="85000"/>
    <n v="170500"/>
    <x v="2"/>
    <x v="4"/>
    <x v="2"/>
    <x v="4"/>
    <x v="0"/>
    <s v="Bagus"/>
    <x v="1"/>
    <s v="sangat rendah"/>
  </r>
  <r>
    <s v="ORD00638"/>
    <x v="1406"/>
    <s v="Iwan Rahmawati"/>
    <x v="4"/>
    <x v="24"/>
    <n v="22000"/>
    <n v="1"/>
    <n v="20"/>
    <n v="22000"/>
    <n v="4400"/>
    <n v="17600"/>
    <n v="0"/>
    <n v="17600"/>
    <x v="1"/>
    <x v="2"/>
    <x v="3"/>
    <x v="2"/>
    <x v="1"/>
    <s v="Rendah"/>
    <x v="1"/>
    <s v="sangat rendah"/>
  </r>
  <r>
    <s v="ORD00400"/>
    <x v="1407"/>
    <s v="Dewi Pradipta"/>
    <x v="20"/>
    <x v="0"/>
    <n v="16000"/>
    <n v="3"/>
    <n v="10"/>
    <n v="48000"/>
    <n v="4800"/>
    <n v="43200"/>
    <n v="85000"/>
    <n v="128200"/>
    <x v="1"/>
    <x v="2"/>
    <x v="3"/>
    <x v="2"/>
    <x v="0"/>
    <s v="Rendah"/>
    <x v="1"/>
    <s v="sangat rendah"/>
  </r>
  <r>
    <s v="ORD00400"/>
    <x v="1407"/>
    <s v="Dewi Pradipta"/>
    <x v="20"/>
    <x v="1"/>
    <n v="17000"/>
    <n v="4"/>
    <n v="5"/>
    <n v="68000"/>
    <n v="3400"/>
    <n v="64600"/>
    <n v="0"/>
    <n v="64600"/>
    <x v="1"/>
    <x v="2"/>
    <x v="3"/>
    <x v="2"/>
    <x v="0"/>
    <s v="Rendah"/>
    <x v="1"/>
    <s v="sangat rendah"/>
  </r>
  <r>
    <s v="ORD00355"/>
    <x v="1408"/>
    <s v="Eka Ananda"/>
    <x v="10"/>
    <x v="2"/>
    <n v="5000"/>
    <n v="2"/>
    <n v="0"/>
    <n v="10000"/>
    <n v="0"/>
    <n v="10000"/>
    <n v="84000"/>
    <n v="94000"/>
    <x v="3"/>
    <x v="2"/>
    <x v="0"/>
    <x v="3"/>
    <x v="0"/>
    <s v="Bagus"/>
    <x v="1"/>
    <s v="sangat rendah"/>
  </r>
  <r>
    <s v="ORD01187"/>
    <x v="1409"/>
    <s v="Citra Hidayat"/>
    <x v="32"/>
    <x v="7"/>
    <n v="12000"/>
    <n v="4"/>
    <n v="20"/>
    <n v="48000"/>
    <n v="9600"/>
    <n v="38400"/>
    <n v="59000"/>
    <n v="97400"/>
    <x v="2"/>
    <x v="2"/>
    <x v="4"/>
    <x v="2"/>
    <x v="0"/>
    <s v="Rendah"/>
    <x v="0"/>
    <s v="rendah"/>
  </r>
  <r>
    <s v="ORD00300"/>
    <x v="1410"/>
    <s v="Hana Syahputra"/>
    <x v="10"/>
    <x v="3"/>
    <n v="14000"/>
    <n v="4"/>
    <n v="10"/>
    <n v="56000"/>
    <n v="5600"/>
    <n v="50400"/>
    <n v="84000"/>
    <n v="134400"/>
    <x v="0"/>
    <x v="2"/>
    <x v="2"/>
    <x v="4"/>
    <x v="0"/>
    <s v="Bagus"/>
    <x v="0"/>
    <s v="rendah"/>
  </r>
  <r>
    <s v="ORD00372"/>
    <x v="1411"/>
    <s v="Aulia Utami"/>
    <x v="5"/>
    <x v="5"/>
    <n v="50000"/>
    <n v="4"/>
    <n v="15"/>
    <n v="200000"/>
    <n v="30000"/>
    <n v="170000"/>
    <n v="78000"/>
    <n v="248000"/>
    <x v="2"/>
    <x v="2"/>
    <x v="1"/>
    <x v="1"/>
    <x v="0"/>
    <s v="Rendah"/>
    <x v="4"/>
    <s v="tinggi"/>
  </r>
  <r>
    <s v="ORD01644"/>
    <x v="1412"/>
    <s v="Zahra Budiman"/>
    <x v="36"/>
    <x v="25"/>
    <n v="40000"/>
    <n v="4"/>
    <n v="15"/>
    <n v="160000"/>
    <n v="24000"/>
    <n v="136000"/>
    <n v="49000"/>
    <n v="185000"/>
    <x v="3"/>
    <x v="2"/>
    <x v="2"/>
    <x v="1"/>
    <x v="0"/>
    <s v="Rendah"/>
    <x v="4"/>
    <s v="tinggi"/>
  </r>
  <r>
    <s v="ORD01044"/>
    <x v="1413"/>
    <s v="Citra Rahmawati"/>
    <x v="16"/>
    <x v="8"/>
    <n v="14000"/>
    <n v="4"/>
    <n v="20"/>
    <n v="56000"/>
    <n v="11200"/>
    <n v="44800"/>
    <n v="50000"/>
    <n v="94800"/>
    <x v="3"/>
    <x v="2"/>
    <x v="0"/>
    <x v="1"/>
    <x v="0"/>
    <s v="Rendah"/>
    <x v="2"/>
    <s v="normal"/>
  </r>
  <r>
    <s v="ORD00573"/>
    <x v="1414"/>
    <s v="Vina Syahputra"/>
    <x v="23"/>
    <x v="5"/>
    <n v="50000"/>
    <n v="3"/>
    <n v="5"/>
    <n v="150000"/>
    <n v="7500"/>
    <n v="142500"/>
    <n v="49000"/>
    <n v="191500"/>
    <x v="3"/>
    <x v="2"/>
    <x v="2"/>
    <x v="2"/>
    <x v="0"/>
    <s v="Rendah"/>
    <x v="0"/>
    <s v="rendah"/>
  </r>
  <r>
    <s v="ORD01248"/>
    <x v="1415"/>
    <s v="Citra Maulana"/>
    <x v="21"/>
    <x v="12"/>
    <n v="25000"/>
    <n v="5"/>
    <n v="0"/>
    <n v="125000"/>
    <n v="0"/>
    <n v="125000"/>
    <n v="72000"/>
    <n v="197000"/>
    <x v="0"/>
    <x v="2"/>
    <x v="4"/>
    <x v="4"/>
    <x v="0"/>
    <s v="Bagus"/>
    <x v="1"/>
    <s v="sangat rendah"/>
  </r>
  <r>
    <s v="ORD00591"/>
    <x v="1416"/>
    <s v="Eka Maulana"/>
    <x v="35"/>
    <x v="26"/>
    <n v="16000"/>
    <n v="3"/>
    <n v="0"/>
    <n v="48000"/>
    <n v="0"/>
    <n v="48000"/>
    <n v="76000"/>
    <n v="124000"/>
    <x v="0"/>
    <x v="2"/>
    <x v="1"/>
    <x v="0"/>
    <x v="0"/>
    <s v="Standar"/>
    <x v="1"/>
    <s v="sangat rendah"/>
  </r>
  <r>
    <s v="ORD01574"/>
    <x v="1417"/>
    <s v="Dewi Puspita"/>
    <x v="6"/>
    <x v="25"/>
    <n v="40000"/>
    <n v="5"/>
    <n v="10"/>
    <n v="200000"/>
    <n v="20000"/>
    <n v="180000"/>
    <n v="30000"/>
    <n v="210000"/>
    <x v="3"/>
    <x v="2"/>
    <x v="1"/>
    <x v="0"/>
    <x v="0"/>
    <s v="Standar"/>
    <x v="2"/>
    <s v="normal"/>
  </r>
  <r>
    <s v="ORD01404"/>
    <x v="1418"/>
    <s v="Qori Saputra"/>
    <x v="15"/>
    <x v="26"/>
    <n v="16000"/>
    <n v="3"/>
    <n v="0"/>
    <n v="48000"/>
    <n v="0"/>
    <n v="48000"/>
    <n v="17000"/>
    <n v="65000"/>
    <x v="2"/>
    <x v="2"/>
    <x v="0"/>
    <x v="4"/>
    <x v="0"/>
    <s v="Bagus"/>
    <x v="1"/>
    <s v="sangat rendah"/>
  </r>
  <r>
    <s v="ORD00289"/>
    <x v="1419"/>
    <s v="Erna Kurniawan"/>
    <x v="2"/>
    <x v="26"/>
    <n v="16000"/>
    <n v="3"/>
    <n v="10"/>
    <n v="48000"/>
    <n v="4800"/>
    <n v="43200"/>
    <n v="26000"/>
    <n v="69200"/>
    <x v="3"/>
    <x v="2"/>
    <x v="0"/>
    <x v="2"/>
    <x v="0"/>
    <s v="Rendah"/>
    <x v="1"/>
    <s v="sangat rendah"/>
  </r>
  <r>
    <s v="ORD00936"/>
    <x v="1420"/>
    <s v="Yani Ananda"/>
    <x v="11"/>
    <x v="18"/>
    <n v="16000"/>
    <n v="5"/>
    <n v="15"/>
    <n v="80000"/>
    <n v="12000"/>
    <n v="68000"/>
    <n v="56000"/>
    <n v="124000"/>
    <x v="2"/>
    <x v="2"/>
    <x v="2"/>
    <x v="4"/>
    <x v="0"/>
    <s v="Bagus"/>
    <x v="2"/>
    <s v="normal"/>
  </r>
  <r>
    <s v="ORD00922"/>
    <x v="1421"/>
    <s v="Bella Hidayat"/>
    <x v="28"/>
    <x v="14"/>
    <n v="18000"/>
    <n v="2"/>
    <n v="15"/>
    <n v="36000"/>
    <n v="5400"/>
    <n v="30600"/>
    <n v="79000"/>
    <n v="109600"/>
    <x v="3"/>
    <x v="2"/>
    <x v="1"/>
    <x v="4"/>
    <x v="0"/>
    <s v="Bagus"/>
    <x v="0"/>
    <s v="rendah"/>
  </r>
  <r>
    <s v="ORD01582"/>
    <x v="1422"/>
    <s v="Eka Rahmawati"/>
    <x v="18"/>
    <x v="20"/>
    <n v="40000"/>
    <n v="2"/>
    <n v="5"/>
    <n v="80000"/>
    <n v="4000"/>
    <n v="76000"/>
    <n v="43000"/>
    <n v="119000"/>
    <x v="3"/>
    <x v="3"/>
    <x v="0"/>
    <x v="4"/>
    <x v="0"/>
    <s v="Bagus"/>
    <x v="1"/>
    <s v="sangat rendah"/>
  </r>
  <r>
    <s v="ORD01373"/>
    <x v="1423"/>
    <s v="Kartika Hidayat"/>
    <x v="10"/>
    <x v="2"/>
    <n v="5000"/>
    <n v="3"/>
    <n v="20"/>
    <n v="15000"/>
    <n v="3000"/>
    <n v="12000"/>
    <n v="84000"/>
    <n v="96000"/>
    <x v="0"/>
    <x v="2"/>
    <x v="3"/>
    <x v="3"/>
    <x v="0"/>
    <s v="Bagus"/>
    <x v="1"/>
    <s v="sangat rendah"/>
  </r>
  <r>
    <s v="ORD00320"/>
    <x v="1424"/>
    <s v="Zahra Kurniawan"/>
    <x v="7"/>
    <x v="1"/>
    <n v="17000"/>
    <n v="3"/>
    <n v="20"/>
    <n v="51000"/>
    <n v="10200"/>
    <n v="40800"/>
    <n v="15000"/>
    <n v="55800"/>
    <x v="1"/>
    <x v="2"/>
    <x v="2"/>
    <x v="3"/>
    <x v="0"/>
    <s v="Bagus"/>
    <x v="2"/>
    <s v="normal"/>
  </r>
  <r>
    <s v="ORD00320"/>
    <x v="1424"/>
    <s v="Zahra Kurniawan"/>
    <x v="7"/>
    <x v="18"/>
    <n v="16000"/>
    <n v="4"/>
    <n v="5"/>
    <n v="64000"/>
    <n v="3200"/>
    <n v="60800"/>
    <n v="0"/>
    <n v="60800"/>
    <x v="1"/>
    <x v="2"/>
    <x v="2"/>
    <x v="3"/>
    <x v="0"/>
    <s v="Bagus"/>
    <x v="1"/>
    <s v="sangat rendah"/>
  </r>
  <r>
    <s v="ORD01655"/>
    <x v="1425"/>
    <s v="Zahra Budiman"/>
    <x v="36"/>
    <x v="8"/>
    <n v="14000"/>
    <n v="5"/>
    <n v="15"/>
    <n v="70000"/>
    <n v="10500"/>
    <n v="59500"/>
    <n v="49000"/>
    <n v="108500"/>
    <x v="0"/>
    <x v="2"/>
    <x v="1"/>
    <x v="3"/>
    <x v="0"/>
    <s v="Bagus"/>
    <x v="2"/>
    <s v="normal"/>
  </r>
  <r>
    <s v="ORD00584"/>
    <x v="1426"/>
    <s v="Wahyu Fauziah"/>
    <x v="28"/>
    <x v="5"/>
    <n v="50000"/>
    <n v="2"/>
    <n v="15"/>
    <n v="100000"/>
    <n v="15000"/>
    <n v="85000"/>
    <n v="79000"/>
    <n v="164000"/>
    <x v="2"/>
    <x v="2"/>
    <x v="0"/>
    <x v="2"/>
    <x v="1"/>
    <s v="Rendah"/>
    <x v="2"/>
    <s v="normal"/>
  </r>
  <r>
    <s v="ORD01538"/>
    <x v="1427"/>
    <s v="Zahra Santoso"/>
    <x v="29"/>
    <x v="7"/>
    <n v="12000"/>
    <n v="2"/>
    <n v="10"/>
    <n v="24000"/>
    <n v="2400"/>
    <n v="21600"/>
    <n v="89000"/>
    <n v="110600"/>
    <x v="2"/>
    <x v="2"/>
    <x v="3"/>
    <x v="4"/>
    <x v="0"/>
    <s v="Bagus"/>
    <x v="1"/>
    <s v="sangat rendah"/>
  </r>
  <r>
    <s v="ORD00808"/>
    <x v="1428"/>
    <s v="Zahra Ananda"/>
    <x v="4"/>
    <x v="2"/>
    <n v="5000"/>
    <n v="4"/>
    <n v="0"/>
    <n v="20000"/>
    <n v="0"/>
    <n v="20000"/>
    <n v="0"/>
    <n v="20000"/>
    <x v="0"/>
    <x v="2"/>
    <x v="0"/>
    <x v="3"/>
    <x v="0"/>
    <s v="Bagus"/>
    <x v="1"/>
    <s v="sangat rendah"/>
  </r>
  <r>
    <s v="ORD00991"/>
    <x v="1429"/>
    <s v="Indra Halim"/>
    <x v="2"/>
    <x v="6"/>
    <n v="55000"/>
    <n v="2"/>
    <n v="5"/>
    <n v="110000"/>
    <n v="5500"/>
    <n v="104500"/>
    <n v="26000"/>
    <n v="130500"/>
    <x v="3"/>
    <x v="2"/>
    <x v="3"/>
    <x v="3"/>
    <x v="1"/>
    <s v="Bagus"/>
    <x v="0"/>
    <s v="rendah"/>
  </r>
  <r>
    <s v="ORD00887"/>
    <x v="1430"/>
    <s v="Bayu Maulana"/>
    <x v="29"/>
    <x v="3"/>
    <n v="14000"/>
    <n v="4"/>
    <n v="20"/>
    <n v="56000"/>
    <n v="11200"/>
    <n v="44800"/>
    <n v="89000"/>
    <n v="133800"/>
    <x v="0"/>
    <x v="2"/>
    <x v="2"/>
    <x v="1"/>
    <x v="1"/>
    <s v="Rendah"/>
    <x v="2"/>
    <s v="normal"/>
  </r>
  <r>
    <s v="ORD00871"/>
    <x v="1431"/>
    <s v="Putri Kurniawan"/>
    <x v="29"/>
    <x v="24"/>
    <n v="22000"/>
    <n v="1"/>
    <n v="20"/>
    <n v="22000"/>
    <n v="4400"/>
    <n v="17600"/>
    <n v="89000"/>
    <n v="106600"/>
    <x v="1"/>
    <x v="2"/>
    <x v="3"/>
    <x v="1"/>
    <x v="0"/>
    <s v="Rendah"/>
    <x v="1"/>
    <s v="sangat rendah"/>
  </r>
  <r>
    <s v="ORD00762"/>
    <x v="1432"/>
    <s v="Lestari Wijaya"/>
    <x v="4"/>
    <x v="11"/>
    <n v="30000"/>
    <n v="1"/>
    <n v="15"/>
    <n v="30000"/>
    <n v="4500"/>
    <n v="25500"/>
    <n v="0"/>
    <n v="25500"/>
    <x v="1"/>
    <x v="2"/>
    <x v="3"/>
    <x v="3"/>
    <x v="0"/>
    <s v="Bagus"/>
    <x v="1"/>
    <s v="sangat rendah"/>
  </r>
  <r>
    <s v="ORD01561"/>
    <x v="1433"/>
    <s v="Zahra Rahmawati"/>
    <x v="21"/>
    <x v="18"/>
    <n v="16000"/>
    <n v="1"/>
    <n v="5"/>
    <n v="16000"/>
    <n v="800"/>
    <n v="15200"/>
    <n v="72000"/>
    <n v="87200"/>
    <x v="3"/>
    <x v="2"/>
    <x v="1"/>
    <x v="0"/>
    <x v="0"/>
    <s v="Standar"/>
    <x v="1"/>
    <s v="sangat rendah"/>
  </r>
  <r>
    <s v="ORD01649"/>
    <x v="1434"/>
    <s v="Rizky Budiman"/>
    <x v="34"/>
    <x v="8"/>
    <n v="14000"/>
    <n v="5"/>
    <n v="20"/>
    <n v="70000"/>
    <n v="14000"/>
    <n v="56000"/>
    <n v="80000"/>
    <n v="136000"/>
    <x v="0"/>
    <x v="4"/>
    <x v="3"/>
    <x v="4"/>
    <x v="1"/>
    <s v="Bagus"/>
    <x v="2"/>
    <s v="normal"/>
  </r>
  <r>
    <s v="ORD00564"/>
    <x v="1435"/>
    <s v="Zahra Santoso"/>
    <x v="29"/>
    <x v="16"/>
    <n v="28000"/>
    <n v="3"/>
    <n v="20"/>
    <n v="84000"/>
    <n v="16800"/>
    <n v="67200"/>
    <n v="89000"/>
    <n v="156200"/>
    <x v="2"/>
    <x v="3"/>
    <x v="4"/>
    <x v="1"/>
    <x v="0"/>
    <s v="Rendah"/>
    <x v="2"/>
    <s v="normal"/>
  </r>
  <r>
    <s v="ORD01138"/>
    <x v="1436"/>
    <s v="Aulia Budiman"/>
    <x v="30"/>
    <x v="18"/>
    <n v="16000"/>
    <n v="2"/>
    <n v="5"/>
    <n v="32000"/>
    <n v="1600"/>
    <n v="30400"/>
    <n v="97000"/>
    <n v="127400"/>
    <x v="0"/>
    <x v="2"/>
    <x v="0"/>
    <x v="4"/>
    <x v="0"/>
    <s v="Bagus"/>
    <x v="1"/>
    <s v="sangat rendah"/>
  </r>
  <r>
    <s v="ORD01428"/>
    <x v="1437"/>
    <s v="Hana Saputra"/>
    <x v="21"/>
    <x v="10"/>
    <n v="45000"/>
    <n v="2"/>
    <n v="10"/>
    <n v="90000"/>
    <n v="9000"/>
    <n v="81000"/>
    <n v="72000"/>
    <n v="153000"/>
    <x v="1"/>
    <x v="4"/>
    <x v="3"/>
    <x v="2"/>
    <x v="0"/>
    <s v="Rendah"/>
    <x v="0"/>
    <s v="rendah"/>
  </r>
  <r>
    <s v="ORD01658"/>
    <x v="1438"/>
    <s v="Kartika Fauziah"/>
    <x v="11"/>
    <x v="3"/>
    <n v="14000"/>
    <n v="1"/>
    <n v="5"/>
    <n v="14000"/>
    <n v="700"/>
    <n v="13300"/>
    <n v="56000"/>
    <n v="69300"/>
    <x v="1"/>
    <x v="2"/>
    <x v="4"/>
    <x v="2"/>
    <x v="0"/>
    <s v="Rendah"/>
    <x v="1"/>
    <s v="sangat rendah"/>
  </r>
  <r>
    <s v="ORD01678"/>
    <x v="1439"/>
    <s v="Clara Setiawan"/>
    <x v="3"/>
    <x v="8"/>
    <n v="14000"/>
    <n v="1"/>
    <n v="20"/>
    <n v="14000"/>
    <n v="2800"/>
    <n v="11200"/>
    <n v="18000"/>
    <n v="29200"/>
    <x v="2"/>
    <x v="2"/>
    <x v="3"/>
    <x v="1"/>
    <x v="0"/>
    <s v="Rendah"/>
    <x v="1"/>
    <s v="sangat rendah"/>
  </r>
  <r>
    <s v="ORD01815"/>
    <x v="1440"/>
    <s v="Erna Fauziah"/>
    <x v="11"/>
    <x v="25"/>
    <n v="40000"/>
    <n v="5"/>
    <n v="15"/>
    <n v="200000"/>
    <n v="30000"/>
    <n v="170000"/>
    <n v="56000"/>
    <n v="226000"/>
    <x v="2"/>
    <x v="2"/>
    <x v="0"/>
    <x v="3"/>
    <x v="0"/>
    <s v="Bagus"/>
    <x v="4"/>
    <s v="tinggi"/>
  </r>
  <r>
    <s v="ORD01006"/>
    <x v="1441"/>
    <s v="Clara Ananda"/>
    <x v="4"/>
    <x v="22"/>
    <n v="18000"/>
    <n v="2"/>
    <n v="10"/>
    <n v="36000"/>
    <n v="3600"/>
    <n v="32400"/>
    <n v="0"/>
    <n v="32400"/>
    <x v="1"/>
    <x v="2"/>
    <x v="3"/>
    <x v="1"/>
    <x v="0"/>
    <s v="Rendah"/>
    <x v="1"/>
    <s v="sangat rendah"/>
  </r>
  <r>
    <s v="ORD01767"/>
    <x v="1442"/>
    <s v="Putri Saputra"/>
    <x v="20"/>
    <x v="6"/>
    <n v="55000"/>
    <n v="4"/>
    <n v="10"/>
    <n v="220000"/>
    <n v="22000"/>
    <n v="198000"/>
    <n v="85000"/>
    <n v="283000"/>
    <x v="2"/>
    <x v="2"/>
    <x v="1"/>
    <x v="1"/>
    <x v="0"/>
    <s v="Rendah"/>
    <x v="4"/>
    <s v="tinggi"/>
  </r>
  <r>
    <s v="ORD01099"/>
    <x v="1443"/>
    <s v="Lestari Santoso"/>
    <x v="31"/>
    <x v="14"/>
    <n v="18000"/>
    <n v="1"/>
    <n v="5"/>
    <n v="18000"/>
    <n v="900"/>
    <n v="17100"/>
    <n v="18000"/>
    <n v="35100"/>
    <x v="0"/>
    <x v="2"/>
    <x v="0"/>
    <x v="0"/>
    <x v="0"/>
    <s v="Standar"/>
    <x v="1"/>
    <s v="sangat rendah"/>
  </r>
  <r>
    <s v="ORD00779"/>
    <x v="1444"/>
    <s v="Fitri Budiman"/>
    <x v="3"/>
    <x v="13"/>
    <n v="17000"/>
    <n v="5"/>
    <n v="20"/>
    <n v="85000"/>
    <n v="17000"/>
    <n v="68000"/>
    <n v="18000"/>
    <n v="86000"/>
    <x v="3"/>
    <x v="2"/>
    <x v="4"/>
    <x v="2"/>
    <x v="0"/>
    <s v="Rendah"/>
    <x v="2"/>
    <s v="normal"/>
  </r>
  <r>
    <s v="ORD00940"/>
    <x v="1445"/>
    <s v="Yani Budiman"/>
    <x v="16"/>
    <x v="24"/>
    <n v="22000"/>
    <n v="3"/>
    <n v="10"/>
    <n v="66000"/>
    <n v="6600"/>
    <n v="59400"/>
    <n v="50000"/>
    <n v="109400"/>
    <x v="0"/>
    <x v="2"/>
    <x v="4"/>
    <x v="4"/>
    <x v="0"/>
    <s v="Bagus"/>
    <x v="0"/>
    <s v="rendah"/>
  </r>
  <r>
    <s v="ORD00431"/>
    <x v="1446"/>
    <s v="Gita Saputra"/>
    <x v="21"/>
    <x v="18"/>
    <n v="16000"/>
    <n v="4"/>
    <n v="15"/>
    <n v="64000"/>
    <n v="9600"/>
    <n v="54400"/>
    <n v="72000"/>
    <n v="126400"/>
    <x v="0"/>
    <x v="4"/>
    <x v="3"/>
    <x v="4"/>
    <x v="0"/>
    <s v="Bagus"/>
    <x v="0"/>
    <s v="rendah"/>
  </r>
  <r>
    <s v="ORD01375"/>
    <x v="1447"/>
    <s v="Sari Halim"/>
    <x v="19"/>
    <x v="3"/>
    <n v="14000"/>
    <n v="5"/>
    <n v="10"/>
    <n v="70000"/>
    <n v="7000"/>
    <n v="63000"/>
    <n v="55000"/>
    <n v="118000"/>
    <x v="1"/>
    <x v="2"/>
    <x v="2"/>
    <x v="1"/>
    <x v="0"/>
    <s v="Rendah"/>
    <x v="0"/>
    <s v="rendah"/>
  </r>
  <r>
    <s v="ORD01514"/>
    <x v="1448"/>
    <s v="Yani Saputra"/>
    <x v="6"/>
    <x v="4"/>
    <n v="6000"/>
    <n v="4"/>
    <n v="10"/>
    <n v="24000"/>
    <n v="2400"/>
    <n v="21600"/>
    <n v="30000"/>
    <n v="51600"/>
    <x v="1"/>
    <x v="4"/>
    <x v="4"/>
    <x v="1"/>
    <x v="0"/>
    <s v="Rendah"/>
    <x v="1"/>
    <s v="sangat rendah"/>
  </r>
  <r>
    <s v="ORD00439"/>
    <x v="1449"/>
    <s v="Sari Kurniawan"/>
    <x v="28"/>
    <x v="10"/>
    <n v="45000"/>
    <n v="3"/>
    <n v="20"/>
    <n v="135000"/>
    <n v="27000"/>
    <n v="108000"/>
    <n v="79000"/>
    <n v="187000"/>
    <x v="1"/>
    <x v="4"/>
    <x v="3"/>
    <x v="4"/>
    <x v="0"/>
    <s v="Bagus"/>
    <x v="4"/>
    <s v="tinggi"/>
  </r>
  <r>
    <s v="ORD01010"/>
    <x v="1450"/>
    <s v="Oka Santoso"/>
    <x v="3"/>
    <x v="2"/>
    <n v="5000"/>
    <n v="3"/>
    <n v="20"/>
    <n v="15000"/>
    <n v="3000"/>
    <n v="12000"/>
    <n v="18000"/>
    <n v="30000"/>
    <x v="1"/>
    <x v="3"/>
    <x v="0"/>
    <x v="3"/>
    <x v="1"/>
    <s v="Bagus"/>
    <x v="1"/>
    <s v="sangat rendah"/>
  </r>
  <r>
    <s v="ORD01192"/>
    <x v="1451"/>
    <s v="Yani Ramadhani"/>
    <x v="9"/>
    <x v="12"/>
    <n v="25000"/>
    <n v="2"/>
    <n v="5"/>
    <n v="50000"/>
    <n v="2500"/>
    <n v="47500"/>
    <n v="21000"/>
    <n v="68500"/>
    <x v="2"/>
    <x v="2"/>
    <x v="0"/>
    <x v="4"/>
    <x v="0"/>
    <s v="Bagus"/>
    <x v="1"/>
    <s v="sangat rendah"/>
  </r>
  <r>
    <s v="ORD00536"/>
    <x v="1452"/>
    <s v="Yani Utami"/>
    <x v="8"/>
    <x v="1"/>
    <n v="17000"/>
    <n v="4"/>
    <n v="5"/>
    <n v="68000"/>
    <n v="3400"/>
    <n v="64600"/>
    <n v="87000"/>
    <n v="151600"/>
    <x v="0"/>
    <x v="2"/>
    <x v="3"/>
    <x v="2"/>
    <x v="0"/>
    <s v="Rendah"/>
    <x v="1"/>
    <s v="sangat rendah"/>
  </r>
  <r>
    <s v="ORD00918"/>
    <x v="1453"/>
    <s v="Ani Hidayat"/>
    <x v="18"/>
    <x v="2"/>
    <n v="5000"/>
    <n v="4"/>
    <n v="5"/>
    <n v="20000"/>
    <n v="1000"/>
    <n v="19000"/>
    <n v="43000"/>
    <n v="62000"/>
    <x v="2"/>
    <x v="2"/>
    <x v="2"/>
    <x v="0"/>
    <x v="0"/>
    <s v="Standar"/>
    <x v="1"/>
    <s v="sangat rendah"/>
  </r>
  <r>
    <s v="ORD01212"/>
    <x v="1454"/>
    <s v="Indra Syahputra"/>
    <x v="35"/>
    <x v="25"/>
    <n v="40000"/>
    <n v="2"/>
    <n v="20"/>
    <n v="80000"/>
    <n v="16000"/>
    <n v="64000"/>
    <n v="76000"/>
    <n v="140000"/>
    <x v="3"/>
    <x v="2"/>
    <x v="1"/>
    <x v="4"/>
    <x v="1"/>
    <s v="Bagus"/>
    <x v="2"/>
    <s v="normal"/>
  </r>
  <r>
    <s v="ORD00566"/>
    <x v="1455"/>
    <s v="Joko Nugroho"/>
    <x v="26"/>
    <x v="9"/>
    <n v="35000"/>
    <n v="4"/>
    <n v="5"/>
    <n v="140000"/>
    <n v="7000"/>
    <n v="133000"/>
    <n v="28000"/>
    <n v="161000"/>
    <x v="0"/>
    <x v="2"/>
    <x v="4"/>
    <x v="2"/>
    <x v="1"/>
    <s v="Rendah"/>
    <x v="0"/>
    <s v="rendah"/>
  </r>
  <r>
    <s v="ORD01535"/>
    <x v="1456"/>
    <s v="Erna Wijaya"/>
    <x v="26"/>
    <x v="6"/>
    <n v="55000"/>
    <n v="1"/>
    <n v="15"/>
    <n v="55000"/>
    <n v="8250"/>
    <n v="46750"/>
    <n v="28000"/>
    <n v="74750"/>
    <x v="2"/>
    <x v="3"/>
    <x v="1"/>
    <x v="4"/>
    <x v="0"/>
    <s v="Bagus"/>
    <x v="0"/>
    <s v="rendah"/>
  </r>
  <r>
    <s v="ORD00678"/>
    <x v="1457"/>
    <s v="Hana Nugroho"/>
    <x v="12"/>
    <x v="7"/>
    <n v="12000"/>
    <n v="4"/>
    <n v="20"/>
    <n v="48000"/>
    <n v="9600"/>
    <n v="38400"/>
    <n v="74000"/>
    <n v="112400"/>
    <x v="3"/>
    <x v="2"/>
    <x v="3"/>
    <x v="1"/>
    <x v="0"/>
    <s v="Rendah"/>
    <x v="0"/>
    <s v="rendah"/>
  </r>
  <r>
    <s v="ORD00876"/>
    <x v="1458"/>
    <s v="Galih Kusuma"/>
    <x v="4"/>
    <x v="1"/>
    <n v="17000"/>
    <n v="3"/>
    <n v="20"/>
    <n v="51000"/>
    <n v="10200"/>
    <n v="40800"/>
    <n v="0"/>
    <n v="40800"/>
    <x v="1"/>
    <x v="2"/>
    <x v="3"/>
    <x v="3"/>
    <x v="1"/>
    <s v="Bagus"/>
    <x v="2"/>
    <s v="normal"/>
  </r>
  <r>
    <s v="ORD00028"/>
    <x v="1459"/>
    <s v="Andi Utami"/>
    <x v="26"/>
    <x v="22"/>
    <n v="18000"/>
    <n v="2"/>
    <n v="5"/>
    <n v="36000"/>
    <n v="1800"/>
    <n v="34200"/>
    <n v="28000"/>
    <n v="62200"/>
    <x v="2"/>
    <x v="2"/>
    <x v="0"/>
    <x v="0"/>
    <x v="1"/>
    <s v="Standar"/>
    <x v="1"/>
    <s v="sangat rendah"/>
  </r>
  <r>
    <s v="ORD00028"/>
    <x v="1459"/>
    <s v="Andi Utami"/>
    <x v="26"/>
    <x v="14"/>
    <n v="18000"/>
    <n v="2"/>
    <n v="20"/>
    <n v="36000"/>
    <n v="7200"/>
    <n v="28800"/>
    <n v="0"/>
    <n v="28800"/>
    <x v="2"/>
    <x v="2"/>
    <x v="0"/>
    <x v="0"/>
    <x v="1"/>
    <s v="Standar"/>
    <x v="0"/>
    <s v="rendah"/>
  </r>
  <r>
    <s v="ORD00932"/>
    <x v="1460"/>
    <s v="Dewi Rahmawati"/>
    <x v="2"/>
    <x v="4"/>
    <n v="6000"/>
    <n v="2"/>
    <n v="0"/>
    <n v="12000"/>
    <n v="0"/>
    <n v="12000"/>
    <n v="26000"/>
    <n v="38000"/>
    <x v="3"/>
    <x v="2"/>
    <x v="3"/>
    <x v="2"/>
    <x v="0"/>
    <s v="Rendah"/>
    <x v="1"/>
    <s v="sangat rendah"/>
  </r>
  <r>
    <s v="ORD01464"/>
    <x v="1461"/>
    <s v="Lestari Hidayat"/>
    <x v="12"/>
    <x v="24"/>
    <n v="22000"/>
    <n v="5"/>
    <n v="20"/>
    <n v="110000"/>
    <n v="22000"/>
    <n v="88000"/>
    <n v="74000"/>
    <n v="162000"/>
    <x v="2"/>
    <x v="2"/>
    <x v="0"/>
    <x v="3"/>
    <x v="0"/>
    <s v="Bagus"/>
    <x v="4"/>
    <s v="tinggi"/>
  </r>
  <r>
    <s v="ORD01498"/>
    <x v="1462"/>
    <s v="Sari Hidayat"/>
    <x v="35"/>
    <x v="23"/>
    <n v="45000"/>
    <n v="2"/>
    <n v="15"/>
    <n v="90000"/>
    <n v="13500"/>
    <n v="76500"/>
    <n v="76000"/>
    <n v="152500"/>
    <x v="2"/>
    <x v="4"/>
    <x v="2"/>
    <x v="3"/>
    <x v="0"/>
    <s v="Bagus"/>
    <x v="2"/>
    <s v="normal"/>
  </r>
  <r>
    <s v="ORD00542"/>
    <x v="1463"/>
    <s v="Bella Utami"/>
    <x v="33"/>
    <x v="8"/>
    <n v="14000"/>
    <n v="4"/>
    <n v="0"/>
    <n v="56000"/>
    <n v="0"/>
    <n v="56000"/>
    <n v="68000"/>
    <n v="124000"/>
    <x v="2"/>
    <x v="2"/>
    <x v="0"/>
    <x v="2"/>
    <x v="0"/>
    <s v="Rendah"/>
    <x v="1"/>
    <s v="sangat rendah"/>
  </r>
  <r>
    <s v="ORD00261"/>
    <x v="1464"/>
    <s v="Erna Setiawan"/>
    <x v="22"/>
    <x v="8"/>
    <n v="14000"/>
    <n v="1"/>
    <n v="5"/>
    <n v="14000"/>
    <n v="700"/>
    <n v="13300"/>
    <n v="80000"/>
    <n v="93300"/>
    <x v="2"/>
    <x v="2"/>
    <x v="0"/>
    <x v="3"/>
    <x v="0"/>
    <s v="Bagus"/>
    <x v="1"/>
    <s v="sangat rendah"/>
  </r>
  <r>
    <s v="ORD01607"/>
    <x v="1465"/>
    <s v="Dewi Setiawan"/>
    <x v="30"/>
    <x v="20"/>
    <n v="40000"/>
    <n v="3"/>
    <n v="0"/>
    <n v="120000"/>
    <n v="0"/>
    <n v="120000"/>
    <n v="97000"/>
    <n v="217000"/>
    <x v="0"/>
    <x v="2"/>
    <x v="0"/>
    <x v="4"/>
    <x v="0"/>
    <s v="Bagus"/>
    <x v="1"/>
    <s v="sangat rendah"/>
  </r>
  <r>
    <s v="ORD01246"/>
    <x v="1466"/>
    <s v="Kartika Halim"/>
    <x v="9"/>
    <x v="9"/>
    <n v="35000"/>
    <n v="2"/>
    <n v="0"/>
    <n v="70000"/>
    <n v="0"/>
    <n v="70000"/>
    <n v="21000"/>
    <n v="91000"/>
    <x v="1"/>
    <x v="2"/>
    <x v="1"/>
    <x v="2"/>
    <x v="0"/>
    <s v="Rendah"/>
    <x v="1"/>
    <s v="sangat rendah"/>
  </r>
  <r>
    <s v="ORD00167"/>
    <x v="1467"/>
    <s v="Dewi Pradipta"/>
    <x v="20"/>
    <x v="24"/>
    <n v="22000"/>
    <n v="2"/>
    <n v="0"/>
    <n v="44000"/>
    <n v="0"/>
    <n v="44000"/>
    <n v="85000"/>
    <n v="129000"/>
    <x v="3"/>
    <x v="2"/>
    <x v="4"/>
    <x v="3"/>
    <x v="0"/>
    <s v="Bagus"/>
    <x v="1"/>
    <s v="sangat rendah"/>
  </r>
  <r>
    <s v="ORD00167"/>
    <x v="1467"/>
    <s v="Dewi Pradipta"/>
    <x v="20"/>
    <x v="7"/>
    <n v="12000"/>
    <n v="3"/>
    <n v="20"/>
    <n v="36000"/>
    <n v="7200"/>
    <n v="28800"/>
    <n v="0"/>
    <n v="28800"/>
    <x v="3"/>
    <x v="2"/>
    <x v="4"/>
    <x v="3"/>
    <x v="0"/>
    <s v="Bagus"/>
    <x v="0"/>
    <s v="rendah"/>
  </r>
  <r>
    <s v="ORD01519"/>
    <x v="1468"/>
    <s v="Qori Utami"/>
    <x v="37"/>
    <x v="20"/>
    <n v="40000"/>
    <n v="5"/>
    <n v="15"/>
    <n v="200000"/>
    <n v="30000"/>
    <n v="170000"/>
    <n v="57000"/>
    <n v="227000"/>
    <x v="0"/>
    <x v="4"/>
    <x v="2"/>
    <x v="3"/>
    <x v="0"/>
    <s v="Bagus"/>
    <x v="4"/>
    <s v="tinggi"/>
  </r>
  <r>
    <s v="ORD01710"/>
    <x v="1469"/>
    <s v="Erna Fauziah"/>
    <x v="11"/>
    <x v="26"/>
    <n v="16000"/>
    <n v="1"/>
    <n v="0"/>
    <n v="16000"/>
    <n v="0"/>
    <n v="16000"/>
    <n v="56000"/>
    <n v="72000"/>
    <x v="3"/>
    <x v="4"/>
    <x v="1"/>
    <x v="4"/>
    <x v="0"/>
    <s v="Bagus"/>
    <x v="1"/>
    <s v="sangat rendah"/>
  </r>
  <r>
    <s v="ORD01304"/>
    <x v="1470"/>
    <s v="Hana Nugroho"/>
    <x v="12"/>
    <x v="18"/>
    <n v="16000"/>
    <n v="3"/>
    <n v="20"/>
    <n v="48000"/>
    <n v="9600"/>
    <n v="38400"/>
    <n v="74000"/>
    <n v="112400"/>
    <x v="1"/>
    <x v="3"/>
    <x v="2"/>
    <x v="4"/>
    <x v="0"/>
    <s v="Bagus"/>
    <x v="0"/>
    <s v="rendah"/>
  </r>
  <r>
    <s v="ORD00386"/>
    <x v="1471"/>
    <s v="Putri Ananda"/>
    <x v="2"/>
    <x v="8"/>
    <n v="14000"/>
    <n v="5"/>
    <n v="0"/>
    <n v="70000"/>
    <n v="0"/>
    <n v="70000"/>
    <n v="26000"/>
    <n v="96000"/>
    <x v="2"/>
    <x v="2"/>
    <x v="3"/>
    <x v="4"/>
    <x v="0"/>
    <s v="Bagus"/>
    <x v="1"/>
    <s v="sangat rendah"/>
  </r>
  <r>
    <s v="ORD01193"/>
    <x v="1472"/>
    <s v="Dina Kurniawan"/>
    <x v="13"/>
    <x v="23"/>
    <n v="45000"/>
    <n v="2"/>
    <n v="10"/>
    <n v="90000"/>
    <n v="9000"/>
    <n v="81000"/>
    <n v="87000"/>
    <n v="168000"/>
    <x v="3"/>
    <x v="2"/>
    <x v="2"/>
    <x v="4"/>
    <x v="0"/>
    <s v="Bagus"/>
    <x v="0"/>
    <s v="rendah"/>
  </r>
  <r>
    <s v="ORD01695"/>
    <x v="1473"/>
    <s v="Yani Hidayat"/>
    <x v="34"/>
    <x v="12"/>
    <n v="25000"/>
    <n v="1"/>
    <n v="10"/>
    <n v="25000"/>
    <n v="2500"/>
    <n v="22500"/>
    <n v="80000"/>
    <n v="102500"/>
    <x v="1"/>
    <x v="3"/>
    <x v="3"/>
    <x v="3"/>
    <x v="0"/>
    <s v="Bagus"/>
    <x v="1"/>
    <s v="sangat rendah"/>
  </r>
  <r>
    <s v="ORD01773"/>
    <x v="1474"/>
    <s v="Lestari Setiawan"/>
    <x v="2"/>
    <x v="2"/>
    <n v="5000"/>
    <n v="1"/>
    <n v="0"/>
    <n v="5000"/>
    <n v="0"/>
    <n v="5000"/>
    <n v="26000"/>
    <n v="31000"/>
    <x v="1"/>
    <x v="2"/>
    <x v="2"/>
    <x v="3"/>
    <x v="0"/>
    <s v="Bagus"/>
    <x v="1"/>
    <s v="sangat rendah"/>
  </r>
  <r>
    <s v="ORD01278"/>
    <x v="1475"/>
    <s v="Ani Setiawan"/>
    <x v="14"/>
    <x v="18"/>
    <n v="16000"/>
    <n v="4"/>
    <n v="5"/>
    <n v="64000"/>
    <n v="3200"/>
    <n v="60800"/>
    <n v="46000"/>
    <n v="106800"/>
    <x v="1"/>
    <x v="2"/>
    <x v="0"/>
    <x v="2"/>
    <x v="0"/>
    <s v="Rendah"/>
    <x v="1"/>
    <s v="sangat rendah"/>
  </r>
  <r>
    <s v="ORD01659"/>
    <x v="1476"/>
    <s v="Yani Setiawan"/>
    <x v="35"/>
    <x v="21"/>
    <n v="10000"/>
    <n v="5"/>
    <n v="0"/>
    <n v="50000"/>
    <n v="0"/>
    <n v="50000"/>
    <n v="76000"/>
    <n v="126000"/>
    <x v="1"/>
    <x v="2"/>
    <x v="3"/>
    <x v="2"/>
    <x v="0"/>
    <s v="Rendah"/>
    <x v="1"/>
    <s v="sangat rendah"/>
  </r>
  <r>
    <s v="ORD00539"/>
    <x v="1477"/>
    <s v="Kartika Santoso"/>
    <x v="8"/>
    <x v="0"/>
    <n v="16000"/>
    <n v="3"/>
    <n v="10"/>
    <n v="48000"/>
    <n v="4800"/>
    <n v="43200"/>
    <n v="87000"/>
    <n v="130200"/>
    <x v="2"/>
    <x v="2"/>
    <x v="1"/>
    <x v="4"/>
    <x v="0"/>
    <s v="Bagus"/>
    <x v="1"/>
    <s v="sangat rendah"/>
  </r>
  <r>
    <s v="ORD01711"/>
    <x v="1478"/>
    <s v="Sari Halim"/>
    <x v="19"/>
    <x v="16"/>
    <n v="28000"/>
    <n v="3"/>
    <n v="10"/>
    <n v="84000"/>
    <n v="8400"/>
    <n v="75600"/>
    <n v="55000"/>
    <n v="130600"/>
    <x v="0"/>
    <x v="2"/>
    <x v="0"/>
    <x v="4"/>
    <x v="0"/>
    <s v="Bagus"/>
    <x v="0"/>
    <s v="rendah"/>
  </r>
  <r>
    <s v="ORD01131"/>
    <x v="1479"/>
    <s v="Yoga Nugroho"/>
    <x v="27"/>
    <x v="6"/>
    <n v="55000"/>
    <n v="1"/>
    <n v="0"/>
    <n v="55000"/>
    <n v="0"/>
    <n v="55000"/>
    <n v="18000"/>
    <n v="73000"/>
    <x v="2"/>
    <x v="2"/>
    <x v="2"/>
    <x v="3"/>
    <x v="1"/>
    <s v="Bagus"/>
    <x v="1"/>
    <s v="sangat rendah"/>
  </r>
  <r>
    <s v="ORD00315"/>
    <x v="1480"/>
    <s v="Erna Syahputra"/>
    <x v="27"/>
    <x v="6"/>
    <n v="55000"/>
    <n v="3"/>
    <n v="0"/>
    <n v="165000"/>
    <n v="0"/>
    <n v="165000"/>
    <n v="18000"/>
    <n v="183000"/>
    <x v="0"/>
    <x v="4"/>
    <x v="2"/>
    <x v="0"/>
    <x v="0"/>
    <s v="Standar"/>
    <x v="1"/>
    <s v="sangat rendah"/>
  </r>
  <r>
    <s v="ORD01511"/>
    <x v="1481"/>
    <s v="Fitri Halim"/>
    <x v="22"/>
    <x v="1"/>
    <n v="17000"/>
    <n v="1"/>
    <n v="0"/>
    <n v="17000"/>
    <n v="0"/>
    <n v="17000"/>
    <n v="80000"/>
    <n v="97000"/>
    <x v="1"/>
    <x v="2"/>
    <x v="0"/>
    <x v="2"/>
    <x v="0"/>
    <s v="Rendah"/>
    <x v="1"/>
    <s v="sangat rendah"/>
  </r>
  <r>
    <s v="ORD00017"/>
    <x v="1482"/>
    <s v="Galih Iskandar"/>
    <x v="36"/>
    <x v="2"/>
    <n v="5000"/>
    <n v="2"/>
    <n v="15"/>
    <n v="10000"/>
    <n v="1500"/>
    <n v="8500"/>
    <n v="49000"/>
    <n v="57500"/>
    <x v="3"/>
    <x v="2"/>
    <x v="3"/>
    <x v="3"/>
    <x v="1"/>
    <s v="Bagus"/>
    <x v="1"/>
    <s v="sangat rendah"/>
  </r>
  <r>
    <s v="ORD01670"/>
    <x v="1483"/>
    <s v="Gita Saputra"/>
    <x v="21"/>
    <x v="7"/>
    <n v="12000"/>
    <n v="3"/>
    <n v="20"/>
    <n v="36000"/>
    <n v="7200"/>
    <n v="28800"/>
    <n v="72000"/>
    <n v="100800"/>
    <x v="3"/>
    <x v="2"/>
    <x v="3"/>
    <x v="1"/>
    <x v="0"/>
    <s v="Rendah"/>
    <x v="0"/>
    <s v="rendah"/>
  </r>
  <r>
    <s v="ORD00365"/>
    <x v="1484"/>
    <s v="Citra Halim"/>
    <x v="32"/>
    <x v="19"/>
    <n v="35000"/>
    <n v="3"/>
    <n v="15"/>
    <n v="105000"/>
    <n v="15750"/>
    <n v="89250"/>
    <n v="59000"/>
    <n v="148250"/>
    <x v="2"/>
    <x v="3"/>
    <x v="3"/>
    <x v="4"/>
    <x v="0"/>
    <s v="Bagus"/>
    <x v="2"/>
    <s v="normal"/>
  </r>
  <r>
    <s v="ORD01123"/>
    <x v="1485"/>
    <s v="Bayu Nugroho"/>
    <x v="6"/>
    <x v="26"/>
    <n v="16000"/>
    <n v="3"/>
    <n v="0"/>
    <n v="48000"/>
    <n v="0"/>
    <n v="48000"/>
    <n v="30000"/>
    <n v="78000"/>
    <x v="1"/>
    <x v="2"/>
    <x v="0"/>
    <x v="3"/>
    <x v="1"/>
    <s v="Bagus"/>
    <x v="1"/>
    <s v="sangat rendah"/>
  </r>
  <r>
    <s v="ORD00645"/>
    <x v="1486"/>
    <s v="Yani Kusuma"/>
    <x v="1"/>
    <x v="20"/>
    <n v="40000"/>
    <n v="2"/>
    <n v="10"/>
    <n v="80000"/>
    <n v="8000"/>
    <n v="72000"/>
    <n v="59000"/>
    <n v="131000"/>
    <x v="3"/>
    <x v="2"/>
    <x v="0"/>
    <x v="3"/>
    <x v="0"/>
    <s v="Bagus"/>
    <x v="0"/>
    <s v="rendah"/>
  </r>
  <r>
    <s v="ORD00175"/>
    <x v="1487"/>
    <s v="Dewi Nugroho"/>
    <x v="31"/>
    <x v="5"/>
    <n v="50000"/>
    <n v="4"/>
    <n v="10"/>
    <n v="200000"/>
    <n v="20000"/>
    <n v="180000"/>
    <n v="18000"/>
    <n v="198000"/>
    <x v="3"/>
    <x v="2"/>
    <x v="3"/>
    <x v="3"/>
    <x v="0"/>
    <s v="Bagus"/>
    <x v="2"/>
    <s v="normal"/>
  </r>
  <r>
    <s v="ORD00175"/>
    <x v="1487"/>
    <s v="Dewi Nugroho"/>
    <x v="31"/>
    <x v="14"/>
    <n v="18000"/>
    <n v="1"/>
    <n v="0"/>
    <n v="18000"/>
    <n v="0"/>
    <n v="18000"/>
    <n v="0"/>
    <n v="18000"/>
    <x v="3"/>
    <x v="2"/>
    <x v="3"/>
    <x v="3"/>
    <x v="0"/>
    <s v="Bagus"/>
    <x v="1"/>
    <s v="sangat rendah"/>
  </r>
  <r>
    <s v="ORD01495"/>
    <x v="1488"/>
    <s v="Dewi Pradipta"/>
    <x v="20"/>
    <x v="22"/>
    <n v="18000"/>
    <n v="1"/>
    <n v="0"/>
    <n v="18000"/>
    <n v="0"/>
    <n v="18000"/>
    <n v="85000"/>
    <n v="103000"/>
    <x v="0"/>
    <x v="4"/>
    <x v="1"/>
    <x v="0"/>
    <x v="0"/>
    <s v="Standar"/>
    <x v="1"/>
    <s v="sangat rendah"/>
  </r>
  <r>
    <s v="ORD00330"/>
    <x v="1489"/>
    <s v="Hana Setiawan"/>
    <x v="11"/>
    <x v="10"/>
    <n v="45000"/>
    <n v="4"/>
    <n v="10"/>
    <n v="180000"/>
    <n v="18000"/>
    <n v="162000"/>
    <n v="56000"/>
    <n v="218000"/>
    <x v="0"/>
    <x v="2"/>
    <x v="4"/>
    <x v="4"/>
    <x v="0"/>
    <s v="Bagus"/>
    <x v="2"/>
    <s v="normal"/>
  </r>
  <r>
    <s v="ORD00458"/>
    <x v="1490"/>
    <s v="Bella Rahmawati"/>
    <x v="1"/>
    <x v="19"/>
    <n v="35000"/>
    <n v="2"/>
    <n v="20"/>
    <n v="70000"/>
    <n v="14000"/>
    <n v="56000"/>
    <n v="59000"/>
    <n v="115000"/>
    <x v="1"/>
    <x v="2"/>
    <x v="1"/>
    <x v="0"/>
    <x v="0"/>
    <s v="Standar"/>
    <x v="2"/>
    <s v="normal"/>
  </r>
  <r>
    <s v="ORD01857"/>
    <x v="1491"/>
    <s v="Erna Iskandar"/>
    <x v="21"/>
    <x v="11"/>
    <n v="30000"/>
    <n v="4"/>
    <n v="20"/>
    <n v="120000"/>
    <n v="24000"/>
    <n v="96000"/>
    <n v="72000"/>
    <n v="168000"/>
    <x v="2"/>
    <x v="2"/>
    <x v="4"/>
    <x v="3"/>
    <x v="0"/>
    <s v="Bagus"/>
    <x v="4"/>
    <s v="tinggi"/>
  </r>
  <r>
    <s v="ORD01109"/>
    <x v="1492"/>
    <s v="Bella Rahmawati"/>
    <x v="1"/>
    <x v="22"/>
    <n v="18000"/>
    <n v="4"/>
    <n v="0"/>
    <n v="72000"/>
    <n v="0"/>
    <n v="72000"/>
    <n v="59000"/>
    <n v="131000"/>
    <x v="0"/>
    <x v="2"/>
    <x v="3"/>
    <x v="4"/>
    <x v="0"/>
    <s v="Bagus"/>
    <x v="1"/>
    <s v="sangat rendah"/>
  </r>
  <r>
    <s v="ORD00273"/>
    <x v="1493"/>
    <s v="Yani Syahputra"/>
    <x v="37"/>
    <x v="17"/>
    <n v="15000"/>
    <n v="2"/>
    <n v="10"/>
    <n v="30000"/>
    <n v="3000"/>
    <n v="27000"/>
    <n v="57000"/>
    <n v="84000"/>
    <x v="1"/>
    <x v="2"/>
    <x v="4"/>
    <x v="3"/>
    <x v="0"/>
    <s v="Bagus"/>
    <x v="1"/>
    <s v="sangat rendah"/>
  </r>
  <r>
    <s v="ORD00789"/>
    <x v="1494"/>
    <s v="Dewi Ramadhani"/>
    <x v="5"/>
    <x v="15"/>
    <n v="4000"/>
    <n v="2"/>
    <n v="5"/>
    <n v="8000"/>
    <n v="400"/>
    <n v="7600"/>
    <n v="78000"/>
    <n v="85600"/>
    <x v="0"/>
    <x v="2"/>
    <x v="0"/>
    <x v="1"/>
    <x v="0"/>
    <s v="Rendah"/>
    <x v="1"/>
    <s v="sangat rendah"/>
  </r>
  <r>
    <s v="ORD01330"/>
    <x v="1495"/>
    <s v="Erna Budiman"/>
    <x v="13"/>
    <x v="6"/>
    <n v="55000"/>
    <n v="3"/>
    <n v="5"/>
    <n v="165000"/>
    <n v="8250"/>
    <n v="156750"/>
    <n v="87000"/>
    <n v="243750"/>
    <x v="3"/>
    <x v="2"/>
    <x v="0"/>
    <x v="1"/>
    <x v="0"/>
    <s v="Rendah"/>
    <x v="0"/>
    <s v="rendah"/>
  </r>
  <r>
    <s v="ORD01586"/>
    <x v="1496"/>
    <s v="Clara Pradipta"/>
    <x v="30"/>
    <x v="23"/>
    <n v="45000"/>
    <n v="4"/>
    <n v="20"/>
    <n v="180000"/>
    <n v="36000"/>
    <n v="144000"/>
    <n v="97000"/>
    <n v="241000"/>
    <x v="2"/>
    <x v="2"/>
    <x v="4"/>
    <x v="3"/>
    <x v="0"/>
    <s v="Bagus"/>
    <x v="3"/>
    <s v="sangat tinggi"/>
  </r>
  <r>
    <s v="ORD01439"/>
    <x v="1497"/>
    <s v="Joko Nugroho"/>
    <x v="26"/>
    <x v="21"/>
    <n v="10000"/>
    <n v="4"/>
    <n v="0"/>
    <n v="40000"/>
    <n v="0"/>
    <n v="40000"/>
    <n v="28000"/>
    <n v="68000"/>
    <x v="1"/>
    <x v="4"/>
    <x v="0"/>
    <x v="4"/>
    <x v="1"/>
    <s v="Bagus"/>
    <x v="1"/>
    <s v="sangat rendah"/>
  </r>
  <r>
    <s v="ORD00025"/>
    <x v="1498"/>
    <s v="Dimas Halim"/>
    <x v="17"/>
    <x v="3"/>
    <n v="14000"/>
    <n v="4"/>
    <n v="10"/>
    <n v="56000"/>
    <n v="5600"/>
    <n v="50400"/>
    <n v="50000"/>
    <n v="100400"/>
    <x v="0"/>
    <x v="2"/>
    <x v="3"/>
    <x v="3"/>
    <x v="1"/>
    <s v="Bagus"/>
    <x v="0"/>
    <s v="rendah"/>
  </r>
  <r>
    <s v="ORD00025"/>
    <x v="1498"/>
    <s v="Dimas Halim"/>
    <x v="17"/>
    <x v="25"/>
    <n v="40000"/>
    <n v="2"/>
    <n v="15"/>
    <n v="80000"/>
    <n v="12000"/>
    <n v="68000"/>
    <n v="0"/>
    <n v="68000"/>
    <x v="0"/>
    <x v="2"/>
    <x v="3"/>
    <x v="3"/>
    <x v="1"/>
    <s v="Bagus"/>
    <x v="2"/>
    <s v="normal"/>
  </r>
  <r>
    <s v="ORD01506"/>
    <x v="1499"/>
    <s v="Vina Setiawan"/>
    <x v="4"/>
    <x v="1"/>
    <n v="17000"/>
    <n v="3"/>
    <n v="5"/>
    <n v="51000"/>
    <n v="2550"/>
    <n v="48450"/>
    <n v="0"/>
    <n v="48450"/>
    <x v="3"/>
    <x v="2"/>
    <x v="0"/>
    <x v="4"/>
    <x v="0"/>
    <s v="Bagus"/>
    <x v="1"/>
    <s v="sangat rendah"/>
  </r>
  <r>
    <s v="ORD00404"/>
    <x v="1500"/>
    <s v="Eka Pradipta"/>
    <x v="4"/>
    <x v="11"/>
    <n v="30000"/>
    <n v="5"/>
    <n v="10"/>
    <n v="150000"/>
    <n v="15000"/>
    <n v="135000"/>
    <n v="0"/>
    <n v="135000"/>
    <x v="3"/>
    <x v="4"/>
    <x v="4"/>
    <x v="2"/>
    <x v="0"/>
    <s v="Rendah"/>
    <x v="2"/>
    <s v="normal"/>
  </r>
  <r>
    <s v="ORD00404"/>
    <x v="1500"/>
    <s v="Eka Pradipta"/>
    <x v="4"/>
    <x v="2"/>
    <n v="5000"/>
    <n v="1"/>
    <n v="20"/>
    <n v="5000"/>
    <n v="1000"/>
    <n v="4000"/>
    <n v="0"/>
    <n v="4000"/>
    <x v="3"/>
    <x v="4"/>
    <x v="4"/>
    <x v="2"/>
    <x v="0"/>
    <s v="Rendah"/>
    <x v="1"/>
    <s v="sangat rendah"/>
  </r>
  <r>
    <s v="ORD00451"/>
    <x v="1501"/>
    <s v="Putri Ramadhani"/>
    <x v="31"/>
    <x v="23"/>
    <n v="45000"/>
    <n v="2"/>
    <n v="5"/>
    <n v="90000"/>
    <n v="4500"/>
    <n v="85500"/>
    <n v="18000"/>
    <n v="103500"/>
    <x v="2"/>
    <x v="2"/>
    <x v="4"/>
    <x v="3"/>
    <x v="0"/>
    <s v="Bagus"/>
    <x v="1"/>
    <s v="sangat rendah"/>
  </r>
  <r>
    <s v="ORD00059"/>
    <x v="1502"/>
    <s v="Indra Puspita"/>
    <x v="36"/>
    <x v="3"/>
    <n v="14000"/>
    <n v="2"/>
    <n v="20"/>
    <n v="28000"/>
    <n v="5600"/>
    <n v="22400"/>
    <n v="49000"/>
    <n v="71400"/>
    <x v="0"/>
    <x v="4"/>
    <x v="1"/>
    <x v="0"/>
    <x v="1"/>
    <s v="Standar"/>
    <x v="0"/>
    <s v="rendah"/>
  </r>
  <r>
    <s v="ORD00780"/>
    <x v="1503"/>
    <s v="Vina Ananda"/>
    <x v="6"/>
    <x v="13"/>
    <n v="17000"/>
    <n v="2"/>
    <n v="20"/>
    <n v="34000"/>
    <n v="6800"/>
    <n v="27200"/>
    <n v="30000"/>
    <n v="57200"/>
    <x v="0"/>
    <x v="2"/>
    <x v="0"/>
    <x v="0"/>
    <x v="0"/>
    <s v="Standar"/>
    <x v="0"/>
    <s v="rendah"/>
  </r>
  <r>
    <s v="ORD00084"/>
    <x v="1504"/>
    <s v="Bayu Syahputra"/>
    <x v="30"/>
    <x v="26"/>
    <n v="16000"/>
    <n v="4"/>
    <n v="0"/>
    <n v="64000"/>
    <n v="0"/>
    <n v="64000"/>
    <n v="97000"/>
    <n v="161000"/>
    <x v="2"/>
    <x v="3"/>
    <x v="0"/>
    <x v="1"/>
    <x v="1"/>
    <s v="Rendah"/>
    <x v="1"/>
    <s v="sangat rendah"/>
  </r>
  <r>
    <s v="ORD01827"/>
    <x v="1505"/>
    <s v="Fajar Kurniawan"/>
    <x v="24"/>
    <x v="10"/>
    <n v="45000"/>
    <n v="2"/>
    <n v="20"/>
    <n v="90000"/>
    <n v="18000"/>
    <n v="72000"/>
    <n v="93000"/>
    <n v="165000"/>
    <x v="1"/>
    <x v="2"/>
    <x v="2"/>
    <x v="0"/>
    <x v="1"/>
    <s v="Standar"/>
    <x v="2"/>
    <s v="normal"/>
  </r>
  <r>
    <s v="ORD00903"/>
    <x v="1506"/>
    <s v="Ani Halim"/>
    <x v="16"/>
    <x v="13"/>
    <n v="17000"/>
    <n v="2"/>
    <n v="15"/>
    <n v="34000"/>
    <n v="5100"/>
    <n v="28900"/>
    <n v="50000"/>
    <n v="78900"/>
    <x v="1"/>
    <x v="2"/>
    <x v="0"/>
    <x v="0"/>
    <x v="0"/>
    <s v="Standar"/>
    <x v="0"/>
    <s v="rendah"/>
  </r>
  <r>
    <s v="ORD00038"/>
    <x v="1507"/>
    <s v="Galih Budiman"/>
    <x v="15"/>
    <x v="23"/>
    <n v="45000"/>
    <n v="5"/>
    <n v="15"/>
    <n v="225000"/>
    <n v="33750"/>
    <n v="191250"/>
    <n v="17000"/>
    <n v="208250"/>
    <x v="1"/>
    <x v="4"/>
    <x v="1"/>
    <x v="2"/>
    <x v="1"/>
    <s v="Rendah"/>
    <x v="4"/>
    <s v="tinggi"/>
  </r>
  <r>
    <s v="ORD01198"/>
    <x v="1508"/>
    <s v="Putri Ramadhani"/>
    <x v="31"/>
    <x v="26"/>
    <n v="16000"/>
    <n v="5"/>
    <n v="5"/>
    <n v="80000"/>
    <n v="4000"/>
    <n v="76000"/>
    <n v="18000"/>
    <n v="94000"/>
    <x v="1"/>
    <x v="2"/>
    <x v="0"/>
    <x v="4"/>
    <x v="0"/>
    <s v="Bagus"/>
    <x v="1"/>
    <s v="sangat rendah"/>
  </r>
  <r>
    <s v="ORD00879"/>
    <x v="1509"/>
    <s v="Vina Puspita"/>
    <x v="3"/>
    <x v="6"/>
    <n v="55000"/>
    <n v="4"/>
    <n v="10"/>
    <n v="220000"/>
    <n v="22000"/>
    <n v="198000"/>
    <n v="18000"/>
    <n v="216000"/>
    <x v="1"/>
    <x v="2"/>
    <x v="1"/>
    <x v="1"/>
    <x v="0"/>
    <s v="Rendah"/>
    <x v="4"/>
    <s v="tinggi"/>
  </r>
  <r>
    <s v="ORD01539"/>
    <x v="1510"/>
    <s v="Erna Kusuma"/>
    <x v="4"/>
    <x v="6"/>
    <n v="55000"/>
    <n v="2"/>
    <n v="10"/>
    <n v="110000"/>
    <n v="11000"/>
    <n v="99000"/>
    <n v="0"/>
    <n v="99000"/>
    <x v="1"/>
    <x v="2"/>
    <x v="1"/>
    <x v="3"/>
    <x v="0"/>
    <s v="Bagus"/>
    <x v="2"/>
    <s v="normal"/>
  </r>
  <r>
    <s v="ORD00220"/>
    <x v="1511"/>
    <s v="Ani Halim"/>
    <x v="16"/>
    <x v="14"/>
    <n v="18000"/>
    <n v="1"/>
    <n v="15"/>
    <n v="18000"/>
    <n v="2700"/>
    <n v="15300"/>
    <n v="50000"/>
    <n v="65300"/>
    <x v="2"/>
    <x v="2"/>
    <x v="0"/>
    <x v="3"/>
    <x v="0"/>
    <s v="Bagus"/>
    <x v="1"/>
    <s v="sangat rendah"/>
  </r>
  <r>
    <s v="ORD01616"/>
    <x v="1512"/>
    <s v="Nanda Fauziah"/>
    <x v="32"/>
    <x v="15"/>
    <n v="4000"/>
    <n v="4"/>
    <n v="20"/>
    <n v="16000"/>
    <n v="3200"/>
    <n v="12800"/>
    <n v="59000"/>
    <n v="71800"/>
    <x v="0"/>
    <x v="2"/>
    <x v="4"/>
    <x v="4"/>
    <x v="1"/>
    <s v="Bagus"/>
    <x v="1"/>
    <s v="sangat rendah"/>
  </r>
  <r>
    <s v="ORD00761"/>
    <x v="1513"/>
    <s v="Budi Saputra"/>
    <x v="11"/>
    <x v="1"/>
    <n v="17000"/>
    <n v="2"/>
    <n v="15"/>
    <n v="34000"/>
    <n v="5100"/>
    <n v="28900"/>
    <n v="56000"/>
    <n v="84900"/>
    <x v="1"/>
    <x v="4"/>
    <x v="2"/>
    <x v="0"/>
    <x v="1"/>
    <s v="Standar"/>
    <x v="0"/>
    <s v="rendah"/>
  </r>
  <r>
    <s v="ORD00538"/>
    <x v="1514"/>
    <s v="Aulia Ananda"/>
    <x v="20"/>
    <x v="26"/>
    <n v="16000"/>
    <n v="3"/>
    <n v="0"/>
    <n v="48000"/>
    <n v="0"/>
    <n v="48000"/>
    <n v="85000"/>
    <n v="133000"/>
    <x v="0"/>
    <x v="2"/>
    <x v="1"/>
    <x v="4"/>
    <x v="0"/>
    <s v="Bagus"/>
    <x v="1"/>
    <s v="sangat rendah"/>
  </r>
  <r>
    <s v="ORD01205"/>
    <x v="1515"/>
    <s v="Citra Halim"/>
    <x v="32"/>
    <x v="19"/>
    <n v="35000"/>
    <n v="3"/>
    <n v="20"/>
    <n v="105000"/>
    <n v="21000"/>
    <n v="84000"/>
    <n v="59000"/>
    <n v="143000"/>
    <x v="3"/>
    <x v="2"/>
    <x v="4"/>
    <x v="0"/>
    <x v="0"/>
    <s v="Standar"/>
    <x v="4"/>
    <s v="tinggi"/>
  </r>
  <r>
    <s v="ORD00105"/>
    <x v="1516"/>
    <s v="Clara Santoso"/>
    <x v="0"/>
    <x v="24"/>
    <n v="22000"/>
    <n v="3"/>
    <n v="15"/>
    <n v="66000"/>
    <n v="9900"/>
    <n v="56100"/>
    <n v="67000"/>
    <n v="123100"/>
    <x v="3"/>
    <x v="2"/>
    <x v="0"/>
    <x v="3"/>
    <x v="0"/>
    <s v="Bagus"/>
    <x v="0"/>
    <s v="rendah"/>
  </r>
  <r>
    <s v="ORD00105"/>
    <x v="1516"/>
    <s v="Clara Santoso"/>
    <x v="0"/>
    <x v="19"/>
    <n v="35000"/>
    <n v="1"/>
    <n v="20"/>
    <n v="35000"/>
    <n v="7000"/>
    <n v="28000"/>
    <n v="0"/>
    <n v="28000"/>
    <x v="3"/>
    <x v="2"/>
    <x v="0"/>
    <x v="3"/>
    <x v="0"/>
    <s v="Bagus"/>
    <x v="0"/>
    <s v="rendah"/>
  </r>
  <r>
    <s v="ORD00402"/>
    <x v="1517"/>
    <s v="Fitri Utami"/>
    <x v="33"/>
    <x v="0"/>
    <n v="16000"/>
    <n v="5"/>
    <n v="0"/>
    <n v="80000"/>
    <n v="0"/>
    <n v="80000"/>
    <n v="68000"/>
    <n v="148000"/>
    <x v="1"/>
    <x v="4"/>
    <x v="2"/>
    <x v="1"/>
    <x v="0"/>
    <s v="Rendah"/>
    <x v="1"/>
    <s v="sangat rendah"/>
  </r>
  <r>
    <s v="ORD00515"/>
    <x v="1518"/>
    <s v="Bella Nugroho"/>
    <x v="19"/>
    <x v="5"/>
    <n v="50000"/>
    <n v="4"/>
    <n v="5"/>
    <n v="200000"/>
    <n v="10000"/>
    <n v="190000"/>
    <n v="55000"/>
    <n v="245000"/>
    <x v="3"/>
    <x v="2"/>
    <x v="4"/>
    <x v="0"/>
    <x v="0"/>
    <s v="Standar"/>
    <x v="0"/>
    <s v="rendah"/>
  </r>
  <r>
    <s v="ORD01667"/>
    <x v="1519"/>
    <s v="Zahra Maulana"/>
    <x v="7"/>
    <x v="22"/>
    <n v="18000"/>
    <n v="4"/>
    <n v="15"/>
    <n v="72000"/>
    <n v="10800"/>
    <n v="61200"/>
    <n v="15000"/>
    <n v="76200"/>
    <x v="3"/>
    <x v="2"/>
    <x v="0"/>
    <x v="0"/>
    <x v="0"/>
    <s v="Standar"/>
    <x v="2"/>
    <s v="normal"/>
  </r>
  <r>
    <s v="ORD00191"/>
    <x v="1520"/>
    <s v="Sari Utami"/>
    <x v="1"/>
    <x v="7"/>
    <n v="12000"/>
    <n v="2"/>
    <n v="20"/>
    <n v="24000"/>
    <n v="4800"/>
    <n v="19200"/>
    <n v="59000"/>
    <n v="78200"/>
    <x v="0"/>
    <x v="2"/>
    <x v="3"/>
    <x v="2"/>
    <x v="0"/>
    <s v="Rendah"/>
    <x v="1"/>
    <s v="sangat rendah"/>
  </r>
  <r>
    <s v="ORD00191"/>
    <x v="1520"/>
    <s v="Sari Utami"/>
    <x v="1"/>
    <x v="8"/>
    <n v="14000"/>
    <n v="4"/>
    <n v="0"/>
    <n v="56000"/>
    <n v="0"/>
    <n v="56000"/>
    <n v="0"/>
    <n v="56000"/>
    <x v="0"/>
    <x v="2"/>
    <x v="3"/>
    <x v="2"/>
    <x v="0"/>
    <s v="Rendah"/>
    <x v="1"/>
    <s v="sangat rendah"/>
  </r>
  <r>
    <s v="ORD01579"/>
    <x v="1521"/>
    <s v="Fitri Iskandar"/>
    <x v="1"/>
    <x v="20"/>
    <n v="40000"/>
    <n v="5"/>
    <n v="5"/>
    <n v="200000"/>
    <n v="10000"/>
    <n v="190000"/>
    <n v="59000"/>
    <n v="249000"/>
    <x v="2"/>
    <x v="2"/>
    <x v="0"/>
    <x v="0"/>
    <x v="0"/>
    <s v="Standar"/>
    <x v="0"/>
    <s v="rendah"/>
  </r>
  <r>
    <s v="ORD01403"/>
    <x v="1522"/>
    <s v="Clara Budiman"/>
    <x v="24"/>
    <x v="18"/>
    <n v="16000"/>
    <n v="2"/>
    <n v="5"/>
    <n v="32000"/>
    <n v="1600"/>
    <n v="30400"/>
    <n v="93000"/>
    <n v="123400"/>
    <x v="3"/>
    <x v="4"/>
    <x v="3"/>
    <x v="2"/>
    <x v="0"/>
    <s v="Rendah"/>
    <x v="1"/>
    <s v="sangat rendah"/>
  </r>
  <r>
    <s v="ORD00249"/>
    <x v="1523"/>
    <s v="Putri Ananda"/>
    <x v="2"/>
    <x v="5"/>
    <n v="50000"/>
    <n v="2"/>
    <n v="15"/>
    <n v="100000"/>
    <n v="15000"/>
    <n v="85000"/>
    <n v="26000"/>
    <n v="111000"/>
    <x v="3"/>
    <x v="2"/>
    <x v="0"/>
    <x v="2"/>
    <x v="0"/>
    <s v="Rendah"/>
    <x v="2"/>
    <s v="normal"/>
  </r>
  <r>
    <s v="ORD00397"/>
    <x v="1524"/>
    <s v="Lestari Nugroho"/>
    <x v="18"/>
    <x v="26"/>
    <n v="16000"/>
    <n v="3"/>
    <n v="5"/>
    <n v="48000"/>
    <n v="2400"/>
    <n v="45600"/>
    <n v="43000"/>
    <n v="88600"/>
    <x v="0"/>
    <x v="2"/>
    <x v="2"/>
    <x v="0"/>
    <x v="0"/>
    <s v="Standar"/>
    <x v="1"/>
    <s v="sangat rendah"/>
  </r>
  <r>
    <s v="ORD00397"/>
    <x v="1524"/>
    <s v="Lestari Nugroho"/>
    <x v="18"/>
    <x v="7"/>
    <n v="12000"/>
    <n v="4"/>
    <n v="0"/>
    <n v="48000"/>
    <n v="0"/>
    <n v="48000"/>
    <n v="0"/>
    <n v="48000"/>
    <x v="0"/>
    <x v="2"/>
    <x v="2"/>
    <x v="0"/>
    <x v="0"/>
    <s v="Standar"/>
    <x v="1"/>
    <s v="sangat rendah"/>
  </r>
  <r>
    <s v="ORD00379"/>
    <x v="1525"/>
    <s v="Hana Halim"/>
    <x v="13"/>
    <x v="10"/>
    <n v="45000"/>
    <n v="1"/>
    <n v="20"/>
    <n v="45000"/>
    <n v="9000"/>
    <n v="36000"/>
    <n v="87000"/>
    <n v="123000"/>
    <x v="2"/>
    <x v="2"/>
    <x v="0"/>
    <x v="3"/>
    <x v="0"/>
    <s v="Bagus"/>
    <x v="0"/>
    <s v="rendah"/>
  </r>
  <r>
    <s v="ORD00394"/>
    <x v="1526"/>
    <s v="Fitri Puspita"/>
    <x v="5"/>
    <x v="2"/>
    <n v="5000"/>
    <n v="4"/>
    <n v="5"/>
    <n v="20000"/>
    <n v="1000"/>
    <n v="19000"/>
    <n v="78000"/>
    <n v="97000"/>
    <x v="3"/>
    <x v="4"/>
    <x v="1"/>
    <x v="4"/>
    <x v="0"/>
    <s v="Bagus"/>
    <x v="1"/>
    <s v="sangat rendah"/>
  </r>
  <r>
    <s v="ORD00213"/>
    <x v="1527"/>
    <s v="Kartika Nugroho"/>
    <x v="18"/>
    <x v="26"/>
    <n v="16000"/>
    <n v="3"/>
    <n v="20"/>
    <n v="48000"/>
    <n v="9600"/>
    <n v="38400"/>
    <n v="43000"/>
    <n v="81400"/>
    <x v="0"/>
    <x v="2"/>
    <x v="3"/>
    <x v="3"/>
    <x v="0"/>
    <s v="Bagus"/>
    <x v="0"/>
    <s v="rendah"/>
  </r>
  <r>
    <s v="ORD00213"/>
    <x v="1527"/>
    <s v="Kartika Nugroho"/>
    <x v="18"/>
    <x v="8"/>
    <n v="14000"/>
    <n v="2"/>
    <n v="15"/>
    <n v="28000"/>
    <n v="4200"/>
    <n v="23800"/>
    <n v="0"/>
    <n v="23800"/>
    <x v="0"/>
    <x v="2"/>
    <x v="3"/>
    <x v="3"/>
    <x v="0"/>
    <s v="Bagus"/>
    <x v="1"/>
    <s v="sangat rendah"/>
  </r>
  <r>
    <s v="ORD01406"/>
    <x v="1528"/>
    <s v="Oka Kurniawan"/>
    <x v="13"/>
    <x v="25"/>
    <n v="40000"/>
    <n v="3"/>
    <n v="0"/>
    <n v="120000"/>
    <n v="0"/>
    <n v="120000"/>
    <n v="87000"/>
    <n v="207000"/>
    <x v="2"/>
    <x v="2"/>
    <x v="3"/>
    <x v="1"/>
    <x v="1"/>
    <s v="Rendah"/>
    <x v="1"/>
    <s v="sangat rendah"/>
  </r>
  <r>
    <s v="ORD00535"/>
    <x v="1529"/>
    <s v="Dina Maulana"/>
    <x v="9"/>
    <x v="17"/>
    <n v="15000"/>
    <n v="2"/>
    <n v="0"/>
    <n v="30000"/>
    <n v="0"/>
    <n v="30000"/>
    <n v="21000"/>
    <n v="51000"/>
    <x v="0"/>
    <x v="2"/>
    <x v="0"/>
    <x v="2"/>
    <x v="0"/>
    <s v="Rendah"/>
    <x v="1"/>
    <s v="sangat rendah"/>
  </r>
  <r>
    <s v="ORD00580"/>
    <x v="1530"/>
    <s v="Galih Kusuma"/>
    <x v="4"/>
    <x v="23"/>
    <n v="45000"/>
    <n v="5"/>
    <n v="5"/>
    <n v="225000"/>
    <n v="11250"/>
    <n v="213750"/>
    <n v="0"/>
    <n v="213750"/>
    <x v="1"/>
    <x v="2"/>
    <x v="0"/>
    <x v="4"/>
    <x v="1"/>
    <s v="Bagus"/>
    <x v="2"/>
    <s v="normal"/>
  </r>
  <r>
    <s v="ORD00646"/>
    <x v="1531"/>
    <s v="Wahyu Budiman"/>
    <x v="25"/>
    <x v="3"/>
    <n v="14000"/>
    <n v="1"/>
    <n v="15"/>
    <n v="14000"/>
    <n v="2100"/>
    <n v="11900"/>
    <n v="48000"/>
    <n v="59900"/>
    <x v="0"/>
    <x v="4"/>
    <x v="3"/>
    <x v="2"/>
    <x v="1"/>
    <s v="Rendah"/>
    <x v="1"/>
    <s v="sangat rendah"/>
  </r>
  <r>
    <s v="ORD00376"/>
    <x v="1532"/>
    <s v="Yani Ananda"/>
    <x v="11"/>
    <x v="25"/>
    <n v="40000"/>
    <n v="3"/>
    <n v="5"/>
    <n v="120000"/>
    <n v="6000"/>
    <n v="114000"/>
    <n v="56000"/>
    <n v="170000"/>
    <x v="0"/>
    <x v="2"/>
    <x v="3"/>
    <x v="2"/>
    <x v="0"/>
    <s v="Rendah"/>
    <x v="0"/>
    <s v="rendah"/>
  </r>
  <r>
    <s v="ORD00376"/>
    <x v="1532"/>
    <s v="Yani Ananda"/>
    <x v="11"/>
    <x v="25"/>
    <n v="40000"/>
    <n v="3"/>
    <n v="5"/>
    <n v="120000"/>
    <n v="6000"/>
    <n v="114000"/>
    <n v="0"/>
    <n v="114000"/>
    <x v="0"/>
    <x v="2"/>
    <x v="3"/>
    <x v="2"/>
    <x v="0"/>
    <s v="Rendah"/>
    <x v="0"/>
    <s v="rendah"/>
  </r>
  <r>
    <s v="ORD01636"/>
    <x v="1533"/>
    <s v="Dewi Wijaya"/>
    <x v="6"/>
    <x v="11"/>
    <n v="30000"/>
    <n v="4"/>
    <n v="15"/>
    <n v="120000"/>
    <n v="18000"/>
    <n v="102000"/>
    <n v="30000"/>
    <n v="132000"/>
    <x v="1"/>
    <x v="2"/>
    <x v="3"/>
    <x v="1"/>
    <x v="0"/>
    <s v="Rendah"/>
    <x v="2"/>
    <s v="normal"/>
  </r>
  <r>
    <s v="ORD01769"/>
    <x v="1534"/>
    <s v="Dimas Puspita"/>
    <x v="31"/>
    <x v="8"/>
    <n v="14000"/>
    <n v="1"/>
    <n v="15"/>
    <n v="14000"/>
    <n v="2100"/>
    <n v="11900"/>
    <n v="18000"/>
    <n v="29900"/>
    <x v="2"/>
    <x v="2"/>
    <x v="1"/>
    <x v="4"/>
    <x v="1"/>
    <s v="Bagus"/>
    <x v="1"/>
    <s v="sangat rendah"/>
  </r>
  <r>
    <s v="ORD00444"/>
    <x v="1535"/>
    <s v="Clara Utami"/>
    <x v="31"/>
    <x v="7"/>
    <n v="12000"/>
    <n v="5"/>
    <n v="15"/>
    <n v="60000"/>
    <n v="9000"/>
    <n v="51000"/>
    <n v="18000"/>
    <n v="69000"/>
    <x v="3"/>
    <x v="2"/>
    <x v="4"/>
    <x v="4"/>
    <x v="0"/>
    <s v="Bagus"/>
    <x v="0"/>
    <s v="rendah"/>
  </r>
  <r>
    <s v="ORD00444"/>
    <x v="1535"/>
    <s v="Clara Utami"/>
    <x v="31"/>
    <x v="16"/>
    <n v="28000"/>
    <n v="2"/>
    <n v="5"/>
    <n v="56000"/>
    <n v="2800"/>
    <n v="53200"/>
    <n v="0"/>
    <n v="53200"/>
    <x v="3"/>
    <x v="2"/>
    <x v="4"/>
    <x v="4"/>
    <x v="0"/>
    <s v="Bagus"/>
    <x v="1"/>
    <s v="sangat rendah"/>
  </r>
  <r>
    <s v="ORD00888"/>
    <x v="1536"/>
    <s v="Yani Hidayat"/>
    <x v="34"/>
    <x v="23"/>
    <n v="45000"/>
    <n v="5"/>
    <n v="15"/>
    <n v="225000"/>
    <n v="33750"/>
    <n v="191250"/>
    <n v="80000"/>
    <n v="271250"/>
    <x v="2"/>
    <x v="2"/>
    <x v="2"/>
    <x v="1"/>
    <x v="0"/>
    <s v="Rendah"/>
    <x v="4"/>
    <s v="tinggi"/>
  </r>
  <r>
    <s v="ORD00662"/>
    <x v="1537"/>
    <s v="Putri Halim"/>
    <x v="33"/>
    <x v="6"/>
    <n v="55000"/>
    <n v="2"/>
    <n v="5"/>
    <n v="110000"/>
    <n v="5500"/>
    <n v="104500"/>
    <n v="68000"/>
    <n v="172500"/>
    <x v="0"/>
    <x v="2"/>
    <x v="1"/>
    <x v="1"/>
    <x v="0"/>
    <s v="Rendah"/>
    <x v="0"/>
    <s v="rendah"/>
  </r>
  <r>
    <s v="ORD01768"/>
    <x v="1538"/>
    <s v="Ani Kusuma"/>
    <x v="25"/>
    <x v="24"/>
    <n v="22000"/>
    <n v="5"/>
    <n v="0"/>
    <n v="110000"/>
    <n v="0"/>
    <n v="110000"/>
    <n v="48000"/>
    <n v="158000"/>
    <x v="3"/>
    <x v="2"/>
    <x v="4"/>
    <x v="2"/>
    <x v="0"/>
    <s v="Rendah"/>
    <x v="1"/>
    <s v="sangat rendah"/>
  </r>
  <r>
    <s v="ORD00346"/>
    <x v="1539"/>
    <s v="Zahra Iskandar"/>
    <x v="3"/>
    <x v="17"/>
    <n v="15000"/>
    <n v="3"/>
    <n v="0"/>
    <n v="45000"/>
    <n v="0"/>
    <n v="45000"/>
    <n v="18000"/>
    <n v="63000"/>
    <x v="2"/>
    <x v="2"/>
    <x v="3"/>
    <x v="4"/>
    <x v="0"/>
    <s v="Bagus"/>
    <x v="1"/>
    <s v="sangat rendah"/>
  </r>
  <r>
    <s v="ORD00090"/>
    <x v="1540"/>
    <s v="Rizky Fauziah"/>
    <x v="13"/>
    <x v="26"/>
    <n v="16000"/>
    <n v="2"/>
    <n v="10"/>
    <n v="32000"/>
    <n v="3200"/>
    <n v="28800"/>
    <n v="87000"/>
    <n v="115800"/>
    <x v="0"/>
    <x v="2"/>
    <x v="3"/>
    <x v="4"/>
    <x v="1"/>
    <s v="Bagus"/>
    <x v="1"/>
    <s v="sangat rendah"/>
  </r>
  <r>
    <s v="ORD00832"/>
    <x v="1541"/>
    <s v="Gita Saputra"/>
    <x v="21"/>
    <x v="25"/>
    <n v="40000"/>
    <n v="5"/>
    <n v="0"/>
    <n v="200000"/>
    <n v="0"/>
    <n v="200000"/>
    <n v="72000"/>
    <n v="272000"/>
    <x v="2"/>
    <x v="4"/>
    <x v="0"/>
    <x v="1"/>
    <x v="0"/>
    <s v="Rendah"/>
    <x v="1"/>
    <s v="sangat rendah"/>
  </r>
  <r>
    <s v="ORD00504"/>
    <x v="1542"/>
    <s v="Hana Fauziah"/>
    <x v="20"/>
    <x v="15"/>
    <n v="4000"/>
    <n v="2"/>
    <n v="0"/>
    <n v="8000"/>
    <n v="0"/>
    <n v="8000"/>
    <n v="85000"/>
    <n v="93000"/>
    <x v="0"/>
    <x v="2"/>
    <x v="3"/>
    <x v="4"/>
    <x v="0"/>
    <s v="Bagus"/>
    <x v="1"/>
    <s v="sangat rendah"/>
  </r>
  <r>
    <s v="ORD00548"/>
    <x v="1543"/>
    <s v="Sari Syahputra"/>
    <x v="32"/>
    <x v="17"/>
    <n v="15000"/>
    <n v="1"/>
    <n v="10"/>
    <n v="15000"/>
    <n v="1500"/>
    <n v="13500"/>
    <n v="59000"/>
    <n v="72500"/>
    <x v="0"/>
    <x v="2"/>
    <x v="4"/>
    <x v="3"/>
    <x v="0"/>
    <s v="Bagus"/>
    <x v="1"/>
    <s v="sangat rendah"/>
  </r>
  <r>
    <s v="ORD00511"/>
    <x v="1544"/>
    <s v="Joko Halim"/>
    <x v="1"/>
    <x v="25"/>
    <n v="40000"/>
    <n v="2"/>
    <n v="5"/>
    <n v="80000"/>
    <n v="4000"/>
    <n v="76000"/>
    <n v="59000"/>
    <n v="135000"/>
    <x v="1"/>
    <x v="2"/>
    <x v="4"/>
    <x v="0"/>
    <x v="1"/>
    <s v="Standar"/>
    <x v="1"/>
    <s v="sangat rendah"/>
  </r>
  <r>
    <s v="ORD01353"/>
    <x v="1545"/>
    <s v="Tono Syahputra"/>
    <x v="7"/>
    <x v="10"/>
    <n v="45000"/>
    <n v="1"/>
    <n v="0"/>
    <n v="45000"/>
    <n v="0"/>
    <n v="45000"/>
    <n v="15000"/>
    <n v="60000"/>
    <x v="1"/>
    <x v="2"/>
    <x v="3"/>
    <x v="0"/>
    <x v="1"/>
    <s v="Standar"/>
    <x v="1"/>
    <s v="sangat rendah"/>
  </r>
  <r>
    <s v="ORD00409"/>
    <x v="1546"/>
    <s v="Qori Budiman"/>
    <x v="25"/>
    <x v="22"/>
    <n v="18000"/>
    <n v="2"/>
    <n v="10"/>
    <n v="36000"/>
    <n v="3600"/>
    <n v="32400"/>
    <n v="48000"/>
    <n v="80400"/>
    <x v="3"/>
    <x v="2"/>
    <x v="4"/>
    <x v="3"/>
    <x v="0"/>
    <s v="Bagus"/>
    <x v="1"/>
    <s v="sangat rendah"/>
  </r>
  <r>
    <s v="ORD01438"/>
    <x v="1547"/>
    <s v="Aulia Ananda"/>
    <x v="20"/>
    <x v="11"/>
    <n v="30000"/>
    <n v="2"/>
    <n v="15"/>
    <n v="60000"/>
    <n v="9000"/>
    <n v="51000"/>
    <n v="85000"/>
    <n v="136000"/>
    <x v="1"/>
    <x v="2"/>
    <x v="3"/>
    <x v="3"/>
    <x v="0"/>
    <s v="Bagus"/>
    <x v="0"/>
    <s v="rendah"/>
  </r>
  <r>
    <s v="ORD00657"/>
    <x v="1548"/>
    <s v="Dina Hidayat"/>
    <x v="23"/>
    <x v="25"/>
    <n v="40000"/>
    <n v="4"/>
    <n v="10"/>
    <n v="160000"/>
    <n v="16000"/>
    <n v="144000"/>
    <n v="49000"/>
    <n v="193000"/>
    <x v="3"/>
    <x v="2"/>
    <x v="3"/>
    <x v="3"/>
    <x v="0"/>
    <s v="Bagus"/>
    <x v="2"/>
    <s v="normal"/>
  </r>
  <r>
    <s v="ORD01584"/>
    <x v="1549"/>
    <s v="Sari Kurniawan"/>
    <x v="28"/>
    <x v="13"/>
    <n v="17000"/>
    <n v="3"/>
    <n v="5"/>
    <n v="51000"/>
    <n v="2550"/>
    <n v="48450"/>
    <n v="79000"/>
    <n v="127450"/>
    <x v="3"/>
    <x v="2"/>
    <x v="3"/>
    <x v="2"/>
    <x v="0"/>
    <s v="Rendah"/>
    <x v="1"/>
    <s v="sangat rendah"/>
  </r>
  <r>
    <s v="ORD00843"/>
    <x v="1550"/>
    <s v="Fitri Maulana"/>
    <x v="17"/>
    <x v="25"/>
    <n v="40000"/>
    <n v="5"/>
    <n v="0"/>
    <n v="200000"/>
    <n v="0"/>
    <n v="200000"/>
    <n v="50000"/>
    <n v="250000"/>
    <x v="1"/>
    <x v="4"/>
    <x v="3"/>
    <x v="4"/>
    <x v="0"/>
    <s v="Bagus"/>
    <x v="1"/>
    <s v="sangat rendah"/>
  </r>
  <r>
    <s v="ORD00162"/>
    <x v="1551"/>
    <s v="Lestari Ramadhani"/>
    <x v="27"/>
    <x v="24"/>
    <n v="22000"/>
    <n v="5"/>
    <n v="10"/>
    <n v="110000"/>
    <n v="11000"/>
    <n v="99000"/>
    <n v="18000"/>
    <n v="117000"/>
    <x v="3"/>
    <x v="2"/>
    <x v="0"/>
    <x v="4"/>
    <x v="0"/>
    <s v="Bagus"/>
    <x v="2"/>
    <s v="normal"/>
  </r>
  <r>
    <s v="ORD01460"/>
    <x v="1552"/>
    <s v="Erna Setiawan"/>
    <x v="22"/>
    <x v="26"/>
    <n v="16000"/>
    <n v="1"/>
    <n v="10"/>
    <n v="16000"/>
    <n v="1600"/>
    <n v="14400"/>
    <n v="80000"/>
    <n v="94400"/>
    <x v="3"/>
    <x v="2"/>
    <x v="0"/>
    <x v="1"/>
    <x v="0"/>
    <s v="Rendah"/>
    <x v="1"/>
    <s v="sangat rendah"/>
  </r>
  <r>
    <s v="ORD01580"/>
    <x v="1553"/>
    <s v="Dimas Utami"/>
    <x v="4"/>
    <x v="17"/>
    <n v="15000"/>
    <n v="3"/>
    <n v="0"/>
    <n v="45000"/>
    <n v="0"/>
    <n v="45000"/>
    <n v="0"/>
    <n v="45000"/>
    <x v="3"/>
    <x v="2"/>
    <x v="3"/>
    <x v="1"/>
    <x v="1"/>
    <s v="Rendah"/>
    <x v="1"/>
    <s v="sangat rendah"/>
  </r>
  <r>
    <s v="ORD00358"/>
    <x v="1554"/>
    <s v="Gita Ramadhani"/>
    <x v="17"/>
    <x v="14"/>
    <n v="18000"/>
    <n v="2"/>
    <n v="15"/>
    <n v="36000"/>
    <n v="5400"/>
    <n v="30600"/>
    <n v="50000"/>
    <n v="80600"/>
    <x v="2"/>
    <x v="2"/>
    <x v="1"/>
    <x v="1"/>
    <x v="0"/>
    <s v="Rendah"/>
    <x v="0"/>
    <s v="rendah"/>
  </r>
  <r>
    <s v="ORD01214"/>
    <x v="1555"/>
    <s v="Gita Puspita"/>
    <x v="0"/>
    <x v="23"/>
    <n v="45000"/>
    <n v="3"/>
    <n v="20"/>
    <n v="135000"/>
    <n v="27000"/>
    <n v="108000"/>
    <n v="67000"/>
    <n v="175000"/>
    <x v="2"/>
    <x v="2"/>
    <x v="2"/>
    <x v="1"/>
    <x v="0"/>
    <s v="Rendah"/>
    <x v="4"/>
    <s v="tinggi"/>
  </r>
  <r>
    <s v="ORD00380"/>
    <x v="1556"/>
    <s v="Dina Kurniawan"/>
    <x v="13"/>
    <x v="10"/>
    <n v="45000"/>
    <n v="3"/>
    <n v="20"/>
    <n v="135000"/>
    <n v="27000"/>
    <n v="108000"/>
    <n v="87000"/>
    <n v="195000"/>
    <x v="0"/>
    <x v="2"/>
    <x v="0"/>
    <x v="2"/>
    <x v="0"/>
    <s v="Rendah"/>
    <x v="4"/>
    <s v="tinggi"/>
  </r>
  <r>
    <s v="ORD01108"/>
    <x v="1557"/>
    <s v="Kartika Saputra"/>
    <x v="0"/>
    <x v="9"/>
    <n v="35000"/>
    <n v="5"/>
    <n v="0"/>
    <n v="175000"/>
    <n v="0"/>
    <n v="175000"/>
    <n v="67000"/>
    <n v="242000"/>
    <x v="3"/>
    <x v="4"/>
    <x v="0"/>
    <x v="1"/>
    <x v="0"/>
    <s v="Rendah"/>
    <x v="1"/>
    <s v="sangat rendah"/>
  </r>
  <r>
    <s v="ORD01725"/>
    <x v="1558"/>
    <s v="Dewi Wijaya"/>
    <x v="6"/>
    <x v="17"/>
    <n v="15000"/>
    <n v="3"/>
    <n v="15"/>
    <n v="45000"/>
    <n v="6750"/>
    <n v="38250"/>
    <n v="30000"/>
    <n v="68250"/>
    <x v="1"/>
    <x v="2"/>
    <x v="1"/>
    <x v="3"/>
    <x v="0"/>
    <s v="Bagus"/>
    <x v="0"/>
    <s v="rendah"/>
  </r>
  <r>
    <s v="ORD00428"/>
    <x v="1559"/>
    <s v="Yani Ramadhani"/>
    <x v="9"/>
    <x v="16"/>
    <n v="28000"/>
    <n v="2"/>
    <n v="10"/>
    <n v="56000"/>
    <n v="5600"/>
    <n v="50400"/>
    <n v="21000"/>
    <n v="71400"/>
    <x v="0"/>
    <x v="2"/>
    <x v="4"/>
    <x v="2"/>
    <x v="0"/>
    <s v="Rendah"/>
    <x v="0"/>
    <s v="rendah"/>
  </r>
  <r>
    <s v="ORD00366"/>
    <x v="1560"/>
    <s v="Clara Pradipta"/>
    <x v="30"/>
    <x v="10"/>
    <n v="45000"/>
    <n v="2"/>
    <n v="20"/>
    <n v="90000"/>
    <n v="18000"/>
    <n v="72000"/>
    <n v="97000"/>
    <n v="169000"/>
    <x v="1"/>
    <x v="2"/>
    <x v="4"/>
    <x v="1"/>
    <x v="0"/>
    <s v="Rendah"/>
    <x v="2"/>
    <s v="normal"/>
  </r>
  <r>
    <s v="ORD00366"/>
    <x v="1560"/>
    <s v="Clara Pradipta"/>
    <x v="30"/>
    <x v="13"/>
    <n v="17000"/>
    <n v="1"/>
    <n v="5"/>
    <n v="17000"/>
    <n v="850"/>
    <n v="16150"/>
    <n v="0"/>
    <n v="16150"/>
    <x v="1"/>
    <x v="2"/>
    <x v="4"/>
    <x v="1"/>
    <x v="0"/>
    <s v="Rendah"/>
    <x v="1"/>
    <s v="sangat rendah"/>
  </r>
  <r>
    <s v="ORD00618"/>
    <x v="1561"/>
    <s v="Zahra Setiawan"/>
    <x v="19"/>
    <x v="18"/>
    <n v="16000"/>
    <n v="4"/>
    <n v="15"/>
    <n v="64000"/>
    <n v="9600"/>
    <n v="54400"/>
    <n v="55000"/>
    <n v="109400"/>
    <x v="3"/>
    <x v="2"/>
    <x v="2"/>
    <x v="2"/>
    <x v="0"/>
    <s v="Rendah"/>
    <x v="0"/>
    <s v="rendah"/>
  </r>
  <r>
    <s v="ORD01505"/>
    <x v="1562"/>
    <s v="Aulia Kusuma"/>
    <x v="12"/>
    <x v="11"/>
    <n v="30000"/>
    <n v="2"/>
    <n v="15"/>
    <n v="60000"/>
    <n v="9000"/>
    <n v="51000"/>
    <n v="74000"/>
    <n v="125000"/>
    <x v="2"/>
    <x v="2"/>
    <x v="0"/>
    <x v="1"/>
    <x v="0"/>
    <s v="Rendah"/>
    <x v="0"/>
    <s v="rendah"/>
  </r>
  <r>
    <s v="ORD01798"/>
    <x v="1563"/>
    <s v="Erna Santoso"/>
    <x v="18"/>
    <x v="7"/>
    <n v="12000"/>
    <n v="1"/>
    <n v="0"/>
    <n v="12000"/>
    <n v="0"/>
    <n v="12000"/>
    <n v="43000"/>
    <n v="55000"/>
    <x v="0"/>
    <x v="2"/>
    <x v="1"/>
    <x v="3"/>
    <x v="0"/>
    <s v="Bagus"/>
    <x v="1"/>
    <s v="sangat rendah"/>
  </r>
  <r>
    <s v="ORD00513"/>
    <x v="1564"/>
    <s v="Citra Halim"/>
    <x v="32"/>
    <x v="16"/>
    <n v="28000"/>
    <n v="5"/>
    <n v="5"/>
    <n v="140000"/>
    <n v="7000"/>
    <n v="133000"/>
    <n v="59000"/>
    <n v="192000"/>
    <x v="2"/>
    <x v="2"/>
    <x v="3"/>
    <x v="2"/>
    <x v="0"/>
    <s v="Rendah"/>
    <x v="0"/>
    <s v="rendah"/>
  </r>
  <r>
    <s v="ORD00297"/>
    <x v="1565"/>
    <s v="Ani Utami"/>
    <x v="19"/>
    <x v="6"/>
    <n v="55000"/>
    <n v="4"/>
    <n v="20"/>
    <n v="220000"/>
    <n v="44000"/>
    <n v="176000"/>
    <n v="55000"/>
    <n v="231000"/>
    <x v="3"/>
    <x v="2"/>
    <x v="3"/>
    <x v="1"/>
    <x v="0"/>
    <s v="Rendah"/>
    <x v="3"/>
    <s v="sangat tinggi"/>
  </r>
  <r>
    <s v="ORD00706"/>
    <x v="1566"/>
    <s v="Dewi Iskandar"/>
    <x v="27"/>
    <x v="26"/>
    <n v="16000"/>
    <n v="3"/>
    <n v="20"/>
    <n v="48000"/>
    <n v="9600"/>
    <n v="38400"/>
    <n v="18000"/>
    <n v="56400"/>
    <x v="3"/>
    <x v="4"/>
    <x v="4"/>
    <x v="2"/>
    <x v="0"/>
    <s v="Rendah"/>
    <x v="0"/>
    <s v="rendah"/>
  </r>
  <r>
    <s v="ORD00144"/>
    <x v="1567"/>
    <s v="Erna Kusuma"/>
    <x v="4"/>
    <x v="12"/>
    <n v="25000"/>
    <n v="4"/>
    <n v="0"/>
    <n v="100000"/>
    <n v="0"/>
    <n v="100000"/>
    <n v="0"/>
    <n v="100000"/>
    <x v="0"/>
    <x v="2"/>
    <x v="3"/>
    <x v="0"/>
    <x v="0"/>
    <s v="Standar"/>
    <x v="1"/>
    <s v="sangat rendah"/>
  </r>
  <r>
    <s v="ORD01057"/>
    <x v="1568"/>
    <s v="Sari Pradipta"/>
    <x v="27"/>
    <x v="18"/>
    <n v="16000"/>
    <n v="2"/>
    <n v="5"/>
    <n v="32000"/>
    <n v="1600"/>
    <n v="30400"/>
    <n v="18000"/>
    <n v="48400"/>
    <x v="1"/>
    <x v="2"/>
    <x v="2"/>
    <x v="1"/>
    <x v="0"/>
    <s v="Rendah"/>
    <x v="1"/>
    <s v="sangat rendah"/>
  </r>
  <r>
    <s v="ORD00870"/>
    <x v="1569"/>
    <s v="Zahra Kusuma"/>
    <x v="2"/>
    <x v="19"/>
    <n v="35000"/>
    <n v="1"/>
    <n v="5"/>
    <n v="35000"/>
    <n v="1750"/>
    <n v="33250"/>
    <n v="26000"/>
    <n v="59250"/>
    <x v="3"/>
    <x v="2"/>
    <x v="3"/>
    <x v="3"/>
    <x v="0"/>
    <s v="Bagus"/>
    <x v="1"/>
    <s v="sangat rendah"/>
  </r>
  <r>
    <s v="ORD01177"/>
    <x v="1570"/>
    <s v="Zahra Pradipta"/>
    <x v="29"/>
    <x v="26"/>
    <n v="16000"/>
    <n v="3"/>
    <n v="20"/>
    <n v="48000"/>
    <n v="9600"/>
    <n v="38400"/>
    <n v="89000"/>
    <n v="127400"/>
    <x v="3"/>
    <x v="2"/>
    <x v="2"/>
    <x v="0"/>
    <x v="0"/>
    <s v="Standar"/>
    <x v="0"/>
    <s v="rendah"/>
  </r>
  <r>
    <s v="ORD00471"/>
    <x v="1571"/>
    <s v="Hana Budiman"/>
    <x v="30"/>
    <x v="24"/>
    <n v="22000"/>
    <n v="5"/>
    <n v="5"/>
    <n v="110000"/>
    <n v="5500"/>
    <n v="104500"/>
    <n v="97000"/>
    <n v="201500"/>
    <x v="0"/>
    <x v="2"/>
    <x v="1"/>
    <x v="3"/>
    <x v="0"/>
    <s v="Bagus"/>
    <x v="0"/>
    <s v="rendah"/>
  </r>
  <r>
    <s v="ORD01704"/>
    <x v="1572"/>
    <s v="Erna Budiman"/>
    <x v="13"/>
    <x v="14"/>
    <n v="18000"/>
    <n v="2"/>
    <n v="5"/>
    <n v="36000"/>
    <n v="1800"/>
    <n v="34200"/>
    <n v="87000"/>
    <n v="121200"/>
    <x v="0"/>
    <x v="2"/>
    <x v="3"/>
    <x v="3"/>
    <x v="0"/>
    <s v="Bagus"/>
    <x v="1"/>
    <s v="sangat rendah"/>
  </r>
  <r>
    <s v="ORD01605"/>
    <x v="1573"/>
    <s v="Aulia Santoso"/>
    <x v="26"/>
    <x v="15"/>
    <n v="4000"/>
    <n v="1"/>
    <n v="0"/>
    <n v="4000"/>
    <n v="0"/>
    <n v="4000"/>
    <n v="28000"/>
    <n v="32000"/>
    <x v="2"/>
    <x v="2"/>
    <x v="2"/>
    <x v="3"/>
    <x v="0"/>
    <s v="Bagus"/>
    <x v="1"/>
    <s v="sangat rendah"/>
  </r>
  <r>
    <s v="ORD01413"/>
    <x v="1574"/>
    <s v="Hana Nugroho"/>
    <x v="12"/>
    <x v="14"/>
    <n v="18000"/>
    <n v="1"/>
    <n v="20"/>
    <n v="18000"/>
    <n v="3600"/>
    <n v="14400"/>
    <n v="74000"/>
    <n v="88400"/>
    <x v="3"/>
    <x v="2"/>
    <x v="4"/>
    <x v="2"/>
    <x v="0"/>
    <s v="Rendah"/>
    <x v="1"/>
    <s v="sangat rendah"/>
  </r>
  <r>
    <s v="ORD00684"/>
    <x v="1575"/>
    <s v="Wahyu Santoso"/>
    <x v="31"/>
    <x v="20"/>
    <n v="40000"/>
    <n v="2"/>
    <n v="10"/>
    <n v="80000"/>
    <n v="8000"/>
    <n v="72000"/>
    <n v="18000"/>
    <n v="90000"/>
    <x v="3"/>
    <x v="2"/>
    <x v="2"/>
    <x v="3"/>
    <x v="1"/>
    <s v="Bagus"/>
    <x v="0"/>
    <s v="rendah"/>
  </r>
  <r>
    <s v="ORD00661"/>
    <x v="1576"/>
    <s v="Citra Iskandar"/>
    <x v="17"/>
    <x v="10"/>
    <n v="45000"/>
    <n v="2"/>
    <n v="15"/>
    <n v="90000"/>
    <n v="13500"/>
    <n v="76500"/>
    <n v="50000"/>
    <n v="126500"/>
    <x v="1"/>
    <x v="2"/>
    <x v="1"/>
    <x v="4"/>
    <x v="0"/>
    <s v="Bagus"/>
    <x v="2"/>
    <s v="normal"/>
  </r>
  <r>
    <s v="ORD00541"/>
    <x v="1577"/>
    <s v="Bella Ramadhani"/>
    <x v="20"/>
    <x v="17"/>
    <n v="15000"/>
    <n v="4"/>
    <n v="5"/>
    <n v="60000"/>
    <n v="3000"/>
    <n v="57000"/>
    <n v="85000"/>
    <n v="142000"/>
    <x v="2"/>
    <x v="2"/>
    <x v="0"/>
    <x v="3"/>
    <x v="0"/>
    <s v="Bagus"/>
    <x v="1"/>
    <s v="sangat rendah"/>
  </r>
  <r>
    <s v="ORD00576"/>
    <x v="1578"/>
    <s v="Putri Ananda"/>
    <x v="2"/>
    <x v="19"/>
    <n v="35000"/>
    <n v="2"/>
    <n v="10"/>
    <n v="70000"/>
    <n v="7000"/>
    <n v="63000"/>
    <n v="26000"/>
    <n v="89000"/>
    <x v="3"/>
    <x v="4"/>
    <x v="2"/>
    <x v="1"/>
    <x v="0"/>
    <s v="Rendah"/>
    <x v="0"/>
    <s v="rendah"/>
  </r>
  <r>
    <s v="ORD01851"/>
    <x v="1579"/>
    <s v="Hana Pradipta"/>
    <x v="6"/>
    <x v="2"/>
    <n v="5000"/>
    <n v="4"/>
    <n v="0"/>
    <n v="20000"/>
    <n v="0"/>
    <n v="20000"/>
    <n v="30000"/>
    <n v="50000"/>
    <x v="0"/>
    <x v="4"/>
    <x v="0"/>
    <x v="1"/>
    <x v="0"/>
    <s v="Rendah"/>
    <x v="1"/>
    <s v="sangat rendah"/>
  </r>
  <r>
    <s v="ORD01340"/>
    <x v="1580"/>
    <s v="Kartika Saputra"/>
    <x v="0"/>
    <x v="24"/>
    <n v="22000"/>
    <n v="1"/>
    <n v="15"/>
    <n v="22000"/>
    <n v="3300"/>
    <n v="18700"/>
    <n v="67000"/>
    <n v="85700"/>
    <x v="3"/>
    <x v="4"/>
    <x v="4"/>
    <x v="1"/>
    <x v="0"/>
    <s v="Rendah"/>
    <x v="1"/>
    <s v="sangat rendah"/>
  </r>
  <r>
    <s v="ORD00453"/>
    <x v="1581"/>
    <s v="Dewi Setiawan"/>
    <x v="30"/>
    <x v="7"/>
    <n v="12000"/>
    <n v="1"/>
    <n v="20"/>
    <n v="12000"/>
    <n v="2400"/>
    <n v="9600"/>
    <n v="97000"/>
    <n v="106600"/>
    <x v="2"/>
    <x v="2"/>
    <x v="0"/>
    <x v="0"/>
    <x v="0"/>
    <s v="Standar"/>
    <x v="1"/>
    <s v="sangat rendah"/>
  </r>
  <r>
    <s v="ORD00453"/>
    <x v="1581"/>
    <s v="Dewi Setiawan"/>
    <x v="30"/>
    <x v="13"/>
    <n v="17000"/>
    <n v="5"/>
    <n v="10"/>
    <n v="85000"/>
    <n v="8500"/>
    <n v="76500"/>
    <n v="0"/>
    <n v="76500"/>
    <x v="2"/>
    <x v="2"/>
    <x v="0"/>
    <x v="0"/>
    <x v="0"/>
    <s v="Standar"/>
    <x v="0"/>
    <s v="rendah"/>
  </r>
  <r>
    <s v="ORD00908"/>
    <x v="1582"/>
    <s v="Ani Fauziah"/>
    <x v="30"/>
    <x v="17"/>
    <n v="15000"/>
    <n v="3"/>
    <n v="5"/>
    <n v="45000"/>
    <n v="2250"/>
    <n v="42750"/>
    <n v="97000"/>
    <n v="139750"/>
    <x v="1"/>
    <x v="2"/>
    <x v="0"/>
    <x v="3"/>
    <x v="0"/>
    <s v="Bagus"/>
    <x v="1"/>
    <s v="sangat rendah"/>
  </r>
  <r>
    <s v="ORD01672"/>
    <x v="1583"/>
    <s v="Lestari Setiawan"/>
    <x v="2"/>
    <x v="0"/>
    <n v="16000"/>
    <n v="1"/>
    <n v="10"/>
    <n v="16000"/>
    <n v="1600"/>
    <n v="14400"/>
    <n v="26000"/>
    <n v="40400"/>
    <x v="1"/>
    <x v="2"/>
    <x v="3"/>
    <x v="3"/>
    <x v="0"/>
    <s v="Bagus"/>
    <x v="1"/>
    <s v="sangat rendah"/>
  </r>
  <r>
    <s v="ORD01116"/>
    <x v="1584"/>
    <s v="Yani Setiawan"/>
    <x v="35"/>
    <x v="5"/>
    <n v="50000"/>
    <n v="5"/>
    <n v="15"/>
    <n v="250000"/>
    <n v="37500"/>
    <n v="212500"/>
    <n v="76000"/>
    <n v="288500"/>
    <x v="2"/>
    <x v="2"/>
    <x v="1"/>
    <x v="1"/>
    <x v="0"/>
    <s v="Rendah"/>
    <x v="3"/>
    <s v="sangat tinggi"/>
  </r>
  <r>
    <s v="ORD00875"/>
    <x v="1585"/>
    <s v="Arif Fauziah"/>
    <x v="22"/>
    <x v="19"/>
    <n v="35000"/>
    <n v="3"/>
    <n v="0"/>
    <n v="105000"/>
    <n v="0"/>
    <n v="105000"/>
    <n v="80000"/>
    <n v="185000"/>
    <x v="1"/>
    <x v="2"/>
    <x v="2"/>
    <x v="2"/>
    <x v="1"/>
    <s v="Rendah"/>
    <x v="1"/>
    <s v="sangat rendah"/>
  </r>
  <r>
    <s v="ORD00438"/>
    <x v="1586"/>
    <s v="Clara Ramadhani"/>
    <x v="25"/>
    <x v="13"/>
    <n v="17000"/>
    <n v="3"/>
    <n v="10"/>
    <n v="51000"/>
    <n v="5100"/>
    <n v="45900"/>
    <n v="48000"/>
    <n v="93900"/>
    <x v="1"/>
    <x v="2"/>
    <x v="2"/>
    <x v="0"/>
    <x v="0"/>
    <s v="Standar"/>
    <x v="0"/>
    <s v="rendah"/>
  </r>
  <r>
    <s v="ORD00438"/>
    <x v="1586"/>
    <s v="Clara Ramadhani"/>
    <x v="25"/>
    <x v="5"/>
    <n v="50000"/>
    <n v="1"/>
    <n v="0"/>
    <n v="50000"/>
    <n v="0"/>
    <n v="50000"/>
    <n v="0"/>
    <n v="50000"/>
    <x v="1"/>
    <x v="2"/>
    <x v="2"/>
    <x v="0"/>
    <x v="0"/>
    <s v="Standar"/>
    <x v="1"/>
    <s v="sangat rendah"/>
  </r>
  <r>
    <s v="ORD00334"/>
    <x v="1587"/>
    <s v="Yani Nugroho"/>
    <x v="15"/>
    <x v="14"/>
    <n v="18000"/>
    <n v="2"/>
    <n v="5"/>
    <n v="36000"/>
    <n v="1800"/>
    <n v="34200"/>
    <n v="17000"/>
    <n v="51200"/>
    <x v="3"/>
    <x v="3"/>
    <x v="3"/>
    <x v="3"/>
    <x v="0"/>
    <s v="Bagus"/>
    <x v="1"/>
    <s v="sangat rendah"/>
  </r>
  <r>
    <s v="ORD00904"/>
    <x v="1588"/>
    <s v="Lestari Ananda"/>
    <x v="35"/>
    <x v="0"/>
    <n v="16000"/>
    <n v="3"/>
    <n v="10"/>
    <n v="48000"/>
    <n v="4800"/>
    <n v="43200"/>
    <n v="76000"/>
    <n v="119200"/>
    <x v="3"/>
    <x v="4"/>
    <x v="3"/>
    <x v="1"/>
    <x v="0"/>
    <s v="Rendah"/>
    <x v="1"/>
    <s v="sangat rendah"/>
  </r>
  <r>
    <s v="ORD00781"/>
    <x v="1589"/>
    <s v="Hana Nugroho"/>
    <x v="12"/>
    <x v="21"/>
    <n v="10000"/>
    <n v="1"/>
    <n v="20"/>
    <n v="10000"/>
    <n v="2000"/>
    <n v="8000"/>
    <n v="74000"/>
    <n v="82000"/>
    <x v="2"/>
    <x v="2"/>
    <x v="1"/>
    <x v="3"/>
    <x v="0"/>
    <s v="Bagus"/>
    <x v="1"/>
    <s v="sangat rendah"/>
  </r>
  <r>
    <s v="ORD00827"/>
    <x v="1590"/>
    <s v="Clara Santoso"/>
    <x v="0"/>
    <x v="1"/>
    <n v="17000"/>
    <n v="1"/>
    <n v="20"/>
    <n v="17000"/>
    <n v="3400"/>
    <n v="13600"/>
    <n v="67000"/>
    <n v="80600"/>
    <x v="3"/>
    <x v="2"/>
    <x v="3"/>
    <x v="1"/>
    <x v="0"/>
    <s v="Rendah"/>
    <x v="1"/>
    <s v="sangat rendah"/>
  </r>
  <r>
    <s v="ORD01619"/>
    <x v="1591"/>
    <s v="Clara Pradipta"/>
    <x v="30"/>
    <x v="12"/>
    <n v="25000"/>
    <n v="1"/>
    <n v="0"/>
    <n v="25000"/>
    <n v="0"/>
    <n v="25000"/>
    <n v="97000"/>
    <n v="122000"/>
    <x v="2"/>
    <x v="2"/>
    <x v="2"/>
    <x v="4"/>
    <x v="0"/>
    <s v="Bagus"/>
    <x v="1"/>
    <s v="sangat rendah"/>
  </r>
  <r>
    <s v="ORD01200"/>
    <x v="1592"/>
    <s v="Yani Budiman"/>
    <x v="16"/>
    <x v="21"/>
    <n v="10000"/>
    <n v="4"/>
    <n v="20"/>
    <n v="40000"/>
    <n v="8000"/>
    <n v="32000"/>
    <n v="50000"/>
    <n v="82000"/>
    <x v="0"/>
    <x v="2"/>
    <x v="0"/>
    <x v="1"/>
    <x v="0"/>
    <s v="Rendah"/>
    <x v="0"/>
    <s v="rendah"/>
  </r>
  <r>
    <s v="ORD00088"/>
    <x v="1593"/>
    <s v="Yoga Utami"/>
    <x v="19"/>
    <x v="17"/>
    <n v="15000"/>
    <n v="3"/>
    <n v="10"/>
    <n v="45000"/>
    <n v="4500"/>
    <n v="40500"/>
    <n v="55000"/>
    <n v="95500"/>
    <x v="1"/>
    <x v="2"/>
    <x v="0"/>
    <x v="2"/>
    <x v="1"/>
    <s v="Rendah"/>
    <x v="1"/>
    <s v="sangat rendah"/>
  </r>
  <r>
    <s v="ORD00930"/>
    <x v="1594"/>
    <s v="Lestari Kusuma"/>
    <x v="17"/>
    <x v="5"/>
    <n v="50000"/>
    <n v="3"/>
    <n v="15"/>
    <n v="150000"/>
    <n v="22500"/>
    <n v="127500"/>
    <n v="50000"/>
    <n v="177500"/>
    <x v="2"/>
    <x v="2"/>
    <x v="0"/>
    <x v="1"/>
    <x v="0"/>
    <s v="Rendah"/>
    <x v="4"/>
    <s v="tinggi"/>
  </r>
  <r>
    <s v="ORD01327"/>
    <x v="1595"/>
    <s v="Gita Saputra"/>
    <x v="21"/>
    <x v="1"/>
    <n v="17000"/>
    <n v="5"/>
    <n v="5"/>
    <n v="85000"/>
    <n v="4250"/>
    <n v="80750"/>
    <n v="72000"/>
    <n v="152750"/>
    <x v="2"/>
    <x v="2"/>
    <x v="4"/>
    <x v="4"/>
    <x v="0"/>
    <s v="Bagus"/>
    <x v="1"/>
    <s v="sangat rendah"/>
  </r>
  <r>
    <s v="ORD01677"/>
    <x v="1596"/>
    <s v="Ani Fauziah"/>
    <x v="30"/>
    <x v="5"/>
    <n v="50000"/>
    <n v="4"/>
    <n v="20"/>
    <n v="200000"/>
    <n v="40000"/>
    <n v="160000"/>
    <n v="97000"/>
    <n v="257000"/>
    <x v="2"/>
    <x v="2"/>
    <x v="2"/>
    <x v="4"/>
    <x v="0"/>
    <s v="Bagus"/>
    <x v="3"/>
    <s v="sangat tinggi"/>
  </r>
  <r>
    <s v="ORD00072"/>
    <x v="1597"/>
    <s v="Iwan Rahmawati"/>
    <x v="4"/>
    <x v="18"/>
    <n v="16000"/>
    <n v="2"/>
    <n v="20"/>
    <n v="32000"/>
    <n v="6400"/>
    <n v="25600"/>
    <n v="0"/>
    <n v="25600"/>
    <x v="0"/>
    <x v="2"/>
    <x v="4"/>
    <x v="3"/>
    <x v="1"/>
    <s v="Bagus"/>
    <x v="0"/>
    <s v="rendah"/>
  </r>
  <r>
    <s v="ORD00072"/>
    <x v="1597"/>
    <s v="Iwan Rahmawati"/>
    <x v="4"/>
    <x v="12"/>
    <n v="25000"/>
    <n v="2"/>
    <n v="10"/>
    <n v="50000"/>
    <n v="5000"/>
    <n v="45000"/>
    <n v="0"/>
    <n v="45000"/>
    <x v="0"/>
    <x v="2"/>
    <x v="4"/>
    <x v="3"/>
    <x v="1"/>
    <s v="Bagus"/>
    <x v="1"/>
    <s v="sangat rendah"/>
  </r>
  <r>
    <s v="ORD00627"/>
    <x v="1598"/>
    <s v="Ani Hidayat"/>
    <x v="18"/>
    <x v="26"/>
    <n v="16000"/>
    <n v="5"/>
    <n v="10"/>
    <n v="80000"/>
    <n v="8000"/>
    <n v="72000"/>
    <n v="43000"/>
    <n v="115000"/>
    <x v="2"/>
    <x v="2"/>
    <x v="3"/>
    <x v="1"/>
    <x v="0"/>
    <s v="Rendah"/>
    <x v="0"/>
    <s v="rendah"/>
  </r>
  <r>
    <s v="ORD01119"/>
    <x v="1599"/>
    <s v="Zahra Budiman"/>
    <x v="36"/>
    <x v="14"/>
    <n v="18000"/>
    <n v="5"/>
    <n v="0"/>
    <n v="90000"/>
    <n v="0"/>
    <n v="90000"/>
    <n v="49000"/>
    <n v="139000"/>
    <x v="3"/>
    <x v="2"/>
    <x v="0"/>
    <x v="4"/>
    <x v="0"/>
    <s v="Bagus"/>
    <x v="1"/>
    <s v="sangat rendah"/>
  </r>
  <r>
    <s v="ORD01101"/>
    <x v="1600"/>
    <s v="Wahyu Pradipta"/>
    <x v="30"/>
    <x v="13"/>
    <n v="17000"/>
    <n v="1"/>
    <n v="20"/>
    <n v="17000"/>
    <n v="3400"/>
    <n v="13600"/>
    <n v="97000"/>
    <n v="110600"/>
    <x v="0"/>
    <x v="2"/>
    <x v="0"/>
    <x v="1"/>
    <x v="1"/>
    <s v="Rendah"/>
    <x v="1"/>
    <s v="sangat rendah"/>
  </r>
  <r>
    <s v="ORD00697"/>
    <x v="1601"/>
    <s v="Oka Kusuma"/>
    <x v="15"/>
    <x v="23"/>
    <n v="45000"/>
    <n v="3"/>
    <n v="0"/>
    <n v="135000"/>
    <n v="0"/>
    <n v="135000"/>
    <n v="17000"/>
    <n v="152000"/>
    <x v="3"/>
    <x v="2"/>
    <x v="4"/>
    <x v="1"/>
    <x v="1"/>
    <s v="Rendah"/>
    <x v="1"/>
    <s v="sangat rendah"/>
  </r>
  <r>
    <s v="ORD00674"/>
    <x v="1602"/>
    <s v="Dina Nugroho"/>
    <x v="30"/>
    <x v="5"/>
    <n v="50000"/>
    <n v="5"/>
    <n v="10"/>
    <n v="250000"/>
    <n v="25000"/>
    <n v="225000"/>
    <n v="97000"/>
    <n v="322000"/>
    <x v="3"/>
    <x v="2"/>
    <x v="3"/>
    <x v="0"/>
    <x v="0"/>
    <s v="Standar"/>
    <x v="4"/>
    <s v="tinggi"/>
  </r>
  <r>
    <s v="ORD00058"/>
    <x v="1603"/>
    <s v="Dimas Puspita"/>
    <x v="31"/>
    <x v="3"/>
    <n v="14000"/>
    <n v="1"/>
    <n v="10"/>
    <n v="14000"/>
    <n v="1400"/>
    <n v="12600"/>
    <n v="18000"/>
    <n v="30600"/>
    <x v="0"/>
    <x v="3"/>
    <x v="4"/>
    <x v="4"/>
    <x v="1"/>
    <s v="Bagus"/>
    <x v="1"/>
    <s v="sangat rendah"/>
  </r>
  <r>
    <s v="ORD01003"/>
    <x v="1604"/>
    <s v="Dewi Setiawan"/>
    <x v="30"/>
    <x v="25"/>
    <n v="40000"/>
    <n v="2"/>
    <n v="15"/>
    <n v="80000"/>
    <n v="12000"/>
    <n v="68000"/>
    <n v="97000"/>
    <n v="165000"/>
    <x v="3"/>
    <x v="3"/>
    <x v="2"/>
    <x v="2"/>
    <x v="0"/>
    <s v="Rendah"/>
    <x v="2"/>
    <s v="normal"/>
  </r>
  <r>
    <s v="ORD00967"/>
    <x v="1605"/>
    <s v="Iwan Rahmawati"/>
    <x v="4"/>
    <x v="22"/>
    <n v="18000"/>
    <n v="3"/>
    <n v="10"/>
    <n v="54000"/>
    <n v="5400"/>
    <n v="48600"/>
    <n v="0"/>
    <n v="48600"/>
    <x v="1"/>
    <x v="2"/>
    <x v="1"/>
    <x v="1"/>
    <x v="1"/>
    <s v="Rendah"/>
    <x v="0"/>
    <s v="rendah"/>
  </r>
  <r>
    <s v="ORD01316"/>
    <x v="1606"/>
    <s v="Ani Maulana"/>
    <x v="29"/>
    <x v="13"/>
    <n v="17000"/>
    <n v="4"/>
    <n v="15"/>
    <n v="68000"/>
    <n v="10200"/>
    <n v="57800"/>
    <n v="89000"/>
    <n v="146800"/>
    <x v="3"/>
    <x v="2"/>
    <x v="0"/>
    <x v="1"/>
    <x v="0"/>
    <s v="Rendah"/>
    <x v="2"/>
    <s v="normal"/>
  </r>
  <r>
    <s v="ORD00794"/>
    <x v="1607"/>
    <s v="Dina Ramadhani"/>
    <x v="16"/>
    <x v="17"/>
    <n v="15000"/>
    <n v="4"/>
    <n v="20"/>
    <n v="60000"/>
    <n v="12000"/>
    <n v="48000"/>
    <n v="50000"/>
    <n v="98000"/>
    <x v="0"/>
    <x v="2"/>
    <x v="4"/>
    <x v="3"/>
    <x v="0"/>
    <s v="Bagus"/>
    <x v="2"/>
    <s v="normal"/>
  </r>
  <r>
    <s v="ORD00939"/>
    <x v="1608"/>
    <s v="Zahra Puspita"/>
    <x v="5"/>
    <x v="12"/>
    <n v="25000"/>
    <n v="3"/>
    <n v="20"/>
    <n v="75000"/>
    <n v="15000"/>
    <n v="60000"/>
    <n v="78000"/>
    <n v="138000"/>
    <x v="2"/>
    <x v="2"/>
    <x v="2"/>
    <x v="3"/>
    <x v="0"/>
    <s v="Bagus"/>
    <x v="2"/>
    <s v="normal"/>
  </r>
  <r>
    <s v="ORD01293"/>
    <x v="1609"/>
    <s v="Yoga Utami"/>
    <x v="19"/>
    <x v="26"/>
    <n v="16000"/>
    <n v="5"/>
    <n v="0"/>
    <n v="80000"/>
    <n v="0"/>
    <n v="80000"/>
    <n v="55000"/>
    <n v="135000"/>
    <x v="2"/>
    <x v="2"/>
    <x v="4"/>
    <x v="3"/>
    <x v="1"/>
    <s v="Bagus"/>
    <x v="1"/>
    <s v="sangat rendah"/>
  </r>
  <r>
    <s v="ORD01775"/>
    <x v="1610"/>
    <s v="Aulia Iskandar"/>
    <x v="12"/>
    <x v="8"/>
    <n v="14000"/>
    <n v="2"/>
    <n v="20"/>
    <n v="28000"/>
    <n v="5600"/>
    <n v="22400"/>
    <n v="74000"/>
    <n v="96400"/>
    <x v="1"/>
    <x v="2"/>
    <x v="4"/>
    <x v="3"/>
    <x v="0"/>
    <s v="Bagus"/>
    <x v="0"/>
    <s v="rendah"/>
  </r>
  <r>
    <s v="ORD00795"/>
    <x v="1611"/>
    <s v="Ani Ramadhani"/>
    <x v="16"/>
    <x v="23"/>
    <n v="45000"/>
    <n v="3"/>
    <n v="5"/>
    <n v="135000"/>
    <n v="6750"/>
    <n v="128250"/>
    <n v="50000"/>
    <n v="178250"/>
    <x v="3"/>
    <x v="2"/>
    <x v="2"/>
    <x v="0"/>
    <x v="0"/>
    <s v="Standar"/>
    <x v="0"/>
    <s v="rendah"/>
  </r>
  <r>
    <s v="ORD01554"/>
    <x v="1612"/>
    <s v="Fajar Puspita"/>
    <x v="22"/>
    <x v="21"/>
    <n v="10000"/>
    <n v="4"/>
    <n v="20"/>
    <n v="40000"/>
    <n v="8000"/>
    <n v="32000"/>
    <n v="80000"/>
    <n v="112000"/>
    <x v="0"/>
    <x v="2"/>
    <x v="4"/>
    <x v="0"/>
    <x v="1"/>
    <s v="Standar"/>
    <x v="0"/>
    <s v="rendah"/>
  </r>
  <r>
    <s v="ORD01307"/>
    <x v="1613"/>
    <s v="Putri Puspita"/>
    <x v="1"/>
    <x v="23"/>
    <n v="45000"/>
    <n v="4"/>
    <n v="15"/>
    <n v="180000"/>
    <n v="27000"/>
    <n v="153000"/>
    <n v="59000"/>
    <n v="212000"/>
    <x v="3"/>
    <x v="2"/>
    <x v="0"/>
    <x v="2"/>
    <x v="0"/>
    <s v="Rendah"/>
    <x v="4"/>
    <s v="tinggi"/>
  </r>
  <r>
    <s v="ORD01218"/>
    <x v="1614"/>
    <s v="Qori Ramadhani"/>
    <x v="32"/>
    <x v="7"/>
    <n v="12000"/>
    <n v="3"/>
    <n v="15"/>
    <n v="36000"/>
    <n v="5400"/>
    <n v="30600"/>
    <n v="59000"/>
    <n v="89600"/>
    <x v="2"/>
    <x v="2"/>
    <x v="1"/>
    <x v="0"/>
    <x v="0"/>
    <s v="Standar"/>
    <x v="0"/>
    <s v="rendah"/>
  </r>
  <r>
    <s v="ORD01125"/>
    <x v="1615"/>
    <s v="Putri Puspita"/>
    <x v="1"/>
    <x v="7"/>
    <n v="12000"/>
    <n v="2"/>
    <n v="15"/>
    <n v="24000"/>
    <n v="3600"/>
    <n v="20400"/>
    <n v="59000"/>
    <n v="79400"/>
    <x v="3"/>
    <x v="2"/>
    <x v="1"/>
    <x v="0"/>
    <x v="0"/>
    <s v="Standar"/>
    <x v="1"/>
    <s v="sangat rendah"/>
  </r>
  <r>
    <s v="ORD00391"/>
    <x v="1616"/>
    <s v="Clara Iskandar"/>
    <x v="31"/>
    <x v="6"/>
    <n v="55000"/>
    <n v="3"/>
    <n v="0"/>
    <n v="165000"/>
    <n v="0"/>
    <n v="165000"/>
    <n v="18000"/>
    <n v="183000"/>
    <x v="0"/>
    <x v="2"/>
    <x v="1"/>
    <x v="1"/>
    <x v="0"/>
    <s v="Rendah"/>
    <x v="1"/>
    <s v="sangat rendah"/>
  </r>
  <r>
    <s v="ORD00391"/>
    <x v="1616"/>
    <s v="Clara Iskandar"/>
    <x v="31"/>
    <x v="2"/>
    <n v="5000"/>
    <n v="2"/>
    <n v="5"/>
    <n v="10000"/>
    <n v="500"/>
    <n v="9500"/>
    <n v="0"/>
    <n v="9500"/>
    <x v="0"/>
    <x v="2"/>
    <x v="1"/>
    <x v="1"/>
    <x v="0"/>
    <s v="Rendah"/>
    <x v="1"/>
    <s v="sangat rendah"/>
  </r>
  <r>
    <s v="ORD00753"/>
    <x v="1617"/>
    <s v="Lestari Fauziah"/>
    <x v="19"/>
    <x v="22"/>
    <n v="18000"/>
    <n v="5"/>
    <n v="0"/>
    <n v="90000"/>
    <n v="0"/>
    <n v="90000"/>
    <n v="55000"/>
    <n v="145000"/>
    <x v="2"/>
    <x v="2"/>
    <x v="0"/>
    <x v="1"/>
    <x v="0"/>
    <s v="Rendah"/>
    <x v="1"/>
    <s v="sangat rendah"/>
  </r>
  <r>
    <s v="ORD01124"/>
    <x v="1618"/>
    <s v="Yani Setiawan"/>
    <x v="35"/>
    <x v="0"/>
    <n v="16000"/>
    <n v="1"/>
    <n v="10"/>
    <n v="16000"/>
    <n v="1600"/>
    <n v="14400"/>
    <n v="76000"/>
    <n v="90400"/>
    <x v="1"/>
    <x v="4"/>
    <x v="3"/>
    <x v="2"/>
    <x v="0"/>
    <s v="Rendah"/>
    <x v="1"/>
    <s v="sangat rendah"/>
  </r>
  <r>
    <s v="ORD01835"/>
    <x v="1619"/>
    <s v="Citra Fauziah"/>
    <x v="36"/>
    <x v="20"/>
    <n v="40000"/>
    <n v="4"/>
    <n v="0"/>
    <n v="160000"/>
    <n v="0"/>
    <n v="160000"/>
    <n v="49000"/>
    <n v="209000"/>
    <x v="3"/>
    <x v="2"/>
    <x v="4"/>
    <x v="2"/>
    <x v="0"/>
    <s v="Rendah"/>
    <x v="1"/>
    <s v="sangat rendah"/>
  </r>
  <r>
    <s v="ORD00821"/>
    <x v="1620"/>
    <s v="Fitri Setiawan"/>
    <x v="23"/>
    <x v="13"/>
    <n v="17000"/>
    <n v="1"/>
    <n v="20"/>
    <n v="17000"/>
    <n v="3400"/>
    <n v="13600"/>
    <n v="49000"/>
    <n v="62600"/>
    <x v="3"/>
    <x v="2"/>
    <x v="2"/>
    <x v="0"/>
    <x v="0"/>
    <s v="Standar"/>
    <x v="1"/>
    <s v="sangat rendah"/>
  </r>
  <r>
    <s v="ORD01410"/>
    <x v="1621"/>
    <s v="Zahra Iskandar"/>
    <x v="3"/>
    <x v="23"/>
    <n v="45000"/>
    <n v="4"/>
    <n v="0"/>
    <n v="180000"/>
    <n v="0"/>
    <n v="180000"/>
    <n v="18000"/>
    <n v="198000"/>
    <x v="3"/>
    <x v="2"/>
    <x v="1"/>
    <x v="3"/>
    <x v="0"/>
    <s v="Bagus"/>
    <x v="1"/>
    <s v="sangat rendah"/>
  </r>
  <r>
    <s v="ORD01700"/>
    <x v="1622"/>
    <s v="Budi Hidayat"/>
    <x v="7"/>
    <x v="20"/>
    <n v="40000"/>
    <n v="2"/>
    <n v="15"/>
    <n v="80000"/>
    <n v="12000"/>
    <n v="68000"/>
    <n v="15000"/>
    <n v="83000"/>
    <x v="1"/>
    <x v="3"/>
    <x v="3"/>
    <x v="0"/>
    <x v="1"/>
    <s v="Standar"/>
    <x v="2"/>
    <s v="normal"/>
  </r>
  <r>
    <s v="ORD01732"/>
    <x v="1623"/>
    <s v="Aulia Ananda"/>
    <x v="20"/>
    <x v="17"/>
    <n v="15000"/>
    <n v="1"/>
    <n v="5"/>
    <n v="15000"/>
    <n v="750"/>
    <n v="14250"/>
    <n v="85000"/>
    <n v="99250"/>
    <x v="0"/>
    <x v="2"/>
    <x v="2"/>
    <x v="4"/>
    <x v="0"/>
    <s v="Bagus"/>
    <x v="1"/>
    <s v="sangat rendah"/>
  </r>
  <r>
    <s v="ORD00653"/>
    <x v="1624"/>
    <s v="Qori Fauziah"/>
    <x v="12"/>
    <x v="6"/>
    <n v="55000"/>
    <n v="1"/>
    <n v="10"/>
    <n v="55000"/>
    <n v="5500"/>
    <n v="49500"/>
    <n v="74000"/>
    <n v="123500"/>
    <x v="0"/>
    <x v="4"/>
    <x v="1"/>
    <x v="0"/>
    <x v="0"/>
    <s v="Standar"/>
    <x v="0"/>
    <s v="rendah"/>
  </r>
  <r>
    <s v="ORD01422"/>
    <x v="1625"/>
    <s v="Eka Wijaya"/>
    <x v="2"/>
    <x v="9"/>
    <n v="35000"/>
    <n v="2"/>
    <n v="0"/>
    <n v="70000"/>
    <n v="0"/>
    <n v="70000"/>
    <n v="26000"/>
    <n v="96000"/>
    <x v="1"/>
    <x v="4"/>
    <x v="4"/>
    <x v="1"/>
    <x v="0"/>
    <s v="Rendah"/>
    <x v="1"/>
    <s v="sangat rendah"/>
  </r>
  <r>
    <s v="ORD01050"/>
    <x v="1626"/>
    <s v="Qori Setiawan"/>
    <x v="8"/>
    <x v="15"/>
    <n v="4000"/>
    <n v="2"/>
    <n v="5"/>
    <n v="8000"/>
    <n v="400"/>
    <n v="7600"/>
    <n v="87000"/>
    <n v="94600"/>
    <x v="3"/>
    <x v="2"/>
    <x v="1"/>
    <x v="0"/>
    <x v="0"/>
    <s v="Standar"/>
    <x v="1"/>
    <s v="sangat rendah"/>
  </r>
  <r>
    <s v="ORD01206"/>
    <x v="1627"/>
    <s v="Clara Ramadhani"/>
    <x v="25"/>
    <x v="5"/>
    <n v="50000"/>
    <n v="1"/>
    <n v="5"/>
    <n v="50000"/>
    <n v="2500"/>
    <n v="47500"/>
    <n v="48000"/>
    <n v="95500"/>
    <x v="0"/>
    <x v="2"/>
    <x v="1"/>
    <x v="1"/>
    <x v="0"/>
    <s v="Rendah"/>
    <x v="1"/>
    <s v="sangat rendah"/>
  </r>
  <r>
    <s v="ORD00972"/>
    <x v="1628"/>
    <s v="Ani Kusuma"/>
    <x v="25"/>
    <x v="4"/>
    <n v="6000"/>
    <n v="3"/>
    <n v="20"/>
    <n v="18000"/>
    <n v="3600"/>
    <n v="14400"/>
    <n v="48000"/>
    <n v="62400"/>
    <x v="0"/>
    <x v="2"/>
    <x v="4"/>
    <x v="0"/>
    <x v="0"/>
    <s v="Standar"/>
    <x v="1"/>
    <s v="sangat rendah"/>
  </r>
  <r>
    <s v="ORD00681"/>
    <x v="1629"/>
    <s v="Yani Pradipta"/>
    <x v="15"/>
    <x v="17"/>
    <n v="15000"/>
    <n v="4"/>
    <n v="10"/>
    <n v="60000"/>
    <n v="6000"/>
    <n v="54000"/>
    <n v="17000"/>
    <n v="71000"/>
    <x v="0"/>
    <x v="2"/>
    <x v="3"/>
    <x v="1"/>
    <x v="0"/>
    <s v="Rendah"/>
    <x v="0"/>
    <s v="rendah"/>
  </r>
  <r>
    <s v="ORD01259"/>
    <x v="1630"/>
    <s v="Dina Hidayat"/>
    <x v="23"/>
    <x v="13"/>
    <n v="17000"/>
    <n v="2"/>
    <n v="0"/>
    <n v="34000"/>
    <n v="0"/>
    <n v="34000"/>
    <n v="49000"/>
    <n v="83000"/>
    <x v="0"/>
    <x v="2"/>
    <x v="4"/>
    <x v="3"/>
    <x v="0"/>
    <s v="Bagus"/>
    <x v="1"/>
    <s v="sangat rendah"/>
  </r>
  <r>
    <s v="ORD01328"/>
    <x v="1631"/>
    <s v="Yoga Saputra"/>
    <x v="7"/>
    <x v="21"/>
    <n v="10000"/>
    <n v="4"/>
    <n v="10"/>
    <n v="40000"/>
    <n v="4000"/>
    <n v="36000"/>
    <n v="15000"/>
    <n v="51000"/>
    <x v="2"/>
    <x v="2"/>
    <x v="2"/>
    <x v="4"/>
    <x v="1"/>
    <s v="Bagus"/>
    <x v="1"/>
    <s v="sangat rendah"/>
  </r>
  <r>
    <s v="ORD00909"/>
    <x v="1632"/>
    <s v="Vina Maulana"/>
    <x v="7"/>
    <x v="8"/>
    <n v="14000"/>
    <n v="4"/>
    <n v="10"/>
    <n v="56000"/>
    <n v="5600"/>
    <n v="50400"/>
    <n v="15000"/>
    <n v="65400"/>
    <x v="2"/>
    <x v="3"/>
    <x v="0"/>
    <x v="1"/>
    <x v="0"/>
    <s v="Rendah"/>
    <x v="0"/>
    <s v="rendah"/>
  </r>
  <r>
    <s v="ORD00816"/>
    <x v="1633"/>
    <s v="Zahra Setiawan"/>
    <x v="19"/>
    <x v="14"/>
    <n v="18000"/>
    <n v="3"/>
    <n v="10"/>
    <n v="54000"/>
    <n v="5400"/>
    <n v="48600"/>
    <n v="55000"/>
    <n v="103600"/>
    <x v="1"/>
    <x v="2"/>
    <x v="2"/>
    <x v="0"/>
    <x v="0"/>
    <s v="Standar"/>
    <x v="0"/>
    <s v="rendah"/>
  </r>
  <r>
    <s v="ORD00575"/>
    <x v="1634"/>
    <s v="Erna Maulana"/>
    <x v="13"/>
    <x v="15"/>
    <n v="4000"/>
    <n v="3"/>
    <n v="20"/>
    <n v="12000"/>
    <n v="2400"/>
    <n v="9600"/>
    <n v="87000"/>
    <n v="96600"/>
    <x v="1"/>
    <x v="3"/>
    <x v="4"/>
    <x v="3"/>
    <x v="0"/>
    <s v="Bagus"/>
    <x v="1"/>
    <s v="sangat rendah"/>
  </r>
  <r>
    <s v="ORD00836"/>
    <x v="1635"/>
    <s v="Clara Pradipta"/>
    <x v="30"/>
    <x v="15"/>
    <n v="4000"/>
    <n v="4"/>
    <n v="0"/>
    <n v="16000"/>
    <n v="0"/>
    <n v="16000"/>
    <n v="97000"/>
    <n v="113000"/>
    <x v="2"/>
    <x v="2"/>
    <x v="0"/>
    <x v="1"/>
    <x v="0"/>
    <s v="Rendah"/>
    <x v="1"/>
    <s v="sangat rendah"/>
  </r>
  <r>
    <s v="ORD00012"/>
    <x v="1636"/>
    <s v="Andi Setiawan"/>
    <x v="20"/>
    <x v="22"/>
    <n v="18000"/>
    <n v="2"/>
    <n v="10"/>
    <n v="36000"/>
    <n v="3600"/>
    <n v="32400"/>
    <n v="85000"/>
    <n v="117400"/>
    <x v="3"/>
    <x v="2"/>
    <x v="1"/>
    <x v="2"/>
    <x v="1"/>
    <s v="Rendah"/>
    <x v="1"/>
    <s v="sangat rendah"/>
  </r>
  <r>
    <s v="ORD01853"/>
    <x v="1637"/>
    <s v="Dina Rahmawati"/>
    <x v="32"/>
    <x v="2"/>
    <n v="5000"/>
    <n v="4"/>
    <n v="0"/>
    <n v="20000"/>
    <n v="0"/>
    <n v="20000"/>
    <n v="59000"/>
    <n v="79000"/>
    <x v="3"/>
    <x v="2"/>
    <x v="2"/>
    <x v="4"/>
    <x v="0"/>
    <s v="Bagus"/>
    <x v="1"/>
    <s v="sangat rendah"/>
  </r>
  <r>
    <s v="ORD01105"/>
    <x v="1638"/>
    <s v="Joko Maulana"/>
    <x v="36"/>
    <x v="9"/>
    <n v="35000"/>
    <n v="5"/>
    <n v="10"/>
    <n v="175000"/>
    <n v="17500"/>
    <n v="157500"/>
    <n v="49000"/>
    <n v="206500"/>
    <x v="0"/>
    <x v="4"/>
    <x v="4"/>
    <x v="2"/>
    <x v="1"/>
    <s v="Rendah"/>
    <x v="2"/>
    <s v="normal"/>
  </r>
  <r>
    <s v="ORD00993"/>
    <x v="1639"/>
    <s v="Fajar Kurniawan"/>
    <x v="24"/>
    <x v="25"/>
    <n v="40000"/>
    <n v="5"/>
    <n v="0"/>
    <n v="200000"/>
    <n v="0"/>
    <n v="200000"/>
    <n v="93000"/>
    <n v="293000"/>
    <x v="0"/>
    <x v="2"/>
    <x v="4"/>
    <x v="1"/>
    <x v="1"/>
    <s v="Rendah"/>
    <x v="1"/>
    <s v="sangat rendah"/>
  </r>
  <r>
    <s v="ORD01347"/>
    <x v="1640"/>
    <s v="Qori Budiman"/>
    <x v="25"/>
    <x v="19"/>
    <n v="35000"/>
    <n v="2"/>
    <n v="10"/>
    <n v="70000"/>
    <n v="7000"/>
    <n v="63000"/>
    <n v="48000"/>
    <n v="111000"/>
    <x v="1"/>
    <x v="2"/>
    <x v="0"/>
    <x v="2"/>
    <x v="0"/>
    <s v="Rendah"/>
    <x v="0"/>
    <s v="rendah"/>
  </r>
  <r>
    <s v="ORD00069"/>
    <x v="1641"/>
    <s v="Oka Ramadhani"/>
    <x v="23"/>
    <x v="10"/>
    <n v="45000"/>
    <n v="4"/>
    <n v="0"/>
    <n v="180000"/>
    <n v="0"/>
    <n v="180000"/>
    <n v="49000"/>
    <n v="229000"/>
    <x v="2"/>
    <x v="4"/>
    <x v="0"/>
    <x v="2"/>
    <x v="1"/>
    <s v="Rendah"/>
    <x v="1"/>
    <s v="sangat rendah"/>
  </r>
  <r>
    <s v="ORD01822"/>
    <x v="1642"/>
    <s v="Ani Wijaya"/>
    <x v="25"/>
    <x v="6"/>
    <n v="55000"/>
    <n v="3"/>
    <n v="0"/>
    <n v="165000"/>
    <n v="0"/>
    <n v="165000"/>
    <n v="48000"/>
    <n v="213000"/>
    <x v="2"/>
    <x v="2"/>
    <x v="1"/>
    <x v="1"/>
    <x v="0"/>
    <s v="Rendah"/>
    <x v="1"/>
    <s v="sangat rendah"/>
  </r>
  <r>
    <s v="ORD01585"/>
    <x v="1643"/>
    <s v="Vina Maulana"/>
    <x v="7"/>
    <x v="7"/>
    <n v="12000"/>
    <n v="1"/>
    <n v="0"/>
    <n v="12000"/>
    <n v="0"/>
    <n v="12000"/>
    <n v="15000"/>
    <n v="27000"/>
    <x v="0"/>
    <x v="2"/>
    <x v="1"/>
    <x v="4"/>
    <x v="0"/>
    <s v="Bagus"/>
    <x v="1"/>
    <s v="sangat rendah"/>
  </r>
  <r>
    <s v="ORD00952"/>
    <x v="1644"/>
    <s v="Ani Hidayat"/>
    <x v="18"/>
    <x v="5"/>
    <n v="50000"/>
    <n v="5"/>
    <n v="15"/>
    <n v="250000"/>
    <n v="37500"/>
    <n v="212500"/>
    <n v="43000"/>
    <n v="255500"/>
    <x v="1"/>
    <x v="2"/>
    <x v="2"/>
    <x v="4"/>
    <x v="0"/>
    <s v="Bagus"/>
    <x v="3"/>
    <s v="sangat tinggi"/>
  </r>
  <r>
    <s v="ORD01323"/>
    <x v="1645"/>
    <s v="Dina Pradipta"/>
    <x v="25"/>
    <x v="24"/>
    <n v="22000"/>
    <n v="3"/>
    <n v="0"/>
    <n v="66000"/>
    <n v="0"/>
    <n v="66000"/>
    <n v="48000"/>
    <n v="114000"/>
    <x v="2"/>
    <x v="2"/>
    <x v="2"/>
    <x v="1"/>
    <x v="0"/>
    <s v="Rendah"/>
    <x v="1"/>
    <s v="sangat rendah"/>
  </r>
  <r>
    <s v="ORD00696"/>
    <x v="1646"/>
    <s v="Ani Fauziah"/>
    <x v="30"/>
    <x v="19"/>
    <n v="35000"/>
    <n v="1"/>
    <n v="15"/>
    <n v="35000"/>
    <n v="5250"/>
    <n v="29750"/>
    <n v="97000"/>
    <n v="126750"/>
    <x v="2"/>
    <x v="2"/>
    <x v="3"/>
    <x v="4"/>
    <x v="0"/>
    <s v="Bagus"/>
    <x v="0"/>
    <s v="rendah"/>
  </r>
  <r>
    <s v="ORD01712"/>
    <x v="1647"/>
    <s v="Citra Syahputra"/>
    <x v="14"/>
    <x v="18"/>
    <n v="16000"/>
    <n v="5"/>
    <n v="10"/>
    <n v="80000"/>
    <n v="8000"/>
    <n v="72000"/>
    <n v="46000"/>
    <n v="118000"/>
    <x v="3"/>
    <x v="2"/>
    <x v="1"/>
    <x v="3"/>
    <x v="0"/>
    <s v="Bagus"/>
    <x v="0"/>
    <s v="rendah"/>
  </r>
  <r>
    <s v="ORD00735"/>
    <x v="1648"/>
    <s v="Lestari Budiman"/>
    <x v="20"/>
    <x v="24"/>
    <n v="22000"/>
    <n v="3"/>
    <n v="0"/>
    <n v="66000"/>
    <n v="0"/>
    <n v="66000"/>
    <n v="85000"/>
    <n v="151000"/>
    <x v="1"/>
    <x v="2"/>
    <x v="4"/>
    <x v="2"/>
    <x v="0"/>
    <s v="Rendah"/>
    <x v="1"/>
    <s v="sangat rendah"/>
  </r>
  <r>
    <s v="ORD00238"/>
    <x v="1649"/>
    <s v="Dewi Halim"/>
    <x v="25"/>
    <x v="24"/>
    <n v="22000"/>
    <n v="5"/>
    <n v="10"/>
    <n v="110000"/>
    <n v="11000"/>
    <n v="99000"/>
    <n v="48000"/>
    <n v="147000"/>
    <x v="0"/>
    <x v="2"/>
    <x v="0"/>
    <x v="0"/>
    <x v="0"/>
    <s v="Standar"/>
    <x v="2"/>
    <s v="normal"/>
  </r>
  <r>
    <s v="ORD00859"/>
    <x v="1650"/>
    <s v="Bayu Syahputra"/>
    <x v="30"/>
    <x v="13"/>
    <n v="17000"/>
    <n v="3"/>
    <n v="15"/>
    <n v="51000"/>
    <n v="7650"/>
    <n v="43350"/>
    <n v="97000"/>
    <n v="140350"/>
    <x v="2"/>
    <x v="2"/>
    <x v="2"/>
    <x v="4"/>
    <x v="1"/>
    <s v="Bagus"/>
    <x v="0"/>
    <s v="rendah"/>
  </r>
  <r>
    <s v="ORD00835"/>
    <x v="1651"/>
    <s v="Qori Budiman"/>
    <x v="25"/>
    <x v="6"/>
    <n v="55000"/>
    <n v="5"/>
    <n v="5"/>
    <n v="275000"/>
    <n v="13750"/>
    <n v="261250"/>
    <n v="48000"/>
    <n v="309250"/>
    <x v="1"/>
    <x v="4"/>
    <x v="0"/>
    <x v="2"/>
    <x v="0"/>
    <s v="Rendah"/>
    <x v="2"/>
    <s v="normal"/>
  </r>
  <r>
    <s v="ORD00096"/>
    <x v="1652"/>
    <s v="Wahyu Fauziah"/>
    <x v="28"/>
    <x v="10"/>
    <n v="45000"/>
    <n v="2"/>
    <n v="0"/>
    <n v="90000"/>
    <n v="0"/>
    <n v="90000"/>
    <n v="79000"/>
    <n v="169000"/>
    <x v="3"/>
    <x v="2"/>
    <x v="0"/>
    <x v="4"/>
    <x v="1"/>
    <s v="Bagus"/>
    <x v="1"/>
    <s v="sangat rendah"/>
  </r>
  <r>
    <s v="ORD01325"/>
    <x v="1653"/>
    <s v="Erna Rahmawati"/>
    <x v="27"/>
    <x v="26"/>
    <n v="16000"/>
    <n v="4"/>
    <n v="0"/>
    <n v="64000"/>
    <n v="0"/>
    <n v="64000"/>
    <n v="18000"/>
    <n v="82000"/>
    <x v="0"/>
    <x v="2"/>
    <x v="0"/>
    <x v="4"/>
    <x v="0"/>
    <s v="Bagus"/>
    <x v="1"/>
    <s v="sangat rendah"/>
  </r>
  <r>
    <s v="ORD00510"/>
    <x v="1654"/>
    <s v="Zahra Nugroho"/>
    <x v="5"/>
    <x v="3"/>
    <n v="14000"/>
    <n v="4"/>
    <n v="5"/>
    <n v="56000"/>
    <n v="2800"/>
    <n v="53200"/>
    <n v="78000"/>
    <n v="131200"/>
    <x v="3"/>
    <x v="4"/>
    <x v="4"/>
    <x v="2"/>
    <x v="0"/>
    <s v="Rendah"/>
    <x v="1"/>
    <s v="sangat rendah"/>
  </r>
  <r>
    <s v="ORD00328"/>
    <x v="1655"/>
    <s v="Qori Saputra"/>
    <x v="15"/>
    <x v="7"/>
    <n v="12000"/>
    <n v="1"/>
    <n v="0"/>
    <n v="12000"/>
    <n v="0"/>
    <n v="12000"/>
    <n v="17000"/>
    <n v="29000"/>
    <x v="1"/>
    <x v="2"/>
    <x v="4"/>
    <x v="3"/>
    <x v="0"/>
    <s v="Bagus"/>
    <x v="1"/>
    <s v="sangat rendah"/>
  </r>
  <r>
    <s v="ORD00589"/>
    <x v="1656"/>
    <s v="Sari Iskandar"/>
    <x v="21"/>
    <x v="4"/>
    <n v="6000"/>
    <n v="4"/>
    <n v="5"/>
    <n v="24000"/>
    <n v="1200"/>
    <n v="22800"/>
    <n v="72000"/>
    <n v="94800"/>
    <x v="2"/>
    <x v="2"/>
    <x v="3"/>
    <x v="1"/>
    <x v="0"/>
    <s v="Rendah"/>
    <x v="1"/>
    <s v="sangat rendah"/>
  </r>
  <r>
    <s v="ORD00905"/>
    <x v="1657"/>
    <s v="Zahra Utami"/>
    <x v="16"/>
    <x v="14"/>
    <n v="18000"/>
    <n v="1"/>
    <n v="10"/>
    <n v="18000"/>
    <n v="1800"/>
    <n v="16200"/>
    <n v="50000"/>
    <n v="66200"/>
    <x v="1"/>
    <x v="2"/>
    <x v="2"/>
    <x v="3"/>
    <x v="0"/>
    <s v="Bagus"/>
    <x v="1"/>
    <s v="sangat rendah"/>
  </r>
  <r>
    <s v="ORD01088"/>
    <x v="1658"/>
    <s v="Qori Ramadhani"/>
    <x v="32"/>
    <x v="20"/>
    <n v="40000"/>
    <n v="1"/>
    <n v="5"/>
    <n v="40000"/>
    <n v="2000"/>
    <n v="38000"/>
    <n v="59000"/>
    <n v="97000"/>
    <x v="0"/>
    <x v="2"/>
    <x v="0"/>
    <x v="4"/>
    <x v="0"/>
    <s v="Bagus"/>
    <x v="1"/>
    <s v="sangat rendah"/>
  </r>
  <r>
    <s v="ORD00519"/>
    <x v="1659"/>
    <s v="Made Santoso"/>
    <x v="28"/>
    <x v="19"/>
    <n v="35000"/>
    <n v="4"/>
    <n v="20"/>
    <n v="140000"/>
    <n v="28000"/>
    <n v="112000"/>
    <n v="79000"/>
    <n v="191000"/>
    <x v="3"/>
    <x v="2"/>
    <x v="3"/>
    <x v="3"/>
    <x v="1"/>
    <s v="Bagus"/>
    <x v="4"/>
    <s v="tinggi"/>
  </r>
  <r>
    <s v="ORD01547"/>
    <x v="1660"/>
    <s v="Lestari Wijaya"/>
    <x v="4"/>
    <x v="4"/>
    <n v="6000"/>
    <n v="5"/>
    <n v="15"/>
    <n v="30000"/>
    <n v="4500"/>
    <n v="25500"/>
    <n v="0"/>
    <n v="25500"/>
    <x v="1"/>
    <x v="2"/>
    <x v="2"/>
    <x v="0"/>
    <x v="0"/>
    <s v="Standar"/>
    <x v="1"/>
    <s v="sangat rendah"/>
  </r>
  <r>
    <s v="ORD00034"/>
    <x v="1661"/>
    <s v="Bayu Nugroho"/>
    <x v="6"/>
    <x v="9"/>
    <n v="35000"/>
    <n v="3"/>
    <n v="0"/>
    <n v="105000"/>
    <n v="0"/>
    <n v="105000"/>
    <n v="30000"/>
    <n v="135000"/>
    <x v="1"/>
    <x v="2"/>
    <x v="2"/>
    <x v="2"/>
    <x v="1"/>
    <s v="Rendah"/>
    <x v="1"/>
    <s v="sangat rendah"/>
  </r>
  <r>
    <s v="ORD01720"/>
    <x v="1662"/>
    <s v="Dewi Rahmawati"/>
    <x v="2"/>
    <x v="12"/>
    <n v="25000"/>
    <n v="3"/>
    <n v="10"/>
    <n v="75000"/>
    <n v="7500"/>
    <n v="67500"/>
    <n v="26000"/>
    <n v="93500"/>
    <x v="3"/>
    <x v="2"/>
    <x v="3"/>
    <x v="4"/>
    <x v="0"/>
    <s v="Bagus"/>
    <x v="0"/>
    <s v="rendah"/>
  </r>
  <r>
    <s v="ORD00796"/>
    <x v="1663"/>
    <s v="Yani Wijaya"/>
    <x v="12"/>
    <x v="24"/>
    <n v="22000"/>
    <n v="3"/>
    <n v="10"/>
    <n v="66000"/>
    <n v="6600"/>
    <n v="59400"/>
    <n v="74000"/>
    <n v="133400"/>
    <x v="0"/>
    <x v="2"/>
    <x v="4"/>
    <x v="0"/>
    <x v="0"/>
    <s v="Standar"/>
    <x v="0"/>
    <s v="rendah"/>
  </r>
  <r>
    <s v="ORD00225"/>
    <x v="1664"/>
    <s v="Yani Setiawan"/>
    <x v="35"/>
    <x v="23"/>
    <n v="45000"/>
    <n v="3"/>
    <n v="15"/>
    <n v="135000"/>
    <n v="20250"/>
    <n v="114750"/>
    <n v="76000"/>
    <n v="190750"/>
    <x v="3"/>
    <x v="2"/>
    <x v="2"/>
    <x v="2"/>
    <x v="0"/>
    <s v="Rendah"/>
    <x v="4"/>
    <s v="tinggi"/>
  </r>
  <r>
    <s v="ORD00225"/>
    <x v="1664"/>
    <s v="Yani Setiawan"/>
    <x v="35"/>
    <x v="13"/>
    <n v="17000"/>
    <n v="4"/>
    <n v="20"/>
    <n v="68000"/>
    <n v="13600"/>
    <n v="54400"/>
    <n v="0"/>
    <n v="54400"/>
    <x v="3"/>
    <x v="2"/>
    <x v="2"/>
    <x v="2"/>
    <x v="0"/>
    <s v="Rendah"/>
    <x v="2"/>
    <s v="normal"/>
  </r>
  <r>
    <s v="ORD01708"/>
    <x v="1665"/>
    <s v="Oka Kusuma"/>
    <x v="15"/>
    <x v="4"/>
    <n v="6000"/>
    <n v="4"/>
    <n v="10"/>
    <n v="24000"/>
    <n v="2400"/>
    <n v="21600"/>
    <n v="17000"/>
    <n v="38600"/>
    <x v="3"/>
    <x v="2"/>
    <x v="4"/>
    <x v="3"/>
    <x v="1"/>
    <s v="Bagus"/>
    <x v="1"/>
    <s v="sangat rendah"/>
  </r>
  <r>
    <s v="ORD01046"/>
    <x v="1666"/>
    <s v="Ani Budiman"/>
    <x v="21"/>
    <x v="7"/>
    <n v="12000"/>
    <n v="4"/>
    <n v="5"/>
    <n v="48000"/>
    <n v="2400"/>
    <n v="45600"/>
    <n v="72000"/>
    <n v="117600"/>
    <x v="3"/>
    <x v="2"/>
    <x v="2"/>
    <x v="3"/>
    <x v="0"/>
    <s v="Bagus"/>
    <x v="1"/>
    <s v="sangat rendah"/>
  </r>
  <r>
    <s v="ORD01543"/>
    <x v="1667"/>
    <s v="Bella Pradipta"/>
    <x v="19"/>
    <x v="26"/>
    <n v="16000"/>
    <n v="4"/>
    <n v="15"/>
    <n v="64000"/>
    <n v="9600"/>
    <n v="54400"/>
    <n v="55000"/>
    <n v="109400"/>
    <x v="1"/>
    <x v="2"/>
    <x v="2"/>
    <x v="2"/>
    <x v="0"/>
    <s v="Rendah"/>
    <x v="0"/>
    <s v="rendah"/>
  </r>
  <r>
    <s v="ORD00277"/>
    <x v="1668"/>
    <s v="Dewi Fauziah"/>
    <x v="18"/>
    <x v="22"/>
    <n v="18000"/>
    <n v="5"/>
    <n v="5"/>
    <n v="90000"/>
    <n v="4500"/>
    <n v="85500"/>
    <n v="43000"/>
    <n v="128500"/>
    <x v="3"/>
    <x v="2"/>
    <x v="0"/>
    <x v="1"/>
    <x v="0"/>
    <s v="Rendah"/>
    <x v="1"/>
    <s v="sangat rendah"/>
  </r>
  <r>
    <s v="ORD00277"/>
    <x v="1668"/>
    <s v="Dewi Fauziah"/>
    <x v="18"/>
    <x v="23"/>
    <n v="45000"/>
    <n v="5"/>
    <n v="20"/>
    <n v="225000"/>
    <n v="45000"/>
    <n v="180000"/>
    <n v="0"/>
    <n v="180000"/>
    <x v="3"/>
    <x v="2"/>
    <x v="0"/>
    <x v="1"/>
    <x v="0"/>
    <s v="Rendah"/>
    <x v="3"/>
    <s v="sangat tinggi"/>
  </r>
  <r>
    <s v="ORD01280"/>
    <x v="1669"/>
    <s v="Wahyu Fauziah"/>
    <x v="28"/>
    <x v="13"/>
    <n v="17000"/>
    <n v="2"/>
    <n v="15"/>
    <n v="34000"/>
    <n v="5100"/>
    <n v="28900"/>
    <n v="79000"/>
    <n v="107900"/>
    <x v="1"/>
    <x v="4"/>
    <x v="1"/>
    <x v="4"/>
    <x v="1"/>
    <s v="Bagus"/>
    <x v="0"/>
    <s v="rendah"/>
  </r>
  <r>
    <s v="ORD01565"/>
    <x v="1670"/>
    <s v="Made Setiawan"/>
    <x v="22"/>
    <x v="11"/>
    <n v="30000"/>
    <n v="1"/>
    <n v="20"/>
    <n v="30000"/>
    <n v="6000"/>
    <n v="24000"/>
    <n v="80000"/>
    <n v="104000"/>
    <x v="2"/>
    <x v="2"/>
    <x v="4"/>
    <x v="0"/>
    <x v="1"/>
    <s v="Standar"/>
    <x v="0"/>
    <s v="rendah"/>
  </r>
  <r>
    <s v="ORD00782"/>
    <x v="1671"/>
    <s v="Sari Pradipta"/>
    <x v="27"/>
    <x v="23"/>
    <n v="45000"/>
    <n v="4"/>
    <n v="15"/>
    <n v="180000"/>
    <n v="27000"/>
    <n v="153000"/>
    <n v="18000"/>
    <n v="171000"/>
    <x v="3"/>
    <x v="2"/>
    <x v="2"/>
    <x v="2"/>
    <x v="0"/>
    <s v="Rendah"/>
    <x v="4"/>
    <s v="tinggi"/>
  </r>
  <r>
    <s v="ORD01263"/>
    <x v="1672"/>
    <s v="Umar Setiawan"/>
    <x v="21"/>
    <x v="0"/>
    <n v="16000"/>
    <n v="2"/>
    <n v="0"/>
    <n v="32000"/>
    <n v="0"/>
    <n v="32000"/>
    <n v="72000"/>
    <n v="104000"/>
    <x v="2"/>
    <x v="2"/>
    <x v="3"/>
    <x v="2"/>
    <x v="1"/>
    <s v="Rendah"/>
    <x v="1"/>
    <s v="sangat rendah"/>
  </r>
  <r>
    <s v="ORD00037"/>
    <x v="1673"/>
    <s v="Galih Kusuma"/>
    <x v="4"/>
    <x v="12"/>
    <n v="25000"/>
    <n v="1"/>
    <n v="0"/>
    <n v="25000"/>
    <n v="0"/>
    <n v="25000"/>
    <n v="0"/>
    <n v="25000"/>
    <x v="1"/>
    <x v="2"/>
    <x v="4"/>
    <x v="2"/>
    <x v="1"/>
    <s v="Rendah"/>
    <x v="1"/>
    <s v="sangat rendah"/>
  </r>
  <r>
    <s v="ORD01030"/>
    <x v="1674"/>
    <s v="Bella Setiawan"/>
    <x v="9"/>
    <x v="25"/>
    <n v="40000"/>
    <n v="3"/>
    <n v="5"/>
    <n v="120000"/>
    <n v="6000"/>
    <n v="114000"/>
    <n v="21000"/>
    <n v="135000"/>
    <x v="2"/>
    <x v="2"/>
    <x v="4"/>
    <x v="0"/>
    <x v="0"/>
    <s v="Standar"/>
    <x v="0"/>
    <s v="rendah"/>
  </r>
  <r>
    <s v="ORD00228"/>
    <x v="1675"/>
    <s v="Dina Wijaya"/>
    <x v="0"/>
    <x v="1"/>
    <n v="17000"/>
    <n v="2"/>
    <n v="20"/>
    <n v="34000"/>
    <n v="6800"/>
    <n v="27200"/>
    <n v="67000"/>
    <n v="94200"/>
    <x v="3"/>
    <x v="4"/>
    <x v="3"/>
    <x v="3"/>
    <x v="0"/>
    <s v="Bagus"/>
    <x v="0"/>
    <s v="rendah"/>
  </r>
  <r>
    <s v="ORD00219"/>
    <x v="1676"/>
    <s v="Citra Budiman"/>
    <x v="4"/>
    <x v="25"/>
    <n v="40000"/>
    <n v="5"/>
    <n v="15"/>
    <n v="200000"/>
    <n v="30000"/>
    <n v="170000"/>
    <n v="0"/>
    <n v="170000"/>
    <x v="3"/>
    <x v="4"/>
    <x v="3"/>
    <x v="1"/>
    <x v="0"/>
    <s v="Rendah"/>
    <x v="4"/>
    <s v="tinggi"/>
  </r>
  <r>
    <s v="ORD00143"/>
    <x v="1677"/>
    <s v="Bella Halim"/>
    <x v="35"/>
    <x v="11"/>
    <n v="30000"/>
    <n v="3"/>
    <n v="5"/>
    <n v="90000"/>
    <n v="4500"/>
    <n v="85500"/>
    <n v="76000"/>
    <n v="161500"/>
    <x v="3"/>
    <x v="4"/>
    <x v="0"/>
    <x v="2"/>
    <x v="0"/>
    <s v="Rendah"/>
    <x v="1"/>
    <s v="sangat rendah"/>
  </r>
  <r>
    <s v="ORD00143"/>
    <x v="1677"/>
    <s v="Bella Halim"/>
    <x v="35"/>
    <x v="14"/>
    <n v="18000"/>
    <n v="2"/>
    <n v="10"/>
    <n v="36000"/>
    <n v="3600"/>
    <n v="32400"/>
    <n v="0"/>
    <n v="32400"/>
    <x v="3"/>
    <x v="4"/>
    <x v="0"/>
    <x v="2"/>
    <x v="0"/>
    <s v="Rendah"/>
    <x v="1"/>
    <s v="sangat rendah"/>
  </r>
  <r>
    <s v="ORD00801"/>
    <x v="1678"/>
    <s v="Budi Saputra"/>
    <x v="11"/>
    <x v="19"/>
    <n v="35000"/>
    <n v="2"/>
    <n v="10"/>
    <n v="70000"/>
    <n v="7000"/>
    <n v="63000"/>
    <n v="56000"/>
    <n v="119000"/>
    <x v="1"/>
    <x v="4"/>
    <x v="3"/>
    <x v="3"/>
    <x v="1"/>
    <s v="Bagus"/>
    <x v="0"/>
    <s v="rendah"/>
  </r>
  <r>
    <s v="ORD00959"/>
    <x v="1679"/>
    <s v="Clara Maulana"/>
    <x v="20"/>
    <x v="1"/>
    <n v="17000"/>
    <n v="1"/>
    <n v="0"/>
    <n v="17000"/>
    <n v="0"/>
    <n v="17000"/>
    <n v="85000"/>
    <n v="102000"/>
    <x v="0"/>
    <x v="2"/>
    <x v="2"/>
    <x v="2"/>
    <x v="0"/>
    <s v="Rendah"/>
    <x v="1"/>
    <s v="sangat rendah"/>
  </r>
  <r>
    <s v="ORD00660"/>
    <x v="1680"/>
    <s v="Nanda Utami"/>
    <x v="24"/>
    <x v="17"/>
    <n v="15000"/>
    <n v="3"/>
    <n v="0"/>
    <n v="45000"/>
    <n v="0"/>
    <n v="45000"/>
    <n v="93000"/>
    <n v="138000"/>
    <x v="2"/>
    <x v="3"/>
    <x v="4"/>
    <x v="1"/>
    <x v="1"/>
    <s v="Rendah"/>
    <x v="1"/>
    <s v="sangat rendah"/>
  </r>
  <r>
    <s v="ORD01739"/>
    <x v="1681"/>
    <s v="Qori Syahputra"/>
    <x v="6"/>
    <x v="19"/>
    <n v="35000"/>
    <n v="2"/>
    <n v="10"/>
    <n v="70000"/>
    <n v="7000"/>
    <n v="63000"/>
    <n v="30000"/>
    <n v="93000"/>
    <x v="1"/>
    <x v="2"/>
    <x v="0"/>
    <x v="4"/>
    <x v="0"/>
    <s v="Bagus"/>
    <x v="0"/>
    <s v="rendah"/>
  </r>
  <r>
    <s v="ORD00024"/>
    <x v="1682"/>
    <s v="Dimas Budiman"/>
    <x v="30"/>
    <x v="18"/>
    <n v="16000"/>
    <n v="2"/>
    <n v="10"/>
    <n v="32000"/>
    <n v="3200"/>
    <n v="28800"/>
    <n v="97000"/>
    <n v="125800"/>
    <x v="2"/>
    <x v="4"/>
    <x v="3"/>
    <x v="3"/>
    <x v="1"/>
    <s v="Bagus"/>
    <x v="1"/>
    <s v="sangat rendah"/>
  </r>
  <r>
    <s v="ORD00649"/>
    <x v="1683"/>
    <s v="Citra Santoso"/>
    <x v="20"/>
    <x v="26"/>
    <n v="16000"/>
    <n v="4"/>
    <n v="0"/>
    <n v="64000"/>
    <n v="0"/>
    <n v="64000"/>
    <n v="85000"/>
    <n v="149000"/>
    <x v="0"/>
    <x v="2"/>
    <x v="3"/>
    <x v="0"/>
    <x v="0"/>
    <s v="Standar"/>
    <x v="1"/>
    <s v="sangat rendah"/>
  </r>
  <r>
    <s v="ORD01202"/>
    <x v="1684"/>
    <s v="Iwan Maulana"/>
    <x v="20"/>
    <x v="2"/>
    <n v="5000"/>
    <n v="3"/>
    <n v="10"/>
    <n v="15000"/>
    <n v="1500"/>
    <n v="13500"/>
    <n v="85000"/>
    <n v="98500"/>
    <x v="2"/>
    <x v="4"/>
    <x v="4"/>
    <x v="4"/>
    <x v="1"/>
    <s v="Bagus"/>
    <x v="1"/>
    <s v="sangat rendah"/>
  </r>
  <r>
    <s v="ORD00307"/>
    <x v="1685"/>
    <s v="Hana Wijaya"/>
    <x v="13"/>
    <x v="11"/>
    <n v="30000"/>
    <n v="1"/>
    <n v="20"/>
    <n v="30000"/>
    <n v="6000"/>
    <n v="24000"/>
    <n v="87000"/>
    <n v="111000"/>
    <x v="3"/>
    <x v="2"/>
    <x v="1"/>
    <x v="1"/>
    <x v="0"/>
    <s v="Rendah"/>
    <x v="0"/>
    <s v="rendah"/>
  </r>
  <r>
    <s v="ORD00230"/>
    <x v="1686"/>
    <s v="Citra Halim"/>
    <x v="32"/>
    <x v="25"/>
    <n v="40000"/>
    <n v="1"/>
    <n v="20"/>
    <n v="40000"/>
    <n v="8000"/>
    <n v="32000"/>
    <n v="59000"/>
    <n v="91000"/>
    <x v="1"/>
    <x v="2"/>
    <x v="0"/>
    <x v="1"/>
    <x v="0"/>
    <s v="Rendah"/>
    <x v="0"/>
    <s v="rendah"/>
  </r>
  <r>
    <s v="ORD00995"/>
    <x v="1687"/>
    <s v="Vina Budiman"/>
    <x v="18"/>
    <x v="0"/>
    <n v="16000"/>
    <n v="4"/>
    <n v="10"/>
    <n v="64000"/>
    <n v="6400"/>
    <n v="57600"/>
    <n v="43000"/>
    <n v="100600"/>
    <x v="3"/>
    <x v="4"/>
    <x v="0"/>
    <x v="3"/>
    <x v="0"/>
    <s v="Bagus"/>
    <x v="0"/>
    <s v="rendah"/>
  </r>
  <r>
    <s v="ORD00131"/>
    <x v="1688"/>
    <s v="Putri Puspita"/>
    <x v="1"/>
    <x v="19"/>
    <n v="35000"/>
    <n v="1"/>
    <n v="0"/>
    <n v="35000"/>
    <n v="0"/>
    <n v="35000"/>
    <n v="59000"/>
    <n v="94000"/>
    <x v="3"/>
    <x v="2"/>
    <x v="2"/>
    <x v="2"/>
    <x v="0"/>
    <s v="Rendah"/>
    <x v="1"/>
    <s v="sangat rendah"/>
  </r>
  <r>
    <s v="ORD00131"/>
    <x v="1688"/>
    <s v="Putri Puspita"/>
    <x v="1"/>
    <x v="8"/>
    <n v="14000"/>
    <n v="3"/>
    <n v="20"/>
    <n v="42000"/>
    <n v="8400"/>
    <n v="33600"/>
    <n v="0"/>
    <n v="33600"/>
    <x v="3"/>
    <x v="2"/>
    <x v="2"/>
    <x v="2"/>
    <x v="0"/>
    <s v="Rendah"/>
    <x v="0"/>
    <s v="rendah"/>
  </r>
  <r>
    <s v="ORD00987"/>
    <x v="1689"/>
    <s v="Zahra Santoso"/>
    <x v="29"/>
    <x v="10"/>
    <n v="45000"/>
    <n v="5"/>
    <n v="10"/>
    <n v="225000"/>
    <n v="22500"/>
    <n v="202500"/>
    <n v="89000"/>
    <n v="291500"/>
    <x v="3"/>
    <x v="2"/>
    <x v="1"/>
    <x v="0"/>
    <x v="0"/>
    <s v="Standar"/>
    <x v="4"/>
    <s v="tinggi"/>
  </r>
  <r>
    <s v="ORD00111"/>
    <x v="1690"/>
    <s v="Sari Halim"/>
    <x v="19"/>
    <x v="19"/>
    <n v="35000"/>
    <n v="4"/>
    <n v="15"/>
    <n v="140000"/>
    <n v="21000"/>
    <n v="119000"/>
    <n v="55000"/>
    <n v="174000"/>
    <x v="0"/>
    <x v="2"/>
    <x v="0"/>
    <x v="1"/>
    <x v="0"/>
    <s v="Rendah"/>
    <x v="4"/>
    <s v="tinggi"/>
  </r>
  <r>
    <s v="ORD00278"/>
    <x v="1691"/>
    <s v="Qori Setiawan"/>
    <x v="8"/>
    <x v="11"/>
    <n v="30000"/>
    <n v="1"/>
    <n v="10"/>
    <n v="30000"/>
    <n v="3000"/>
    <n v="27000"/>
    <n v="87000"/>
    <n v="114000"/>
    <x v="0"/>
    <x v="2"/>
    <x v="2"/>
    <x v="0"/>
    <x v="0"/>
    <s v="Standar"/>
    <x v="1"/>
    <s v="sangat rendah"/>
  </r>
  <r>
    <s v="ORD00747"/>
    <x v="1692"/>
    <s v="Qori Syahputra"/>
    <x v="6"/>
    <x v="24"/>
    <n v="22000"/>
    <n v="2"/>
    <n v="10"/>
    <n v="44000"/>
    <n v="4400"/>
    <n v="39600"/>
    <n v="30000"/>
    <n v="69600"/>
    <x v="2"/>
    <x v="2"/>
    <x v="1"/>
    <x v="2"/>
    <x v="0"/>
    <s v="Rendah"/>
    <x v="1"/>
    <s v="sangat rendah"/>
  </r>
  <r>
    <s v="ORD01156"/>
    <x v="1693"/>
    <s v="Clara Kusuma"/>
    <x v="30"/>
    <x v="14"/>
    <n v="18000"/>
    <n v="2"/>
    <n v="15"/>
    <n v="36000"/>
    <n v="5400"/>
    <n v="30600"/>
    <n v="97000"/>
    <n v="127600"/>
    <x v="1"/>
    <x v="2"/>
    <x v="0"/>
    <x v="4"/>
    <x v="0"/>
    <s v="Bagus"/>
    <x v="0"/>
    <s v="rendah"/>
  </r>
  <r>
    <s v="ORD01804"/>
    <x v="1694"/>
    <s v="Dimas Maulana"/>
    <x v="11"/>
    <x v="10"/>
    <n v="45000"/>
    <n v="1"/>
    <n v="20"/>
    <n v="45000"/>
    <n v="9000"/>
    <n v="36000"/>
    <n v="56000"/>
    <n v="92000"/>
    <x v="0"/>
    <x v="3"/>
    <x v="0"/>
    <x v="4"/>
    <x v="1"/>
    <s v="Bagus"/>
    <x v="0"/>
    <s v="rendah"/>
  </r>
  <r>
    <s v="ORD01435"/>
    <x v="1695"/>
    <s v="Ani Halim"/>
    <x v="16"/>
    <x v="24"/>
    <n v="22000"/>
    <n v="3"/>
    <n v="5"/>
    <n v="66000"/>
    <n v="3300"/>
    <n v="62700"/>
    <n v="50000"/>
    <n v="112700"/>
    <x v="3"/>
    <x v="2"/>
    <x v="1"/>
    <x v="1"/>
    <x v="0"/>
    <s v="Rendah"/>
    <x v="1"/>
    <s v="sangat rendah"/>
  </r>
  <r>
    <s v="ORD01409"/>
    <x v="1696"/>
    <s v="Yani Puspita"/>
    <x v="15"/>
    <x v="22"/>
    <n v="18000"/>
    <n v="1"/>
    <n v="5"/>
    <n v="18000"/>
    <n v="900"/>
    <n v="17100"/>
    <n v="17000"/>
    <n v="34100"/>
    <x v="2"/>
    <x v="4"/>
    <x v="1"/>
    <x v="1"/>
    <x v="0"/>
    <s v="Rendah"/>
    <x v="1"/>
    <s v="sangat rendah"/>
  </r>
  <r>
    <s v="ORD01232"/>
    <x v="1697"/>
    <s v="Eka Saputra"/>
    <x v="25"/>
    <x v="12"/>
    <n v="25000"/>
    <n v="3"/>
    <n v="20"/>
    <n v="75000"/>
    <n v="15000"/>
    <n v="60000"/>
    <n v="48000"/>
    <n v="108000"/>
    <x v="1"/>
    <x v="4"/>
    <x v="2"/>
    <x v="3"/>
    <x v="0"/>
    <s v="Bagus"/>
    <x v="2"/>
    <s v="normal"/>
  </r>
  <r>
    <s v="ORD01477"/>
    <x v="1698"/>
    <s v="Made Fauziah"/>
    <x v="1"/>
    <x v="0"/>
    <n v="16000"/>
    <n v="1"/>
    <n v="20"/>
    <n v="16000"/>
    <n v="3200"/>
    <n v="12800"/>
    <n v="59000"/>
    <n v="71800"/>
    <x v="2"/>
    <x v="2"/>
    <x v="0"/>
    <x v="3"/>
    <x v="1"/>
    <s v="Bagus"/>
    <x v="1"/>
    <s v="sangat rendah"/>
  </r>
  <r>
    <s v="ORD01601"/>
    <x v="1699"/>
    <s v="Bella Saputra"/>
    <x v="27"/>
    <x v="11"/>
    <n v="30000"/>
    <n v="5"/>
    <n v="5"/>
    <n v="150000"/>
    <n v="7500"/>
    <n v="142500"/>
    <n v="18000"/>
    <n v="160500"/>
    <x v="0"/>
    <x v="2"/>
    <x v="1"/>
    <x v="1"/>
    <x v="0"/>
    <s v="Rendah"/>
    <x v="0"/>
    <s v="rendah"/>
  </r>
  <r>
    <s v="ORD00383"/>
    <x v="1700"/>
    <s v="Ani Fauziah"/>
    <x v="30"/>
    <x v="8"/>
    <n v="14000"/>
    <n v="4"/>
    <n v="0"/>
    <n v="56000"/>
    <n v="0"/>
    <n v="56000"/>
    <n v="97000"/>
    <n v="153000"/>
    <x v="1"/>
    <x v="4"/>
    <x v="3"/>
    <x v="2"/>
    <x v="0"/>
    <s v="Rendah"/>
    <x v="1"/>
    <s v="sangat rendah"/>
  </r>
  <r>
    <s v="ORD00383"/>
    <x v="1700"/>
    <s v="Ani Fauziah"/>
    <x v="30"/>
    <x v="1"/>
    <n v="17000"/>
    <n v="5"/>
    <n v="0"/>
    <n v="85000"/>
    <n v="0"/>
    <n v="85000"/>
    <n v="0"/>
    <n v="85000"/>
    <x v="1"/>
    <x v="4"/>
    <x v="3"/>
    <x v="2"/>
    <x v="0"/>
    <s v="Rendah"/>
    <x v="1"/>
    <s v="sangat rendah"/>
  </r>
  <r>
    <s v="ORD01334"/>
    <x v="1701"/>
    <s v="Fitri Puspita"/>
    <x v="5"/>
    <x v="23"/>
    <n v="45000"/>
    <n v="3"/>
    <n v="0"/>
    <n v="135000"/>
    <n v="0"/>
    <n v="135000"/>
    <n v="78000"/>
    <n v="213000"/>
    <x v="1"/>
    <x v="2"/>
    <x v="3"/>
    <x v="4"/>
    <x v="0"/>
    <s v="Bagus"/>
    <x v="1"/>
    <s v="sangat rendah"/>
  </r>
  <r>
    <s v="ORD00305"/>
    <x v="1702"/>
    <s v="Dina Kusuma"/>
    <x v="25"/>
    <x v="23"/>
    <n v="45000"/>
    <n v="5"/>
    <n v="10"/>
    <n v="225000"/>
    <n v="22500"/>
    <n v="202500"/>
    <n v="48000"/>
    <n v="250500"/>
    <x v="3"/>
    <x v="2"/>
    <x v="4"/>
    <x v="3"/>
    <x v="0"/>
    <s v="Bagus"/>
    <x v="4"/>
    <s v="tinggi"/>
  </r>
  <r>
    <s v="ORD00910"/>
    <x v="1703"/>
    <s v="Eko Pradipta"/>
    <x v="18"/>
    <x v="5"/>
    <n v="50000"/>
    <n v="1"/>
    <n v="5"/>
    <n v="50000"/>
    <n v="2500"/>
    <n v="47500"/>
    <n v="43000"/>
    <n v="90500"/>
    <x v="1"/>
    <x v="2"/>
    <x v="2"/>
    <x v="0"/>
    <x v="1"/>
    <s v="Standar"/>
    <x v="1"/>
    <s v="sangat rendah"/>
  </r>
  <r>
    <s v="ORD00544"/>
    <x v="1704"/>
    <s v="Dewi Budiman"/>
    <x v="9"/>
    <x v="20"/>
    <n v="40000"/>
    <n v="2"/>
    <n v="15"/>
    <n v="80000"/>
    <n v="12000"/>
    <n v="68000"/>
    <n v="21000"/>
    <n v="89000"/>
    <x v="2"/>
    <x v="3"/>
    <x v="0"/>
    <x v="4"/>
    <x v="0"/>
    <s v="Bagus"/>
    <x v="2"/>
    <s v="normal"/>
  </r>
  <r>
    <s v="ORD00733"/>
    <x v="1705"/>
    <s v="Aulia Utami"/>
    <x v="5"/>
    <x v="25"/>
    <n v="40000"/>
    <n v="4"/>
    <n v="5"/>
    <n v="160000"/>
    <n v="8000"/>
    <n v="152000"/>
    <n v="78000"/>
    <n v="230000"/>
    <x v="1"/>
    <x v="2"/>
    <x v="4"/>
    <x v="4"/>
    <x v="0"/>
    <s v="Bagus"/>
    <x v="0"/>
    <s v="rendah"/>
  </r>
  <r>
    <s v="ORD00269"/>
    <x v="1706"/>
    <s v="Yani Santoso"/>
    <x v="20"/>
    <x v="15"/>
    <n v="4000"/>
    <n v="2"/>
    <n v="0"/>
    <n v="8000"/>
    <n v="0"/>
    <n v="8000"/>
    <n v="85000"/>
    <n v="93000"/>
    <x v="2"/>
    <x v="4"/>
    <x v="4"/>
    <x v="0"/>
    <x v="0"/>
    <s v="Standar"/>
    <x v="1"/>
    <s v="sangat rendah"/>
  </r>
  <r>
    <s v="ORD00807"/>
    <x v="1707"/>
    <s v="Qori Saputra"/>
    <x v="15"/>
    <x v="19"/>
    <n v="35000"/>
    <n v="5"/>
    <n v="10"/>
    <n v="175000"/>
    <n v="17500"/>
    <n v="157500"/>
    <n v="17000"/>
    <n v="174500"/>
    <x v="1"/>
    <x v="2"/>
    <x v="3"/>
    <x v="1"/>
    <x v="0"/>
    <s v="Rendah"/>
    <x v="2"/>
    <s v="normal"/>
  </r>
  <r>
    <s v="ORD00522"/>
    <x v="1708"/>
    <s v="Dewi Halim"/>
    <x v="25"/>
    <x v="9"/>
    <n v="35000"/>
    <n v="5"/>
    <n v="15"/>
    <n v="175000"/>
    <n v="26250"/>
    <n v="148750"/>
    <n v="48000"/>
    <n v="196750"/>
    <x v="3"/>
    <x v="2"/>
    <x v="3"/>
    <x v="3"/>
    <x v="0"/>
    <s v="Bagus"/>
    <x v="4"/>
    <s v="tinggi"/>
  </r>
  <r>
    <s v="ORD01104"/>
    <x v="1709"/>
    <s v="Andi Wijaya"/>
    <x v="9"/>
    <x v="4"/>
    <n v="6000"/>
    <n v="5"/>
    <n v="5"/>
    <n v="30000"/>
    <n v="1500"/>
    <n v="28500"/>
    <n v="21000"/>
    <n v="49500"/>
    <x v="2"/>
    <x v="2"/>
    <x v="0"/>
    <x v="3"/>
    <x v="1"/>
    <s v="Bagus"/>
    <x v="1"/>
    <s v="sangat rendah"/>
  </r>
  <r>
    <s v="ORD00272"/>
    <x v="1710"/>
    <s v="Yani Pradipta"/>
    <x v="15"/>
    <x v="12"/>
    <n v="25000"/>
    <n v="1"/>
    <n v="5"/>
    <n v="25000"/>
    <n v="1250"/>
    <n v="23750"/>
    <n v="17000"/>
    <n v="40750"/>
    <x v="1"/>
    <x v="2"/>
    <x v="1"/>
    <x v="1"/>
    <x v="0"/>
    <s v="Rendah"/>
    <x v="1"/>
    <s v="sangat rendah"/>
  </r>
  <r>
    <s v="ORD00483"/>
    <x v="1711"/>
    <s v="Bella Budiman"/>
    <x v="15"/>
    <x v="21"/>
    <n v="10000"/>
    <n v="3"/>
    <n v="0"/>
    <n v="30000"/>
    <n v="0"/>
    <n v="30000"/>
    <n v="17000"/>
    <n v="47000"/>
    <x v="0"/>
    <x v="2"/>
    <x v="2"/>
    <x v="0"/>
    <x v="0"/>
    <s v="Standar"/>
    <x v="1"/>
    <s v="sangat rendah"/>
  </r>
  <r>
    <s v="ORD01697"/>
    <x v="1712"/>
    <s v="Rizky Ramadhani"/>
    <x v="31"/>
    <x v="23"/>
    <n v="45000"/>
    <n v="4"/>
    <n v="15"/>
    <n v="180000"/>
    <n v="27000"/>
    <n v="153000"/>
    <n v="18000"/>
    <n v="171000"/>
    <x v="3"/>
    <x v="2"/>
    <x v="2"/>
    <x v="4"/>
    <x v="1"/>
    <s v="Bagus"/>
    <x v="4"/>
    <s v="tinggi"/>
  </r>
  <r>
    <s v="ORD01707"/>
    <x v="1713"/>
    <s v="Oka Santoso"/>
    <x v="3"/>
    <x v="3"/>
    <n v="14000"/>
    <n v="1"/>
    <n v="0"/>
    <n v="14000"/>
    <n v="0"/>
    <n v="14000"/>
    <n v="18000"/>
    <n v="32000"/>
    <x v="1"/>
    <x v="2"/>
    <x v="2"/>
    <x v="4"/>
    <x v="1"/>
    <s v="Bagus"/>
    <x v="1"/>
    <s v="sangat rendah"/>
  </r>
  <r>
    <s v="ORD01149"/>
    <x v="1714"/>
    <s v="Putri Wijaya"/>
    <x v="6"/>
    <x v="4"/>
    <n v="6000"/>
    <n v="3"/>
    <n v="15"/>
    <n v="18000"/>
    <n v="2700"/>
    <n v="15300"/>
    <n v="30000"/>
    <n v="45300"/>
    <x v="2"/>
    <x v="2"/>
    <x v="2"/>
    <x v="4"/>
    <x v="0"/>
    <s v="Bagus"/>
    <x v="1"/>
    <s v="sangat rendah"/>
  </r>
  <r>
    <s v="ORD00868"/>
    <x v="1715"/>
    <s v="Eka Wijaya"/>
    <x v="2"/>
    <x v="1"/>
    <n v="17000"/>
    <n v="3"/>
    <n v="20"/>
    <n v="51000"/>
    <n v="10200"/>
    <n v="40800"/>
    <n v="26000"/>
    <n v="66800"/>
    <x v="2"/>
    <x v="2"/>
    <x v="4"/>
    <x v="0"/>
    <x v="0"/>
    <s v="Standar"/>
    <x v="2"/>
    <s v="normal"/>
  </r>
  <r>
    <s v="ORD01485"/>
    <x v="1716"/>
    <s v="Ani Ananda"/>
    <x v="37"/>
    <x v="6"/>
    <n v="55000"/>
    <n v="1"/>
    <n v="5"/>
    <n v="55000"/>
    <n v="2750"/>
    <n v="52250"/>
    <n v="57000"/>
    <n v="109250"/>
    <x v="1"/>
    <x v="2"/>
    <x v="1"/>
    <x v="1"/>
    <x v="0"/>
    <s v="Rendah"/>
    <x v="1"/>
    <s v="sangat rendah"/>
  </r>
  <r>
    <s v="ORD01630"/>
    <x v="1717"/>
    <s v="Bayu Maulana"/>
    <x v="29"/>
    <x v="24"/>
    <n v="22000"/>
    <n v="4"/>
    <n v="5"/>
    <n v="88000"/>
    <n v="4400"/>
    <n v="83600"/>
    <n v="89000"/>
    <n v="172600"/>
    <x v="3"/>
    <x v="2"/>
    <x v="3"/>
    <x v="4"/>
    <x v="1"/>
    <s v="Bagus"/>
    <x v="1"/>
    <s v="sangat rendah"/>
  </r>
  <r>
    <s v="ORD01106"/>
    <x v="1718"/>
    <s v="Vina Hidayat"/>
    <x v="29"/>
    <x v="0"/>
    <n v="16000"/>
    <n v="4"/>
    <n v="15"/>
    <n v="64000"/>
    <n v="9600"/>
    <n v="54400"/>
    <n v="89000"/>
    <n v="143400"/>
    <x v="1"/>
    <x v="2"/>
    <x v="3"/>
    <x v="1"/>
    <x v="0"/>
    <s v="Rendah"/>
    <x v="0"/>
    <s v="rendah"/>
  </r>
  <r>
    <s v="ORD00640"/>
    <x v="1719"/>
    <s v="Putri Wijaya"/>
    <x v="6"/>
    <x v="17"/>
    <n v="15000"/>
    <n v="3"/>
    <n v="20"/>
    <n v="45000"/>
    <n v="9000"/>
    <n v="36000"/>
    <n v="30000"/>
    <n v="66000"/>
    <x v="1"/>
    <x v="2"/>
    <x v="0"/>
    <x v="4"/>
    <x v="0"/>
    <s v="Bagus"/>
    <x v="0"/>
    <s v="rendah"/>
  </r>
  <r>
    <s v="ORD00156"/>
    <x v="1720"/>
    <s v="Dina Kurniawan"/>
    <x v="13"/>
    <x v="5"/>
    <n v="50000"/>
    <n v="5"/>
    <n v="15"/>
    <n v="250000"/>
    <n v="37500"/>
    <n v="212500"/>
    <n v="87000"/>
    <n v="299500"/>
    <x v="3"/>
    <x v="2"/>
    <x v="4"/>
    <x v="2"/>
    <x v="0"/>
    <s v="Rendah"/>
    <x v="3"/>
    <s v="sangat tinggi"/>
  </r>
  <r>
    <s v="ORD01201"/>
    <x v="1721"/>
    <s v="Gita Saputra"/>
    <x v="21"/>
    <x v="25"/>
    <n v="40000"/>
    <n v="3"/>
    <n v="5"/>
    <n v="120000"/>
    <n v="6000"/>
    <n v="114000"/>
    <n v="72000"/>
    <n v="186000"/>
    <x v="2"/>
    <x v="4"/>
    <x v="0"/>
    <x v="1"/>
    <x v="0"/>
    <s v="Rendah"/>
    <x v="0"/>
    <s v="rendah"/>
  </r>
  <r>
    <s v="ORD00229"/>
    <x v="1722"/>
    <s v="Fitri Iskandar"/>
    <x v="1"/>
    <x v="10"/>
    <n v="45000"/>
    <n v="1"/>
    <n v="10"/>
    <n v="45000"/>
    <n v="4500"/>
    <n v="40500"/>
    <n v="59000"/>
    <n v="99500"/>
    <x v="2"/>
    <x v="2"/>
    <x v="2"/>
    <x v="3"/>
    <x v="0"/>
    <s v="Bagus"/>
    <x v="1"/>
    <s v="sangat rendah"/>
  </r>
  <r>
    <s v="ORD00229"/>
    <x v="1722"/>
    <s v="Fitri Iskandar"/>
    <x v="1"/>
    <x v="10"/>
    <n v="45000"/>
    <n v="1"/>
    <n v="0"/>
    <n v="45000"/>
    <n v="0"/>
    <n v="45000"/>
    <n v="0"/>
    <n v="45000"/>
    <x v="2"/>
    <x v="2"/>
    <x v="2"/>
    <x v="3"/>
    <x v="0"/>
    <s v="Bagus"/>
    <x v="1"/>
    <s v="sangat rendah"/>
  </r>
  <r>
    <s v="ORD00746"/>
    <x v="1723"/>
    <s v="Aulia Rahmawati"/>
    <x v="8"/>
    <x v="22"/>
    <n v="18000"/>
    <n v="1"/>
    <n v="20"/>
    <n v="18000"/>
    <n v="3600"/>
    <n v="14400"/>
    <n v="87000"/>
    <n v="101400"/>
    <x v="3"/>
    <x v="4"/>
    <x v="3"/>
    <x v="0"/>
    <x v="0"/>
    <s v="Standar"/>
    <x v="1"/>
    <s v="sangat rendah"/>
  </r>
  <r>
    <s v="ORD00014"/>
    <x v="1724"/>
    <s v="Nanda Setiawan"/>
    <x v="13"/>
    <x v="8"/>
    <n v="14000"/>
    <n v="4"/>
    <n v="5"/>
    <n v="56000"/>
    <n v="2800"/>
    <n v="53200"/>
    <n v="87000"/>
    <n v="140200"/>
    <x v="0"/>
    <x v="2"/>
    <x v="3"/>
    <x v="3"/>
    <x v="1"/>
    <s v="Bagus"/>
    <x v="1"/>
    <s v="sangat rendah"/>
  </r>
  <r>
    <s v="ORD00014"/>
    <x v="1724"/>
    <s v="Nanda Setiawan"/>
    <x v="13"/>
    <x v="22"/>
    <n v="18000"/>
    <n v="3"/>
    <n v="0"/>
    <n v="54000"/>
    <n v="0"/>
    <n v="54000"/>
    <n v="0"/>
    <n v="54000"/>
    <x v="0"/>
    <x v="2"/>
    <x v="3"/>
    <x v="3"/>
    <x v="1"/>
    <s v="Bagus"/>
    <x v="1"/>
    <s v="sangat rendah"/>
  </r>
  <r>
    <s v="ORD00754"/>
    <x v="1725"/>
    <s v="Qori Syahputra"/>
    <x v="6"/>
    <x v="17"/>
    <n v="15000"/>
    <n v="5"/>
    <n v="20"/>
    <n v="75000"/>
    <n v="15000"/>
    <n v="60000"/>
    <n v="30000"/>
    <n v="90000"/>
    <x v="3"/>
    <x v="2"/>
    <x v="0"/>
    <x v="3"/>
    <x v="0"/>
    <s v="Bagus"/>
    <x v="2"/>
    <s v="normal"/>
  </r>
  <r>
    <s v="ORD00927"/>
    <x v="1726"/>
    <s v="Ani Fauziah"/>
    <x v="30"/>
    <x v="19"/>
    <n v="35000"/>
    <n v="2"/>
    <n v="10"/>
    <n v="70000"/>
    <n v="7000"/>
    <n v="63000"/>
    <n v="97000"/>
    <n v="160000"/>
    <x v="2"/>
    <x v="2"/>
    <x v="1"/>
    <x v="2"/>
    <x v="0"/>
    <s v="Rendah"/>
    <x v="0"/>
    <s v="rendah"/>
  </r>
  <r>
    <s v="ORD00286"/>
    <x v="1727"/>
    <s v="Fitri Rahmawati"/>
    <x v="28"/>
    <x v="9"/>
    <n v="35000"/>
    <n v="1"/>
    <n v="10"/>
    <n v="35000"/>
    <n v="3500"/>
    <n v="31500"/>
    <n v="79000"/>
    <n v="110500"/>
    <x v="1"/>
    <x v="2"/>
    <x v="1"/>
    <x v="2"/>
    <x v="0"/>
    <s v="Rendah"/>
    <x v="1"/>
    <s v="sangat rendah"/>
  </r>
  <r>
    <s v="ORD01723"/>
    <x v="1728"/>
    <s v="Gita Wijaya"/>
    <x v="13"/>
    <x v="5"/>
    <n v="50000"/>
    <n v="1"/>
    <n v="15"/>
    <n v="50000"/>
    <n v="7500"/>
    <n v="42500"/>
    <n v="87000"/>
    <n v="129500"/>
    <x v="2"/>
    <x v="2"/>
    <x v="1"/>
    <x v="4"/>
    <x v="0"/>
    <s v="Bagus"/>
    <x v="0"/>
    <s v="rendah"/>
  </r>
  <r>
    <s v="ORD00023"/>
    <x v="1729"/>
    <s v="Nanda Fauziah"/>
    <x v="32"/>
    <x v="22"/>
    <n v="18000"/>
    <n v="2"/>
    <n v="20"/>
    <n v="36000"/>
    <n v="7200"/>
    <n v="28800"/>
    <n v="59000"/>
    <n v="87800"/>
    <x v="2"/>
    <x v="2"/>
    <x v="4"/>
    <x v="2"/>
    <x v="1"/>
    <s v="Rendah"/>
    <x v="0"/>
    <s v="rendah"/>
  </r>
  <r>
    <s v="ORD01844"/>
    <x v="1730"/>
    <s v="Joko Ananda"/>
    <x v="10"/>
    <x v="12"/>
    <n v="25000"/>
    <n v="5"/>
    <n v="15"/>
    <n v="125000"/>
    <n v="18750"/>
    <n v="106250"/>
    <n v="84000"/>
    <n v="190250"/>
    <x v="2"/>
    <x v="2"/>
    <x v="1"/>
    <x v="1"/>
    <x v="1"/>
    <s v="Rendah"/>
    <x v="2"/>
    <s v="normal"/>
  </r>
  <r>
    <s v="ORD01638"/>
    <x v="1731"/>
    <s v="Erna Hidayat"/>
    <x v="26"/>
    <x v="2"/>
    <n v="5000"/>
    <n v="1"/>
    <n v="5"/>
    <n v="5000"/>
    <n v="250"/>
    <n v="4750"/>
    <n v="28000"/>
    <n v="32750"/>
    <x v="3"/>
    <x v="2"/>
    <x v="4"/>
    <x v="1"/>
    <x v="0"/>
    <s v="Rendah"/>
    <x v="1"/>
    <s v="sangat rendah"/>
  </r>
  <r>
    <s v="ORD00585"/>
    <x v="1732"/>
    <s v="Gita Syahputra"/>
    <x v="32"/>
    <x v="5"/>
    <n v="50000"/>
    <n v="3"/>
    <n v="5"/>
    <n v="150000"/>
    <n v="7500"/>
    <n v="142500"/>
    <n v="59000"/>
    <n v="201500"/>
    <x v="1"/>
    <x v="2"/>
    <x v="3"/>
    <x v="2"/>
    <x v="0"/>
    <s v="Rendah"/>
    <x v="0"/>
    <s v="rendah"/>
  </r>
  <r>
    <s v="ORD01308"/>
    <x v="1733"/>
    <s v="Bayu Fauziah"/>
    <x v="12"/>
    <x v="24"/>
    <n v="22000"/>
    <n v="5"/>
    <n v="0"/>
    <n v="110000"/>
    <n v="0"/>
    <n v="110000"/>
    <n v="74000"/>
    <n v="184000"/>
    <x v="2"/>
    <x v="2"/>
    <x v="0"/>
    <x v="4"/>
    <x v="1"/>
    <s v="Bagus"/>
    <x v="1"/>
    <s v="sangat rendah"/>
  </r>
  <r>
    <s v="ORD01014"/>
    <x v="1734"/>
    <s v="Wahyu Pradipta"/>
    <x v="30"/>
    <x v="9"/>
    <n v="35000"/>
    <n v="2"/>
    <n v="5"/>
    <n v="70000"/>
    <n v="3500"/>
    <n v="66500"/>
    <n v="97000"/>
    <n v="163500"/>
    <x v="1"/>
    <x v="2"/>
    <x v="1"/>
    <x v="4"/>
    <x v="1"/>
    <s v="Bagus"/>
    <x v="1"/>
    <s v="sangat rendah"/>
  </r>
  <r>
    <s v="ORD00716"/>
    <x v="1735"/>
    <s v="Hendra Wijaya"/>
    <x v="7"/>
    <x v="25"/>
    <n v="40000"/>
    <n v="2"/>
    <n v="15"/>
    <n v="80000"/>
    <n v="12000"/>
    <n v="68000"/>
    <n v="15000"/>
    <n v="83000"/>
    <x v="1"/>
    <x v="2"/>
    <x v="3"/>
    <x v="4"/>
    <x v="1"/>
    <s v="Bagus"/>
    <x v="2"/>
    <s v="normal"/>
  </r>
  <r>
    <s v="ORD00155"/>
    <x v="1736"/>
    <s v="Dewi Santoso"/>
    <x v="14"/>
    <x v="9"/>
    <n v="35000"/>
    <n v="3"/>
    <n v="20"/>
    <n v="105000"/>
    <n v="21000"/>
    <n v="84000"/>
    <n v="0"/>
    <n v="84000"/>
    <x v="1"/>
    <x v="2"/>
    <x v="2"/>
    <x v="2"/>
    <x v="0"/>
    <s v="Rendah"/>
    <x v="4"/>
    <s v="tinggi"/>
  </r>
  <r>
    <s v="ORD00155"/>
    <x v="1736"/>
    <s v="Dewi Santoso"/>
    <x v="14"/>
    <x v="22"/>
    <n v="18000"/>
    <n v="3"/>
    <n v="15"/>
    <n v="54000"/>
    <n v="8100"/>
    <n v="45900"/>
    <n v="46000"/>
    <n v="91900"/>
    <x v="1"/>
    <x v="2"/>
    <x v="2"/>
    <x v="2"/>
    <x v="0"/>
    <s v="Rendah"/>
    <x v="0"/>
    <s v="rendah"/>
  </r>
  <r>
    <s v="ORD01052"/>
    <x v="1737"/>
    <s v="Fitri Wijaya"/>
    <x v="37"/>
    <x v="6"/>
    <n v="55000"/>
    <n v="2"/>
    <n v="0"/>
    <n v="110000"/>
    <n v="0"/>
    <n v="110000"/>
    <n v="57000"/>
    <n v="167000"/>
    <x v="3"/>
    <x v="2"/>
    <x v="4"/>
    <x v="4"/>
    <x v="0"/>
    <s v="Bagus"/>
    <x v="1"/>
    <s v="sangat rendah"/>
  </r>
  <r>
    <s v="ORD00455"/>
    <x v="1738"/>
    <s v="Bella Iskandar"/>
    <x v="1"/>
    <x v="26"/>
    <n v="16000"/>
    <n v="5"/>
    <n v="0"/>
    <n v="80000"/>
    <n v="0"/>
    <n v="80000"/>
    <n v="59000"/>
    <n v="139000"/>
    <x v="1"/>
    <x v="3"/>
    <x v="4"/>
    <x v="0"/>
    <x v="0"/>
    <s v="Standar"/>
    <x v="1"/>
    <s v="sangat rendah"/>
  </r>
  <r>
    <s v="ORD01770"/>
    <x v="1739"/>
    <s v="Rizky Ramadhani"/>
    <x v="31"/>
    <x v="8"/>
    <n v="14000"/>
    <n v="4"/>
    <n v="10"/>
    <n v="56000"/>
    <n v="5600"/>
    <n v="50400"/>
    <n v="18000"/>
    <n v="68400"/>
    <x v="2"/>
    <x v="2"/>
    <x v="3"/>
    <x v="0"/>
    <x v="1"/>
    <s v="Standar"/>
    <x v="0"/>
    <s v="rendah"/>
  </r>
  <r>
    <s v="ORD01063"/>
    <x v="1740"/>
    <s v="Sari Puspita"/>
    <x v="30"/>
    <x v="24"/>
    <n v="22000"/>
    <n v="4"/>
    <n v="20"/>
    <n v="88000"/>
    <n v="17600"/>
    <n v="70400"/>
    <n v="97000"/>
    <n v="167400"/>
    <x v="2"/>
    <x v="2"/>
    <x v="1"/>
    <x v="0"/>
    <x v="0"/>
    <s v="Standar"/>
    <x v="2"/>
    <s v="normal"/>
  </r>
  <r>
    <s v="ORD00956"/>
    <x v="1741"/>
    <s v="Dewi Pradipta"/>
    <x v="20"/>
    <x v="4"/>
    <n v="6000"/>
    <n v="5"/>
    <n v="15"/>
    <n v="30000"/>
    <n v="4500"/>
    <n v="25500"/>
    <n v="85000"/>
    <n v="110500"/>
    <x v="2"/>
    <x v="2"/>
    <x v="4"/>
    <x v="1"/>
    <x v="0"/>
    <s v="Rendah"/>
    <x v="1"/>
    <s v="sangat rendah"/>
  </r>
  <r>
    <s v="ORD00128"/>
    <x v="1742"/>
    <s v="Fitri Ramadhani"/>
    <x v="12"/>
    <x v="8"/>
    <n v="14000"/>
    <n v="2"/>
    <n v="5"/>
    <n v="28000"/>
    <n v="1400"/>
    <n v="26600"/>
    <n v="74000"/>
    <n v="100600"/>
    <x v="1"/>
    <x v="2"/>
    <x v="1"/>
    <x v="2"/>
    <x v="0"/>
    <s v="Rendah"/>
    <x v="1"/>
    <s v="sangat rendah"/>
  </r>
  <r>
    <s v="ORD00533"/>
    <x v="1743"/>
    <s v="Hana Wijaya"/>
    <x v="13"/>
    <x v="13"/>
    <n v="17000"/>
    <n v="4"/>
    <n v="10"/>
    <n v="68000"/>
    <n v="6800"/>
    <n v="61200"/>
    <n v="87000"/>
    <n v="148200"/>
    <x v="1"/>
    <x v="2"/>
    <x v="3"/>
    <x v="2"/>
    <x v="0"/>
    <s v="Rendah"/>
    <x v="0"/>
    <s v="rendah"/>
  </r>
  <r>
    <s v="ORD01674"/>
    <x v="1744"/>
    <s v="Rizky Budiman"/>
    <x v="34"/>
    <x v="13"/>
    <n v="17000"/>
    <n v="5"/>
    <n v="15"/>
    <n v="85000"/>
    <n v="12750"/>
    <n v="72250"/>
    <n v="80000"/>
    <n v="152250"/>
    <x v="1"/>
    <x v="4"/>
    <x v="4"/>
    <x v="2"/>
    <x v="1"/>
    <s v="Rendah"/>
    <x v="2"/>
    <s v="normal"/>
  </r>
  <r>
    <s v="ORD00336"/>
    <x v="1745"/>
    <s v="Vina Saputra"/>
    <x v="34"/>
    <x v="21"/>
    <n v="10000"/>
    <n v="3"/>
    <n v="5"/>
    <n v="30000"/>
    <n v="1500"/>
    <n v="28500"/>
    <n v="80000"/>
    <n v="108500"/>
    <x v="2"/>
    <x v="2"/>
    <x v="4"/>
    <x v="1"/>
    <x v="0"/>
    <s v="Rendah"/>
    <x v="1"/>
    <s v="sangat rendah"/>
  </r>
  <r>
    <s v="ORD00215"/>
    <x v="1746"/>
    <s v="Dewi Hidayat"/>
    <x v="3"/>
    <x v="23"/>
    <n v="45000"/>
    <n v="4"/>
    <n v="10"/>
    <n v="180000"/>
    <n v="18000"/>
    <n v="162000"/>
    <n v="18000"/>
    <n v="180000"/>
    <x v="3"/>
    <x v="2"/>
    <x v="2"/>
    <x v="2"/>
    <x v="0"/>
    <s v="Rendah"/>
    <x v="2"/>
    <s v="normal"/>
  </r>
  <r>
    <s v="ORD00215"/>
    <x v="1746"/>
    <s v="Dewi Hidayat"/>
    <x v="3"/>
    <x v="18"/>
    <n v="16000"/>
    <n v="3"/>
    <n v="10"/>
    <n v="48000"/>
    <n v="4800"/>
    <n v="43200"/>
    <n v="0"/>
    <n v="43200"/>
    <x v="3"/>
    <x v="2"/>
    <x v="2"/>
    <x v="2"/>
    <x v="0"/>
    <s v="Rendah"/>
    <x v="1"/>
    <s v="sangat rendah"/>
  </r>
  <r>
    <s v="ORD00378"/>
    <x v="1747"/>
    <s v="Citra Maulana"/>
    <x v="21"/>
    <x v="0"/>
    <n v="16000"/>
    <n v="1"/>
    <n v="15"/>
    <n v="16000"/>
    <n v="2400"/>
    <n v="13600"/>
    <n v="72000"/>
    <n v="85600"/>
    <x v="1"/>
    <x v="4"/>
    <x v="0"/>
    <x v="2"/>
    <x v="0"/>
    <s v="Rendah"/>
    <x v="1"/>
    <s v="sangat rendah"/>
  </r>
  <r>
    <s v="ORD01833"/>
    <x v="1748"/>
    <s v="Citra Maulana"/>
    <x v="21"/>
    <x v="25"/>
    <n v="40000"/>
    <n v="4"/>
    <n v="0"/>
    <n v="160000"/>
    <n v="0"/>
    <n v="160000"/>
    <n v="72000"/>
    <n v="232000"/>
    <x v="1"/>
    <x v="2"/>
    <x v="0"/>
    <x v="0"/>
    <x v="0"/>
    <s v="Standar"/>
    <x v="1"/>
    <s v="sangat rendah"/>
  </r>
  <r>
    <s v="ORD01751"/>
    <x v="1749"/>
    <s v="Dimas Budiman"/>
    <x v="30"/>
    <x v="9"/>
    <n v="35000"/>
    <n v="4"/>
    <n v="0"/>
    <n v="140000"/>
    <n v="0"/>
    <n v="140000"/>
    <n v="97000"/>
    <n v="237000"/>
    <x v="0"/>
    <x v="2"/>
    <x v="4"/>
    <x v="2"/>
    <x v="1"/>
    <s v="Rendah"/>
    <x v="1"/>
    <s v="sangat rendah"/>
  </r>
  <r>
    <s v="ORD00699"/>
    <x v="1750"/>
    <s v="Ani Maulana"/>
    <x v="29"/>
    <x v="13"/>
    <n v="17000"/>
    <n v="5"/>
    <n v="5"/>
    <n v="85000"/>
    <n v="4250"/>
    <n v="80750"/>
    <n v="89000"/>
    <n v="169750"/>
    <x v="1"/>
    <x v="2"/>
    <x v="4"/>
    <x v="3"/>
    <x v="0"/>
    <s v="Bagus"/>
    <x v="1"/>
    <s v="sangat rendah"/>
  </r>
  <r>
    <s v="ORD00186"/>
    <x v="1751"/>
    <s v="Dewi Ananda"/>
    <x v="17"/>
    <x v="22"/>
    <n v="18000"/>
    <n v="1"/>
    <n v="20"/>
    <n v="18000"/>
    <n v="3600"/>
    <n v="14400"/>
    <n v="50000"/>
    <n v="64400"/>
    <x v="0"/>
    <x v="2"/>
    <x v="3"/>
    <x v="0"/>
    <x v="0"/>
    <s v="Standar"/>
    <x v="1"/>
    <s v="sangat rendah"/>
  </r>
  <r>
    <s v="ORD00186"/>
    <x v="1751"/>
    <s v="Dewi Ananda"/>
    <x v="17"/>
    <x v="15"/>
    <n v="4000"/>
    <n v="3"/>
    <n v="10"/>
    <n v="12000"/>
    <n v="1200"/>
    <n v="10800"/>
    <n v="0"/>
    <n v="10800"/>
    <x v="0"/>
    <x v="2"/>
    <x v="3"/>
    <x v="0"/>
    <x v="0"/>
    <s v="Standar"/>
    <x v="1"/>
    <s v="sangat rendah"/>
  </r>
  <r>
    <s v="ORD00679"/>
    <x v="1752"/>
    <s v="Sari Puspita"/>
    <x v="30"/>
    <x v="16"/>
    <n v="28000"/>
    <n v="4"/>
    <n v="0"/>
    <n v="112000"/>
    <n v="0"/>
    <n v="112000"/>
    <n v="97000"/>
    <n v="209000"/>
    <x v="1"/>
    <x v="2"/>
    <x v="2"/>
    <x v="1"/>
    <x v="0"/>
    <s v="Rendah"/>
    <x v="1"/>
    <s v="sangat rendah"/>
  </r>
  <r>
    <s v="ORD00114"/>
    <x v="1753"/>
    <s v="Vina Halim"/>
    <x v="8"/>
    <x v="9"/>
    <n v="35000"/>
    <n v="1"/>
    <n v="10"/>
    <n v="35000"/>
    <n v="3500"/>
    <n v="31500"/>
    <n v="87000"/>
    <n v="118500"/>
    <x v="3"/>
    <x v="2"/>
    <x v="0"/>
    <x v="2"/>
    <x v="0"/>
    <s v="Rendah"/>
    <x v="1"/>
    <s v="sangat rendah"/>
  </r>
  <r>
    <s v="ORD01163"/>
    <x v="1754"/>
    <s v="Clara Utami"/>
    <x v="31"/>
    <x v="10"/>
    <n v="45000"/>
    <n v="1"/>
    <n v="5"/>
    <n v="45000"/>
    <n v="2250"/>
    <n v="42750"/>
    <n v="18000"/>
    <n v="60750"/>
    <x v="3"/>
    <x v="4"/>
    <x v="1"/>
    <x v="3"/>
    <x v="0"/>
    <s v="Bagus"/>
    <x v="1"/>
    <s v="sangat rendah"/>
  </r>
  <r>
    <s v="ORD01610"/>
    <x v="1755"/>
    <s v="Ani Ramadhani"/>
    <x v="16"/>
    <x v="2"/>
    <n v="5000"/>
    <n v="3"/>
    <n v="15"/>
    <n v="15000"/>
    <n v="2250"/>
    <n v="12750"/>
    <n v="50000"/>
    <n v="62750"/>
    <x v="1"/>
    <x v="4"/>
    <x v="4"/>
    <x v="2"/>
    <x v="0"/>
    <s v="Rendah"/>
    <x v="1"/>
    <s v="sangat rendah"/>
  </r>
  <r>
    <s v="ORD01816"/>
    <x v="1756"/>
    <s v="Arif Rahmawati"/>
    <x v="17"/>
    <x v="17"/>
    <n v="15000"/>
    <n v="1"/>
    <n v="15"/>
    <n v="15000"/>
    <n v="2250"/>
    <n v="12750"/>
    <n v="50000"/>
    <n v="62750"/>
    <x v="2"/>
    <x v="2"/>
    <x v="4"/>
    <x v="3"/>
    <x v="1"/>
    <s v="Bagus"/>
    <x v="1"/>
    <s v="sangat rendah"/>
  </r>
  <r>
    <s v="ORD00874"/>
    <x v="1757"/>
    <s v="Bella Hidayat"/>
    <x v="28"/>
    <x v="19"/>
    <n v="35000"/>
    <n v="4"/>
    <n v="15"/>
    <n v="140000"/>
    <n v="21000"/>
    <n v="119000"/>
    <n v="79000"/>
    <n v="198000"/>
    <x v="0"/>
    <x v="4"/>
    <x v="2"/>
    <x v="2"/>
    <x v="0"/>
    <s v="Rendah"/>
    <x v="4"/>
    <s v="tinggi"/>
  </r>
  <r>
    <s v="ORD01558"/>
    <x v="1758"/>
    <s v="Tono Fauziah"/>
    <x v="37"/>
    <x v="21"/>
    <n v="10000"/>
    <n v="1"/>
    <n v="10"/>
    <n v="10000"/>
    <n v="1000"/>
    <n v="9000"/>
    <n v="57000"/>
    <n v="66000"/>
    <x v="3"/>
    <x v="2"/>
    <x v="0"/>
    <x v="3"/>
    <x v="1"/>
    <s v="Bagus"/>
    <x v="1"/>
    <s v="sangat rendah"/>
  </r>
  <r>
    <s v="ORD00612"/>
    <x v="1759"/>
    <s v="Sari Puspita"/>
    <x v="30"/>
    <x v="11"/>
    <n v="30000"/>
    <n v="5"/>
    <n v="0"/>
    <n v="150000"/>
    <n v="0"/>
    <n v="150000"/>
    <n v="97000"/>
    <n v="247000"/>
    <x v="0"/>
    <x v="3"/>
    <x v="1"/>
    <x v="0"/>
    <x v="0"/>
    <s v="Standar"/>
    <x v="1"/>
    <s v="sangat rendah"/>
  </r>
  <r>
    <s v="ORD00029"/>
    <x v="1760"/>
    <s v="Galih Halim"/>
    <x v="18"/>
    <x v="14"/>
    <n v="18000"/>
    <n v="4"/>
    <n v="5"/>
    <n v="72000"/>
    <n v="3600"/>
    <n v="68400"/>
    <n v="43000"/>
    <n v="111400"/>
    <x v="0"/>
    <x v="4"/>
    <x v="3"/>
    <x v="0"/>
    <x v="1"/>
    <s v="Standar"/>
    <x v="1"/>
    <s v="sangat rendah"/>
  </r>
  <r>
    <s v="ORD00200"/>
    <x v="1761"/>
    <s v="Zahra Maulana"/>
    <x v="7"/>
    <x v="24"/>
    <n v="22000"/>
    <n v="4"/>
    <n v="5"/>
    <n v="88000"/>
    <n v="4400"/>
    <n v="83600"/>
    <n v="15000"/>
    <n v="98600"/>
    <x v="2"/>
    <x v="2"/>
    <x v="4"/>
    <x v="0"/>
    <x v="0"/>
    <s v="Standar"/>
    <x v="1"/>
    <s v="sangat rendah"/>
  </r>
  <r>
    <s v="ORD00422"/>
    <x v="1762"/>
    <s v="Gita Utami"/>
    <x v="31"/>
    <x v="2"/>
    <n v="5000"/>
    <n v="5"/>
    <n v="5"/>
    <n v="25000"/>
    <n v="1250"/>
    <n v="23750"/>
    <n v="18000"/>
    <n v="41750"/>
    <x v="1"/>
    <x v="2"/>
    <x v="1"/>
    <x v="2"/>
    <x v="0"/>
    <s v="Rendah"/>
    <x v="1"/>
    <s v="sangat rendah"/>
  </r>
  <r>
    <s v="ORD01643"/>
    <x v="1763"/>
    <s v="Budi Hidayat"/>
    <x v="7"/>
    <x v="23"/>
    <n v="45000"/>
    <n v="2"/>
    <n v="15"/>
    <n v="90000"/>
    <n v="13500"/>
    <n v="76500"/>
    <n v="15000"/>
    <n v="91500"/>
    <x v="3"/>
    <x v="2"/>
    <x v="1"/>
    <x v="1"/>
    <x v="1"/>
    <s v="Rendah"/>
    <x v="2"/>
    <s v="normal"/>
  </r>
  <r>
    <s v="ORD01556"/>
    <x v="1764"/>
    <s v="Dewi Puspita"/>
    <x v="6"/>
    <x v="12"/>
    <n v="25000"/>
    <n v="2"/>
    <n v="0"/>
    <n v="50000"/>
    <n v="0"/>
    <n v="50000"/>
    <n v="30000"/>
    <n v="80000"/>
    <x v="2"/>
    <x v="2"/>
    <x v="2"/>
    <x v="4"/>
    <x v="0"/>
    <s v="Bagus"/>
    <x v="1"/>
    <s v="sangat rendah"/>
  </r>
  <r>
    <s v="ORD00198"/>
    <x v="1765"/>
    <s v="Zahra Setiawan"/>
    <x v="19"/>
    <x v="4"/>
    <n v="6000"/>
    <n v="1"/>
    <n v="5"/>
    <n v="6000"/>
    <n v="300"/>
    <n v="5700"/>
    <n v="55000"/>
    <n v="60700"/>
    <x v="3"/>
    <x v="2"/>
    <x v="1"/>
    <x v="3"/>
    <x v="0"/>
    <s v="Bagus"/>
    <x v="1"/>
    <s v="sangat rendah"/>
  </r>
  <r>
    <s v="ORD01455"/>
    <x v="1766"/>
    <s v="Qori Halim"/>
    <x v="23"/>
    <x v="21"/>
    <n v="10000"/>
    <n v="4"/>
    <n v="0"/>
    <n v="40000"/>
    <n v="0"/>
    <n v="40000"/>
    <n v="49000"/>
    <n v="89000"/>
    <x v="0"/>
    <x v="2"/>
    <x v="4"/>
    <x v="1"/>
    <x v="0"/>
    <s v="Rendah"/>
    <x v="1"/>
    <s v="sangat rendah"/>
  </r>
  <r>
    <s v="ORD00632"/>
    <x v="1767"/>
    <s v="Putri Ananda"/>
    <x v="2"/>
    <x v="15"/>
    <n v="4000"/>
    <n v="1"/>
    <n v="20"/>
    <n v="4000"/>
    <n v="800"/>
    <n v="3200"/>
    <n v="26000"/>
    <n v="29200"/>
    <x v="1"/>
    <x v="2"/>
    <x v="0"/>
    <x v="2"/>
    <x v="0"/>
    <s v="Rendah"/>
    <x v="1"/>
    <s v="sangat rendah"/>
  </r>
  <r>
    <s v="ORD00237"/>
    <x v="1768"/>
    <s v="Clara Ananda"/>
    <x v="4"/>
    <x v="0"/>
    <n v="16000"/>
    <n v="4"/>
    <n v="0"/>
    <n v="64000"/>
    <n v="0"/>
    <n v="64000"/>
    <n v="0"/>
    <n v="64000"/>
    <x v="3"/>
    <x v="2"/>
    <x v="3"/>
    <x v="3"/>
    <x v="0"/>
    <s v="Bagus"/>
    <x v="1"/>
    <s v="sangat rendah"/>
  </r>
  <r>
    <s v="ORD00800"/>
    <x v="1769"/>
    <s v="Kartika Ananda"/>
    <x v="23"/>
    <x v="12"/>
    <n v="25000"/>
    <n v="5"/>
    <n v="15"/>
    <n v="125000"/>
    <n v="18750"/>
    <n v="106250"/>
    <n v="49000"/>
    <n v="155250"/>
    <x v="1"/>
    <x v="4"/>
    <x v="4"/>
    <x v="1"/>
    <x v="0"/>
    <s v="Rendah"/>
    <x v="2"/>
    <s v="normal"/>
  </r>
  <r>
    <s v="ORD01544"/>
    <x v="1770"/>
    <s v="Hana Wijaya"/>
    <x v="13"/>
    <x v="17"/>
    <n v="15000"/>
    <n v="2"/>
    <n v="20"/>
    <n v="30000"/>
    <n v="6000"/>
    <n v="24000"/>
    <n v="87000"/>
    <n v="111000"/>
    <x v="3"/>
    <x v="2"/>
    <x v="3"/>
    <x v="4"/>
    <x v="0"/>
    <s v="Bagus"/>
    <x v="0"/>
    <s v="rendah"/>
  </r>
  <r>
    <s v="ORD00741"/>
    <x v="1771"/>
    <s v="Bella Ananda"/>
    <x v="18"/>
    <x v="2"/>
    <n v="5000"/>
    <n v="5"/>
    <n v="15"/>
    <n v="25000"/>
    <n v="3750"/>
    <n v="21250"/>
    <n v="43000"/>
    <n v="64250"/>
    <x v="3"/>
    <x v="2"/>
    <x v="3"/>
    <x v="1"/>
    <x v="0"/>
    <s v="Rendah"/>
    <x v="1"/>
    <s v="sangat rendah"/>
  </r>
  <r>
    <s v="ORD01781"/>
    <x v="1772"/>
    <s v="Galih Iskandar"/>
    <x v="36"/>
    <x v="22"/>
    <n v="18000"/>
    <n v="5"/>
    <n v="20"/>
    <n v="90000"/>
    <n v="18000"/>
    <n v="72000"/>
    <n v="49000"/>
    <n v="121000"/>
    <x v="0"/>
    <x v="2"/>
    <x v="4"/>
    <x v="3"/>
    <x v="1"/>
    <s v="Bagus"/>
    <x v="2"/>
    <s v="normal"/>
  </r>
  <r>
    <s v="ORD00197"/>
    <x v="1773"/>
    <s v="Vina Fauziah"/>
    <x v="32"/>
    <x v="2"/>
    <n v="5000"/>
    <n v="3"/>
    <n v="10"/>
    <n v="15000"/>
    <n v="1500"/>
    <n v="13500"/>
    <n v="59000"/>
    <n v="72500"/>
    <x v="0"/>
    <x v="4"/>
    <x v="1"/>
    <x v="0"/>
    <x v="0"/>
    <s v="Standar"/>
    <x v="1"/>
    <s v="sangat rendah"/>
  </r>
  <r>
    <s v="ORD00885"/>
    <x v="1774"/>
    <s v="Citra Budiman"/>
    <x v="4"/>
    <x v="19"/>
    <n v="35000"/>
    <n v="5"/>
    <n v="0"/>
    <n v="175000"/>
    <n v="0"/>
    <n v="175000"/>
    <n v="0"/>
    <n v="175000"/>
    <x v="1"/>
    <x v="2"/>
    <x v="0"/>
    <x v="2"/>
    <x v="0"/>
    <s v="Rendah"/>
    <x v="1"/>
    <s v="sangat rendah"/>
  </r>
  <r>
    <s v="ORD01420"/>
    <x v="1775"/>
    <s v="Ani Wijaya"/>
    <x v="25"/>
    <x v="20"/>
    <n v="40000"/>
    <n v="5"/>
    <n v="5"/>
    <n v="200000"/>
    <n v="10000"/>
    <n v="190000"/>
    <n v="48000"/>
    <n v="238000"/>
    <x v="0"/>
    <x v="2"/>
    <x v="3"/>
    <x v="3"/>
    <x v="0"/>
    <s v="Bagus"/>
    <x v="0"/>
    <s v="rendah"/>
  </r>
  <r>
    <s v="ORD00928"/>
    <x v="1776"/>
    <s v="Clara Utami"/>
    <x v="31"/>
    <x v="12"/>
    <n v="25000"/>
    <n v="5"/>
    <n v="5"/>
    <n v="125000"/>
    <n v="6250"/>
    <n v="118750"/>
    <n v="18000"/>
    <n v="136750"/>
    <x v="1"/>
    <x v="2"/>
    <x v="1"/>
    <x v="0"/>
    <x v="0"/>
    <s v="Standar"/>
    <x v="0"/>
    <s v="rendah"/>
  </r>
  <r>
    <s v="ORD00062"/>
    <x v="1777"/>
    <s v="Arif Iskandar"/>
    <x v="37"/>
    <x v="25"/>
    <n v="40000"/>
    <n v="4"/>
    <n v="10"/>
    <n v="160000"/>
    <n v="16000"/>
    <n v="144000"/>
    <n v="57000"/>
    <n v="201000"/>
    <x v="0"/>
    <x v="2"/>
    <x v="3"/>
    <x v="2"/>
    <x v="1"/>
    <s v="Rendah"/>
    <x v="2"/>
    <s v="normal"/>
  </r>
  <r>
    <s v="ORD00624"/>
    <x v="1778"/>
    <s v="Clara Budiman"/>
    <x v="24"/>
    <x v="12"/>
    <n v="25000"/>
    <n v="2"/>
    <n v="5"/>
    <n v="50000"/>
    <n v="2500"/>
    <n v="47500"/>
    <n v="93000"/>
    <n v="140500"/>
    <x v="3"/>
    <x v="2"/>
    <x v="2"/>
    <x v="0"/>
    <x v="0"/>
    <s v="Standar"/>
    <x v="1"/>
    <s v="sangat rendah"/>
  </r>
  <r>
    <s v="ORD01169"/>
    <x v="1779"/>
    <s v="Clara Kusuma"/>
    <x v="30"/>
    <x v="18"/>
    <n v="16000"/>
    <n v="4"/>
    <n v="20"/>
    <n v="64000"/>
    <n v="12800"/>
    <n v="51200"/>
    <n v="97000"/>
    <n v="148200"/>
    <x v="3"/>
    <x v="2"/>
    <x v="1"/>
    <x v="1"/>
    <x v="0"/>
    <s v="Rendah"/>
    <x v="2"/>
    <s v="normal"/>
  </r>
  <r>
    <s v="ORD01233"/>
    <x v="1780"/>
    <s v="Putri Ananda"/>
    <x v="2"/>
    <x v="16"/>
    <n v="28000"/>
    <n v="3"/>
    <n v="20"/>
    <n v="84000"/>
    <n v="16800"/>
    <n v="67200"/>
    <n v="26000"/>
    <n v="93200"/>
    <x v="1"/>
    <x v="2"/>
    <x v="3"/>
    <x v="2"/>
    <x v="0"/>
    <s v="Rendah"/>
    <x v="2"/>
    <s v="normal"/>
  </r>
  <r>
    <s v="ORD00104"/>
    <x v="1781"/>
    <s v="Sari Syahputra"/>
    <x v="32"/>
    <x v="3"/>
    <n v="14000"/>
    <n v="3"/>
    <n v="15"/>
    <n v="42000"/>
    <n v="6300"/>
    <n v="35700"/>
    <n v="59000"/>
    <n v="94700"/>
    <x v="3"/>
    <x v="4"/>
    <x v="2"/>
    <x v="1"/>
    <x v="0"/>
    <s v="Rendah"/>
    <x v="0"/>
    <s v="rendah"/>
  </r>
  <r>
    <s v="ORD00104"/>
    <x v="1781"/>
    <s v="Sari Syahputra"/>
    <x v="32"/>
    <x v="15"/>
    <n v="4000"/>
    <n v="2"/>
    <n v="15"/>
    <n v="8000"/>
    <n v="1200"/>
    <n v="6800"/>
    <n v="0"/>
    <n v="6800"/>
    <x v="3"/>
    <x v="4"/>
    <x v="2"/>
    <x v="1"/>
    <x v="0"/>
    <s v="Rendah"/>
    <x v="1"/>
    <s v="sangat rendah"/>
  </r>
  <r>
    <s v="ORD01084"/>
    <x v="1782"/>
    <s v="Dewi Fauziah"/>
    <x v="18"/>
    <x v="22"/>
    <n v="18000"/>
    <n v="1"/>
    <n v="5"/>
    <n v="18000"/>
    <n v="900"/>
    <n v="17100"/>
    <n v="43000"/>
    <n v="60100"/>
    <x v="2"/>
    <x v="2"/>
    <x v="1"/>
    <x v="3"/>
    <x v="0"/>
    <s v="Bagus"/>
    <x v="1"/>
    <s v="sangat rendah"/>
  </r>
  <r>
    <s v="ORD01481"/>
    <x v="1783"/>
    <s v="Arif Iskandar"/>
    <x v="37"/>
    <x v="3"/>
    <n v="14000"/>
    <n v="5"/>
    <n v="20"/>
    <n v="70000"/>
    <n v="14000"/>
    <n v="56000"/>
    <n v="57000"/>
    <n v="113000"/>
    <x v="1"/>
    <x v="2"/>
    <x v="1"/>
    <x v="2"/>
    <x v="1"/>
    <s v="Rendah"/>
    <x v="2"/>
    <s v="normal"/>
  </r>
  <r>
    <s v="ORD01079"/>
    <x v="1784"/>
    <s v="Erna Hidayat"/>
    <x v="26"/>
    <x v="3"/>
    <n v="14000"/>
    <n v="5"/>
    <n v="5"/>
    <n v="70000"/>
    <n v="3500"/>
    <n v="66500"/>
    <n v="28000"/>
    <n v="94500"/>
    <x v="2"/>
    <x v="2"/>
    <x v="3"/>
    <x v="0"/>
    <x v="0"/>
    <s v="Standar"/>
    <x v="1"/>
    <s v="sangat rendah"/>
  </r>
  <r>
    <s v="ORD00828"/>
    <x v="1785"/>
    <s v="Budi Wijaya"/>
    <x v="34"/>
    <x v="19"/>
    <n v="35000"/>
    <n v="1"/>
    <n v="15"/>
    <n v="35000"/>
    <n v="5250"/>
    <n v="29750"/>
    <n v="80000"/>
    <n v="109750"/>
    <x v="2"/>
    <x v="2"/>
    <x v="2"/>
    <x v="4"/>
    <x v="1"/>
    <s v="Bagus"/>
    <x v="0"/>
    <s v="rendah"/>
  </r>
  <r>
    <s v="ORD01283"/>
    <x v="1786"/>
    <s v="Hendra Ramadhani"/>
    <x v="6"/>
    <x v="10"/>
    <n v="45000"/>
    <n v="2"/>
    <n v="15"/>
    <n v="90000"/>
    <n v="13500"/>
    <n v="76500"/>
    <n v="30000"/>
    <n v="106500"/>
    <x v="0"/>
    <x v="3"/>
    <x v="2"/>
    <x v="4"/>
    <x v="1"/>
    <s v="Bagus"/>
    <x v="2"/>
    <s v="normal"/>
  </r>
  <r>
    <s v="ORD01726"/>
    <x v="1787"/>
    <s v="Arif Iskandar"/>
    <x v="37"/>
    <x v="4"/>
    <n v="6000"/>
    <n v="5"/>
    <n v="20"/>
    <n v="30000"/>
    <n v="6000"/>
    <n v="24000"/>
    <n v="57000"/>
    <n v="81000"/>
    <x v="1"/>
    <x v="2"/>
    <x v="4"/>
    <x v="4"/>
    <x v="1"/>
    <s v="Bagus"/>
    <x v="0"/>
    <s v="rendah"/>
  </r>
  <r>
    <s v="ORD01377"/>
    <x v="1788"/>
    <s v="Aulia Santoso"/>
    <x v="26"/>
    <x v="12"/>
    <n v="25000"/>
    <n v="2"/>
    <n v="15"/>
    <n v="50000"/>
    <n v="7500"/>
    <n v="42500"/>
    <n v="28000"/>
    <n v="70500"/>
    <x v="3"/>
    <x v="2"/>
    <x v="0"/>
    <x v="0"/>
    <x v="0"/>
    <s v="Standar"/>
    <x v="0"/>
    <s v="rendah"/>
  </r>
  <r>
    <s v="ORD00521"/>
    <x v="1789"/>
    <s v="Tono Fauziah"/>
    <x v="37"/>
    <x v="6"/>
    <n v="55000"/>
    <n v="4"/>
    <n v="0"/>
    <n v="220000"/>
    <n v="0"/>
    <n v="220000"/>
    <n v="57000"/>
    <n v="277000"/>
    <x v="1"/>
    <x v="2"/>
    <x v="2"/>
    <x v="3"/>
    <x v="1"/>
    <s v="Bagus"/>
    <x v="1"/>
    <s v="sangat rendah"/>
  </r>
  <r>
    <s v="ORD00022"/>
    <x v="1790"/>
    <s v="Arif Santoso"/>
    <x v="3"/>
    <x v="15"/>
    <n v="4000"/>
    <n v="4"/>
    <n v="15"/>
    <n v="16000"/>
    <n v="2400"/>
    <n v="13600"/>
    <n v="18000"/>
    <n v="31600"/>
    <x v="3"/>
    <x v="2"/>
    <x v="2"/>
    <x v="2"/>
    <x v="1"/>
    <s v="Rendah"/>
    <x v="1"/>
    <s v="sangat rendah"/>
  </r>
  <r>
    <s v="ORD01395"/>
    <x v="1791"/>
    <s v="Putri Puspita"/>
    <x v="1"/>
    <x v="1"/>
    <n v="17000"/>
    <n v="4"/>
    <n v="5"/>
    <n v="68000"/>
    <n v="3400"/>
    <n v="64600"/>
    <n v="59000"/>
    <n v="123600"/>
    <x v="3"/>
    <x v="2"/>
    <x v="2"/>
    <x v="2"/>
    <x v="0"/>
    <s v="Rendah"/>
    <x v="1"/>
    <s v="sangat rendah"/>
  </r>
  <r>
    <s v="ORD00503"/>
    <x v="1792"/>
    <s v="Dina Kurniawan"/>
    <x v="13"/>
    <x v="21"/>
    <n v="10000"/>
    <n v="3"/>
    <n v="5"/>
    <n v="30000"/>
    <n v="1500"/>
    <n v="28500"/>
    <n v="87000"/>
    <n v="115500"/>
    <x v="1"/>
    <x v="3"/>
    <x v="1"/>
    <x v="1"/>
    <x v="0"/>
    <s v="Rendah"/>
    <x v="1"/>
    <s v="sangat rendah"/>
  </r>
  <r>
    <s v="ORD01576"/>
    <x v="1793"/>
    <s v="Putri Kurniawan"/>
    <x v="29"/>
    <x v="15"/>
    <n v="4000"/>
    <n v="3"/>
    <n v="10"/>
    <n v="12000"/>
    <n v="1200"/>
    <n v="10800"/>
    <n v="89000"/>
    <n v="99800"/>
    <x v="1"/>
    <x v="4"/>
    <x v="1"/>
    <x v="3"/>
    <x v="0"/>
    <s v="Bagus"/>
    <x v="1"/>
    <s v="sangat rendah"/>
  </r>
  <r>
    <s v="ORD01059"/>
    <x v="1794"/>
    <s v="Tono Saputra"/>
    <x v="37"/>
    <x v="3"/>
    <n v="14000"/>
    <n v="4"/>
    <n v="10"/>
    <n v="56000"/>
    <n v="5600"/>
    <n v="50400"/>
    <n v="57000"/>
    <n v="107400"/>
    <x v="0"/>
    <x v="2"/>
    <x v="3"/>
    <x v="3"/>
    <x v="1"/>
    <s v="Bagus"/>
    <x v="0"/>
    <s v="rendah"/>
  </r>
  <r>
    <s v="ORD00193"/>
    <x v="1795"/>
    <s v="Aulia Iskandar"/>
    <x v="12"/>
    <x v="3"/>
    <n v="14000"/>
    <n v="4"/>
    <n v="20"/>
    <n v="56000"/>
    <n v="11200"/>
    <n v="44800"/>
    <n v="74000"/>
    <n v="118800"/>
    <x v="0"/>
    <x v="2"/>
    <x v="1"/>
    <x v="2"/>
    <x v="0"/>
    <s v="Rendah"/>
    <x v="2"/>
    <s v="normal"/>
  </r>
  <r>
    <s v="ORD00193"/>
    <x v="1795"/>
    <s v="Aulia Iskandar"/>
    <x v="12"/>
    <x v="0"/>
    <n v="16000"/>
    <n v="4"/>
    <n v="15"/>
    <n v="64000"/>
    <n v="9600"/>
    <n v="54400"/>
    <n v="0"/>
    <n v="54400"/>
    <x v="0"/>
    <x v="2"/>
    <x v="1"/>
    <x v="2"/>
    <x v="0"/>
    <s v="Rendah"/>
    <x v="0"/>
    <s v="rendah"/>
  </r>
  <r>
    <s v="ORD00862"/>
    <x v="1796"/>
    <s v="Eka Hidayat"/>
    <x v="18"/>
    <x v="19"/>
    <n v="35000"/>
    <n v="5"/>
    <n v="10"/>
    <n v="175000"/>
    <n v="17500"/>
    <n v="157500"/>
    <n v="43000"/>
    <n v="200500"/>
    <x v="1"/>
    <x v="2"/>
    <x v="3"/>
    <x v="1"/>
    <x v="0"/>
    <s v="Rendah"/>
    <x v="2"/>
    <s v="normal"/>
  </r>
  <r>
    <s v="ORD00686"/>
    <x v="1797"/>
    <s v="Lestari Ramadhani"/>
    <x v="27"/>
    <x v="9"/>
    <n v="35000"/>
    <n v="5"/>
    <n v="10"/>
    <n v="175000"/>
    <n v="17500"/>
    <n v="157500"/>
    <n v="18000"/>
    <n v="175500"/>
    <x v="1"/>
    <x v="2"/>
    <x v="1"/>
    <x v="1"/>
    <x v="0"/>
    <s v="Rendah"/>
    <x v="2"/>
    <s v="normal"/>
  </r>
  <r>
    <s v="ORD01151"/>
    <x v="1798"/>
    <s v="Dina Setiawan"/>
    <x v="14"/>
    <x v="23"/>
    <n v="45000"/>
    <n v="1"/>
    <n v="15"/>
    <n v="45000"/>
    <n v="6750"/>
    <n v="38250"/>
    <n v="46000"/>
    <n v="84250"/>
    <x v="2"/>
    <x v="2"/>
    <x v="4"/>
    <x v="3"/>
    <x v="0"/>
    <s v="Bagus"/>
    <x v="0"/>
    <s v="rendah"/>
  </r>
  <r>
    <s v="ORD00701"/>
    <x v="1799"/>
    <s v="Lestari Kusuma"/>
    <x v="17"/>
    <x v="26"/>
    <n v="16000"/>
    <n v="2"/>
    <n v="20"/>
    <n v="32000"/>
    <n v="6400"/>
    <n v="25600"/>
    <n v="50000"/>
    <n v="75600"/>
    <x v="3"/>
    <x v="2"/>
    <x v="1"/>
    <x v="3"/>
    <x v="0"/>
    <s v="Bagus"/>
    <x v="0"/>
    <s v="rendah"/>
  </r>
  <r>
    <s v="ORD01113"/>
    <x v="1800"/>
    <s v="Citra Kurniawan"/>
    <x v="32"/>
    <x v="8"/>
    <n v="14000"/>
    <n v="4"/>
    <n v="20"/>
    <n v="56000"/>
    <n v="11200"/>
    <n v="44800"/>
    <n v="59000"/>
    <n v="103800"/>
    <x v="1"/>
    <x v="2"/>
    <x v="4"/>
    <x v="3"/>
    <x v="0"/>
    <s v="Bagus"/>
    <x v="2"/>
    <s v="normal"/>
  </r>
  <r>
    <s v="ORD00433"/>
    <x v="1801"/>
    <s v="Bella Ramadhani"/>
    <x v="20"/>
    <x v="20"/>
    <n v="40000"/>
    <n v="4"/>
    <n v="10"/>
    <n v="160000"/>
    <n v="16000"/>
    <n v="144000"/>
    <n v="85000"/>
    <n v="229000"/>
    <x v="0"/>
    <x v="2"/>
    <x v="1"/>
    <x v="0"/>
    <x v="0"/>
    <s v="Standar"/>
    <x v="2"/>
    <s v="normal"/>
  </r>
  <r>
    <s v="ORD00600"/>
    <x v="1802"/>
    <s v="Kartika Nugroho"/>
    <x v="18"/>
    <x v="17"/>
    <n v="15000"/>
    <n v="1"/>
    <n v="20"/>
    <n v="15000"/>
    <n v="3000"/>
    <n v="12000"/>
    <n v="43000"/>
    <n v="55000"/>
    <x v="3"/>
    <x v="2"/>
    <x v="0"/>
    <x v="0"/>
    <x v="0"/>
    <s v="Standar"/>
    <x v="1"/>
    <s v="sangat rendah"/>
  </r>
  <r>
    <s v="ORD00013"/>
    <x v="1803"/>
    <s v="Arif Rahmawati"/>
    <x v="17"/>
    <x v="2"/>
    <n v="5000"/>
    <n v="3"/>
    <n v="15"/>
    <n v="15000"/>
    <n v="2250"/>
    <n v="12750"/>
    <n v="50000"/>
    <n v="62750"/>
    <x v="3"/>
    <x v="2"/>
    <x v="1"/>
    <x v="3"/>
    <x v="1"/>
    <s v="Bagus"/>
    <x v="1"/>
    <s v="sangat rendah"/>
  </r>
  <r>
    <s v="ORD01042"/>
    <x v="1804"/>
    <s v="Vina Syahputra"/>
    <x v="23"/>
    <x v="26"/>
    <n v="16000"/>
    <n v="3"/>
    <n v="10"/>
    <n v="48000"/>
    <n v="4800"/>
    <n v="43200"/>
    <n v="49000"/>
    <n v="92200"/>
    <x v="3"/>
    <x v="2"/>
    <x v="1"/>
    <x v="1"/>
    <x v="0"/>
    <s v="Rendah"/>
    <x v="1"/>
    <s v="sangat rendah"/>
  </r>
  <r>
    <s v="ORD01356"/>
    <x v="1805"/>
    <s v="Bella Maulana"/>
    <x v="23"/>
    <x v="5"/>
    <n v="50000"/>
    <n v="5"/>
    <n v="10"/>
    <n v="250000"/>
    <n v="25000"/>
    <n v="225000"/>
    <n v="49000"/>
    <n v="274000"/>
    <x v="2"/>
    <x v="2"/>
    <x v="0"/>
    <x v="3"/>
    <x v="0"/>
    <s v="Bagus"/>
    <x v="4"/>
    <s v="tinggi"/>
  </r>
  <r>
    <s v="ORD00465"/>
    <x v="1806"/>
    <s v="Vina Maulana"/>
    <x v="7"/>
    <x v="16"/>
    <n v="28000"/>
    <n v="3"/>
    <n v="15"/>
    <n v="84000"/>
    <n v="12600"/>
    <n v="71400"/>
    <n v="15000"/>
    <n v="86400"/>
    <x v="3"/>
    <x v="2"/>
    <x v="4"/>
    <x v="0"/>
    <x v="0"/>
    <s v="Standar"/>
    <x v="2"/>
    <s v="normal"/>
  </r>
  <r>
    <s v="ORD00619"/>
    <x v="1807"/>
    <s v="Ani Fauziah"/>
    <x v="30"/>
    <x v="25"/>
    <n v="40000"/>
    <n v="1"/>
    <n v="15"/>
    <n v="40000"/>
    <n v="6000"/>
    <n v="34000"/>
    <n v="97000"/>
    <n v="131000"/>
    <x v="3"/>
    <x v="2"/>
    <x v="0"/>
    <x v="0"/>
    <x v="0"/>
    <s v="Standar"/>
    <x v="0"/>
    <s v="rendah"/>
  </r>
  <r>
    <s v="ORD01197"/>
    <x v="1808"/>
    <s v="Fitri Maulana"/>
    <x v="17"/>
    <x v="20"/>
    <n v="40000"/>
    <n v="2"/>
    <n v="20"/>
    <n v="80000"/>
    <n v="16000"/>
    <n v="64000"/>
    <n v="50000"/>
    <n v="114000"/>
    <x v="3"/>
    <x v="2"/>
    <x v="0"/>
    <x v="0"/>
    <x v="0"/>
    <s v="Standar"/>
    <x v="2"/>
    <s v="normal"/>
  </r>
  <r>
    <s v="ORD01646"/>
    <x v="1809"/>
    <s v="Dimas Utami"/>
    <x v="4"/>
    <x v="11"/>
    <n v="30000"/>
    <n v="1"/>
    <n v="5"/>
    <n v="30000"/>
    <n v="1500"/>
    <n v="28500"/>
    <n v="0"/>
    <n v="28500"/>
    <x v="2"/>
    <x v="3"/>
    <x v="3"/>
    <x v="0"/>
    <x v="1"/>
    <s v="Standar"/>
    <x v="1"/>
    <s v="sangat rendah"/>
  </r>
  <r>
    <s v="ORD01716"/>
    <x v="1810"/>
    <s v="Hana Halim"/>
    <x v="13"/>
    <x v="0"/>
    <n v="16000"/>
    <n v="4"/>
    <n v="20"/>
    <n v="64000"/>
    <n v="12800"/>
    <n v="51200"/>
    <n v="87000"/>
    <n v="138200"/>
    <x v="0"/>
    <x v="4"/>
    <x v="4"/>
    <x v="2"/>
    <x v="0"/>
    <s v="Rendah"/>
    <x v="2"/>
    <s v="normal"/>
  </r>
  <r>
    <s v="ORD00562"/>
    <x v="1811"/>
    <s v="Sari Puspita"/>
    <x v="30"/>
    <x v="2"/>
    <n v="5000"/>
    <n v="2"/>
    <n v="20"/>
    <n v="10000"/>
    <n v="2000"/>
    <n v="8000"/>
    <n v="97000"/>
    <n v="105000"/>
    <x v="2"/>
    <x v="2"/>
    <x v="3"/>
    <x v="1"/>
    <x v="0"/>
    <s v="Rendah"/>
    <x v="1"/>
    <s v="sangat rendah"/>
  </r>
  <r>
    <s v="ORD01763"/>
    <x v="1812"/>
    <s v="Fitri Wijaya"/>
    <x v="37"/>
    <x v="19"/>
    <n v="35000"/>
    <n v="5"/>
    <n v="5"/>
    <n v="175000"/>
    <n v="8750"/>
    <n v="166250"/>
    <n v="57000"/>
    <n v="223250"/>
    <x v="3"/>
    <x v="4"/>
    <x v="4"/>
    <x v="1"/>
    <x v="0"/>
    <s v="Rendah"/>
    <x v="0"/>
    <s v="rendah"/>
  </r>
  <r>
    <s v="ORD01796"/>
    <x v="1813"/>
    <s v="Qori Halim"/>
    <x v="23"/>
    <x v="23"/>
    <n v="45000"/>
    <n v="1"/>
    <n v="15"/>
    <n v="45000"/>
    <n v="6750"/>
    <n v="38250"/>
    <n v="49000"/>
    <n v="87250"/>
    <x v="2"/>
    <x v="4"/>
    <x v="0"/>
    <x v="4"/>
    <x v="0"/>
    <s v="Bagus"/>
    <x v="0"/>
    <s v="rendah"/>
  </r>
  <r>
    <s v="ORD01145"/>
    <x v="1814"/>
    <s v="Lestari Budiman"/>
    <x v="20"/>
    <x v="6"/>
    <n v="55000"/>
    <n v="1"/>
    <n v="15"/>
    <n v="55000"/>
    <n v="8250"/>
    <n v="46750"/>
    <n v="85000"/>
    <n v="131750"/>
    <x v="0"/>
    <x v="2"/>
    <x v="3"/>
    <x v="1"/>
    <x v="0"/>
    <s v="Rendah"/>
    <x v="0"/>
    <s v="rendah"/>
  </r>
  <r>
    <s v="ORD00689"/>
    <x v="1815"/>
    <s v="Ani Wijaya"/>
    <x v="25"/>
    <x v="20"/>
    <n v="40000"/>
    <n v="1"/>
    <n v="10"/>
    <n v="40000"/>
    <n v="4000"/>
    <n v="36000"/>
    <n v="48000"/>
    <n v="84000"/>
    <x v="3"/>
    <x v="2"/>
    <x v="0"/>
    <x v="1"/>
    <x v="0"/>
    <s v="Rendah"/>
    <x v="1"/>
    <s v="sangat rendah"/>
  </r>
  <r>
    <s v="ORD00958"/>
    <x v="1816"/>
    <s v="Bella Iskandar"/>
    <x v="1"/>
    <x v="6"/>
    <n v="55000"/>
    <n v="5"/>
    <n v="10"/>
    <n v="275000"/>
    <n v="27500"/>
    <n v="247500"/>
    <n v="59000"/>
    <n v="306500"/>
    <x v="1"/>
    <x v="2"/>
    <x v="0"/>
    <x v="3"/>
    <x v="0"/>
    <s v="Bagus"/>
    <x v="4"/>
    <s v="tinggi"/>
  </r>
  <r>
    <s v="ORD01190"/>
    <x v="1817"/>
    <s v="Dina Syahputra"/>
    <x v="11"/>
    <x v="0"/>
    <n v="16000"/>
    <n v="5"/>
    <n v="15"/>
    <n v="80000"/>
    <n v="12000"/>
    <n v="68000"/>
    <n v="56000"/>
    <n v="124000"/>
    <x v="0"/>
    <x v="2"/>
    <x v="0"/>
    <x v="1"/>
    <x v="0"/>
    <s v="Rendah"/>
    <x v="2"/>
    <s v="normal"/>
  </r>
  <r>
    <s v="ORD00369"/>
    <x v="1818"/>
    <s v="Eka Puspita"/>
    <x v="36"/>
    <x v="15"/>
    <n v="4000"/>
    <n v="3"/>
    <n v="10"/>
    <n v="12000"/>
    <n v="1200"/>
    <n v="10800"/>
    <n v="49000"/>
    <n v="59800"/>
    <x v="0"/>
    <x v="2"/>
    <x v="0"/>
    <x v="2"/>
    <x v="0"/>
    <s v="Rendah"/>
    <x v="1"/>
    <s v="sangat rendah"/>
  </r>
  <r>
    <s v="ORD00369"/>
    <x v="1818"/>
    <s v="Eka Puspita"/>
    <x v="36"/>
    <x v="21"/>
    <n v="10000"/>
    <n v="4"/>
    <n v="5"/>
    <n v="40000"/>
    <n v="2000"/>
    <n v="38000"/>
    <n v="0"/>
    <n v="38000"/>
    <x v="0"/>
    <x v="2"/>
    <x v="0"/>
    <x v="2"/>
    <x v="0"/>
    <s v="Rendah"/>
    <x v="1"/>
    <s v="sangat rendah"/>
  </r>
  <r>
    <s v="ORD01560"/>
    <x v="1819"/>
    <s v="Dewi Santoso"/>
    <x v="14"/>
    <x v="20"/>
    <n v="40000"/>
    <n v="4"/>
    <n v="10"/>
    <n v="160000"/>
    <n v="16000"/>
    <n v="144000"/>
    <n v="46000"/>
    <n v="190000"/>
    <x v="2"/>
    <x v="2"/>
    <x v="0"/>
    <x v="3"/>
    <x v="0"/>
    <s v="Bagus"/>
    <x v="2"/>
    <s v="normal"/>
  </r>
  <r>
    <s v="ORD00218"/>
    <x v="1820"/>
    <s v="Eka Halim"/>
    <x v="24"/>
    <x v="26"/>
    <n v="16000"/>
    <n v="5"/>
    <n v="5"/>
    <n v="80000"/>
    <n v="4000"/>
    <n v="76000"/>
    <n v="93000"/>
    <n v="169000"/>
    <x v="2"/>
    <x v="3"/>
    <x v="0"/>
    <x v="3"/>
    <x v="0"/>
    <s v="Bagus"/>
    <x v="1"/>
    <s v="sangat rendah"/>
  </r>
  <r>
    <s v="ORD01047"/>
    <x v="1821"/>
    <s v="Gita Ramadhani"/>
    <x v="17"/>
    <x v="25"/>
    <n v="40000"/>
    <n v="3"/>
    <n v="0"/>
    <n v="120000"/>
    <n v="0"/>
    <n v="120000"/>
    <n v="50000"/>
    <n v="170000"/>
    <x v="0"/>
    <x v="2"/>
    <x v="3"/>
    <x v="4"/>
    <x v="0"/>
    <s v="Bagus"/>
    <x v="1"/>
    <s v="sangat rendah"/>
  </r>
  <r>
    <s v="ORD00498"/>
    <x v="1822"/>
    <s v="Citra Rahmawati"/>
    <x v="16"/>
    <x v="18"/>
    <n v="16000"/>
    <n v="3"/>
    <n v="5"/>
    <n v="48000"/>
    <n v="2400"/>
    <n v="45600"/>
    <n v="50000"/>
    <n v="95600"/>
    <x v="2"/>
    <x v="2"/>
    <x v="4"/>
    <x v="3"/>
    <x v="0"/>
    <s v="Bagus"/>
    <x v="1"/>
    <s v="sangat rendah"/>
  </r>
  <r>
    <s v="ORD00857"/>
    <x v="1823"/>
    <s v="Aulia Fauziah"/>
    <x v="33"/>
    <x v="15"/>
    <n v="4000"/>
    <n v="1"/>
    <n v="5"/>
    <n v="4000"/>
    <n v="200"/>
    <n v="3800"/>
    <n v="68000"/>
    <n v="71800"/>
    <x v="2"/>
    <x v="2"/>
    <x v="0"/>
    <x v="2"/>
    <x v="0"/>
    <s v="Rendah"/>
    <x v="1"/>
    <s v="sangat rendah"/>
  </r>
  <r>
    <s v="ORD00695"/>
    <x v="1824"/>
    <s v="Dina Halim"/>
    <x v="7"/>
    <x v="18"/>
    <n v="16000"/>
    <n v="3"/>
    <n v="0"/>
    <n v="48000"/>
    <n v="0"/>
    <n v="48000"/>
    <n v="15000"/>
    <n v="63000"/>
    <x v="1"/>
    <x v="2"/>
    <x v="2"/>
    <x v="3"/>
    <x v="0"/>
    <s v="Bagus"/>
    <x v="1"/>
    <s v="sangat rendah"/>
  </r>
  <r>
    <s v="ORD00633"/>
    <x v="1825"/>
    <s v="Qori Syahputra"/>
    <x v="6"/>
    <x v="18"/>
    <n v="16000"/>
    <n v="5"/>
    <n v="10"/>
    <n v="80000"/>
    <n v="8000"/>
    <n v="72000"/>
    <n v="30000"/>
    <n v="102000"/>
    <x v="0"/>
    <x v="2"/>
    <x v="0"/>
    <x v="0"/>
    <x v="0"/>
    <s v="Standar"/>
    <x v="0"/>
    <s v="rendah"/>
  </r>
  <r>
    <s v="ORD01693"/>
    <x v="1826"/>
    <s v="Andi Setiawan"/>
    <x v="20"/>
    <x v="5"/>
    <n v="50000"/>
    <n v="1"/>
    <n v="10"/>
    <n v="50000"/>
    <n v="5000"/>
    <n v="45000"/>
    <n v="85000"/>
    <n v="130000"/>
    <x v="3"/>
    <x v="2"/>
    <x v="2"/>
    <x v="1"/>
    <x v="1"/>
    <s v="Rendah"/>
    <x v="1"/>
    <s v="sangat rendah"/>
  </r>
  <r>
    <s v="ORD00543"/>
    <x v="1827"/>
    <s v="Yoga Utami"/>
    <x v="19"/>
    <x v="12"/>
    <n v="25000"/>
    <n v="5"/>
    <n v="0"/>
    <n v="125000"/>
    <n v="0"/>
    <n v="125000"/>
    <n v="55000"/>
    <n v="180000"/>
    <x v="3"/>
    <x v="4"/>
    <x v="2"/>
    <x v="0"/>
    <x v="1"/>
    <s v="Standar"/>
    <x v="1"/>
    <s v="sangat rendah"/>
  </r>
  <r>
    <s v="ORD00452"/>
    <x v="1828"/>
    <s v="Aulia Rahmawati"/>
    <x v="8"/>
    <x v="5"/>
    <n v="50000"/>
    <n v="5"/>
    <n v="15"/>
    <n v="250000"/>
    <n v="37500"/>
    <n v="212500"/>
    <n v="87000"/>
    <n v="299500"/>
    <x v="2"/>
    <x v="4"/>
    <x v="0"/>
    <x v="1"/>
    <x v="0"/>
    <s v="Rendah"/>
    <x v="3"/>
    <s v="sangat tinggi"/>
  </r>
  <r>
    <s v="ORD01454"/>
    <x v="1829"/>
    <s v="Hendra Ramadhani"/>
    <x v="6"/>
    <x v="6"/>
    <n v="55000"/>
    <n v="4"/>
    <n v="5"/>
    <n v="220000"/>
    <n v="11000"/>
    <n v="209000"/>
    <n v="30000"/>
    <n v="239000"/>
    <x v="1"/>
    <x v="2"/>
    <x v="1"/>
    <x v="4"/>
    <x v="1"/>
    <s v="Bagus"/>
    <x v="2"/>
    <s v="normal"/>
  </r>
  <r>
    <s v="ORD01559"/>
    <x v="1830"/>
    <s v="Citra Iskandar"/>
    <x v="17"/>
    <x v="14"/>
    <n v="18000"/>
    <n v="1"/>
    <n v="5"/>
    <n v="18000"/>
    <n v="900"/>
    <n v="17100"/>
    <n v="50000"/>
    <n v="67100"/>
    <x v="0"/>
    <x v="4"/>
    <x v="1"/>
    <x v="3"/>
    <x v="0"/>
    <s v="Bagus"/>
    <x v="1"/>
    <s v="sangat rendah"/>
  </r>
  <r>
    <s v="ORD01128"/>
    <x v="1831"/>
    <s v="Putri Wijaya"/>
    <x v="6"/>
    <x v="4"/>
    <n v="6000"/>
    <n v="5"/>
    <n v="15"/>
    <n v="30000"/>
    <n v="4500"/>
    <n v="25500"/>
    <n v="30000"/>
    <n v="55500"/>
    <x v="2"/>
    <x v="4"/>
    <x v="4"/>
    <x v="1"/>
    <x v="0"/>
    <s v="Rendah"/>
    <x v="1"/>
    <s v="sangat rendah"/>
  </r>
  <r>
    <s v="ORD00390"/>
    <x v="1832"/>
    <s v="Sari Hidayat"/>
    <x v="35"/>
    <x v="12"/>
    <n v="25000"/>
    <n v="5"/>
    <n v="20"/>
    <n v="125000"/>
    <n v="25000"/>
    <n v="100000"/>
    <n v="76000"/>
    <n v="176000"/>
    <x v="1"/>
    <x v="4"/>
    <x v="3"/>
    <x v="3"/>
    <x v="0"/>
    <s v="Bagus"/>
    <x v="4"/>
    <s v="tinggi"/>
  </r>
  <r>
    <s v="ORD00390"/>
    <x v="1832"/>
    <s v="Sari Hidayat"/>
    <x v="35"/>
    <x v="1"/>
    <n v="17000"/>
    <n v="2"/>
    <n v="5"/>
    <n v="34000"/>
    <n v="1700"/>
    <n v="32300"/>
    <n v="0"/>
    <n v="32300"/>
    <x v="1"/>
    <x v="4"/>
    <x v="3"/>
    <x v="3"/>
    <x v="0"/>
    <s v="Bagus"/>
    <x v="1"/>
    <s v="sangat rendah"/>
  </r>
  <r>
    <s v="ORD00189"/>
    <x v="1833"/>
    <s v="Fitri Ananda"/>
    <x v="15"/>
    <x v="7"/>
    <n v="12000"/>
    <n v="5"/>
    <n v="15"/>
    <n v="60000"/>
    <n v="9000"/>
    <n v="51000"/>
    <n v="17000"/>
    <n v="68000"/>
    <x v="0"/>
    <x v="2"/>
    <x v="1"/>
    <x v="2"/>
    <x v="0"/>
    <s v="Rendah"/>
    <x v="0"/>
    <s v="rendah"/>
  </r>
  <r>
    <s v="ORD00179"/>
    <x v="1834"/>
    <s v="Sari Hidayat"/>
    <x v="35"/>
    <x v="11"/>
    <n v="30000"/>
    <n v="2"/>
    <n v="10"/>
    <n v="60000"/>
    <n v="6000"/>
    <n v="54000"/>
    <n v="76000"/>
    <n v="130000"/>
    <x v="0"/>
    <x v="2"/>
    <x v="2"/>
    <x v="4"/>
    <x v="0"/>
    <s v="Bagus"/>
    <x v="0"/>
    <s v="rendah"/>
  </r>
  <r>
    <s v="ORD00179"/>
    <x v="1834"/>
    <s v="Sari Hidayat"/>
    <x v="35"/>
    <x v="11"/>
    <n v="30000"/>
    <n v="5"/>
    <n v="10"/>
    <n v="150000"/>
    <n v="15000"/>
    <n v="135000"/>
    <n v="0"/>
    <n v="135000"/>
    <x v="0"/>
    <x v="2"/>
    <x v="2"/>
    <x v="4"/>
    <x v="0"/>
    <s v="Bagus"/>
    <x v="2"/>
    <s v="normal"/>
  </r>
  <r>
    <s v="ORD01550"/>
    <x v="1835"/>
    <s v="Dina Budiman"/>
    <x v="32"/>
    <x v="15"/>
    <n v="4000"/>
    <n v="3"/>
    <n v="10"/>
    <n v="12000"/>
    <n v="1200"/>
    <n v="10800"/>
    <n v="59000"/>
    <n v="69800"/>
    <x v="3"/>
    <x v="2"/>
    <x v="4"/>
    <x v="1"/>
    <x v="0"/>
    <s v="Rendah"/>
    <x v="1"/>
    <s v="sangat rendah"/>
  </r>
  <r>
    <s v="ORD00811"/>
    <x v="1836"/>
    <s v="Nanda Iskandar"/>
    <x v="20"/>
    <x v="10"/>
    <n v="45000"/>
    <n v="5"/>
    <n v="10"/>
    <n v="225000"/>
    <n v="22500"/>
    <n v="202500"/>
    <n v="85000"/>
    <n v="287500"/>
    <x v="1"/>
    <x v="2"/>
    <x v="4"/>
    <x v="3"/>
    <x v="1"/>
    <s v="Bagus"/>
    <x v="4"/>
    <s v="tinggi"/>
  </r>
  <r>
    <s v="ORD01414"/>
    <x v="1837"/>
    <s v="Eka Ananda"/>
    <x v="10"/>
    <x v="8"/>
    <n v="14000"/>
    <n v="1"/>
    <n v="0"/>
    <n v="14000"/>
    <n v="0"/>
    <n v="14000"/>
    <n v="84000"/>
    <n v="98000"/>
    <x v="3"/>
    <x v="2"/>
    <x v="3"/>
    <x v="2"/>
    <x v="0"/>
    <s v="Rendah"/>
    <x v="1"/>
    <s v="sangat rendah"/>
  </r>
  <r>
    <s v="ORD01507"/>
    <x v="1838"/>
    <s v="Vina Kurniawan"/>
    <x v="5"/>
    <x v="24"/>
    <n v="22000"/>
    <n v="4"/>
    <n v="10"/>
    <n v="88000"/>
    <n v="8800"/>
    <n v="79200"/>
    <n v="78000"/>
    <n v="157200"/>
    <x v="3"/>
    <x v="3"/>
    <x v="4"/>
    <x v="0"/>
    <x v="0"/>
    <s v="Standar"/>
    <x v="0"/>
    <s v="rendah"/>
  </r>
  <r>
    <s v="ORD00933"/>
    <x v="1839"/>
    <s v="Lestari Wijaya"/>
    <x v="4"/>
    <x v="6"/>
    <n v="55000"/>
    <n v="2"/>
    <n v="0"/>
    <n v="110000"/>
    <n v="0"/>
    <n v="110000"/>
    <n v="0"/>
    <n v="110000"/>
    <x v="0"/>
    <x v="2"/>
    <x v="3"/>
    <x v="1"/>
    <x v="0"/>
    <s v="Rendah"/>
    <x v="1"/>
    <s v="sangat rendah"/>
  </r>
  <r>
    <s v="ORD00403"/>
    <x v="1840"/>
    <s v="Zahra Rahmawati"/>
    <x v="21"/>
    <x v="8"/>
    <n v="14000"/>
    <n v="3"/>
    <n v="15"/>
    <n v="42000"/>
    <n v="6300"/>
    <n v="35700"/>
    <n v="72000"/>
    <n v="107700"/>
    <x v="2"/>
    <x v="2"/>
    <x v="4"/>
    <x v="3"/>
    <x v="0"/>
    <s v="Bagus"/>
    <x v="0"/>
    <s v="rendah"/>
  </r>
  <r>
    <s v="ORD00239"/>
    <x v="1841"/>
    <s v="Vina Puspita"/>
    <x v="3"/>
    <x v="10"/>
    <n v="45000"/>
    <n v="3"/>
    <n v="0"/>
    <n v="135000"/>
    <n v="0"/>
    <n v="135000"/>
    <n v="18000"/>
    <n v="153000"/>
    <x v="3"/>
    <x v="2"/>
    <x v="3"/>
    <x v="2"/>
    <x v="0"/>
    <s v="Rendah"/>
    <x v="1"/>
    <s v="sangat rendah"/>
  </r>
  <r>
    <s v="ORD01671"/>
    <x v="1842"/>
    <s v="Vina Budiman"/>
    <x v="18"/>
    <x v="4"/>
    <n v="6000"/>
    <n v="4"/>
    <n v="5"/>
    <n v="24000"/>
    <n v="1200"/>
    <n v="22800"/>
    <n v="43000"/>
    <n v="65800"/>
    <x v="0"/>
    <x v="2"/>
    <x v="0"/>
    <x v="3"/>
    <x v="0"/>
    <s v="Bagus"/>
    <x v="1"/>
    <s v="sangat rendah"/>
  </r>
  <r>
    <s v="ORD01529"/>
    <x v="1843"/>
    <s v="Hana Budiman"/>
    <x v="30"/>
    <x v="0"/>
    <n v="16000"/>
    <n v="4"/>
    <n v="5"/>
    <n v="64000"/>
    <n v="3200"/>
    <n v="60800"/>
    <n v="97000"/>
    <n v="157800"/>
    <x v="2"/>
    <x v="2"/>
    <x v="2"/>
    <x v="2"/>
    <x v="0"/>
    <s v="Rendah"/>
    <x v="1"/>
    <s v="sangat rendah"/>
  </r>
  <r>
    <s v="ORD01668"/>
    <x v="1844"/>
    <s v="Bella Ramadhani"/>
    <x v="20"/>
    <x v="11"/>
    <n v="30000"/>
    <n v="1"/>
    <n v="10"/>
    <n v="30000"/>
    <n v="3000"/>
    <n v="27000"/>
    <n v="85000"/>
    <n v="112000"/>
    <x v="0"/>
    <x v="2"/>
    <x v="4"/>
    <x v="4"/>
    <x v="0"/>
    <s v="Bagus"/>
    <x v="1"/>
    <s v="sangat rendah"/>
  </r>
  <r>
    <s v="ORD01730"/>
    <x v="1845"/>
    <s v="Bella Rahmawati"/>
    <x v="1"/>
    <x v="20"/>
    <n v="40000"/>
    <n v="3"/>
    <n v="15"/>
    <n v="120000"/>
    <n v="18000"/>
    <n v="102000"/>
    <n v="59000"/>
    <n v="161000"/>
    <x v="3"/>
    <x v="4"/>
    <x v="3"/>
    <x v="0"/>
    <x v="0"/>
    <s v="Standar"/>
    <x v="2"/>
    <s v="normal"/>
  </r>
  <r>
    <s v="ORD00181"/>
    <x v="1846"/>
    <s v="Gita Hidayat"/>
    <x v="6"/>
    <x v="25"/>
    <n v="40000"/>
    <n v="4"/>
    <n v="10"/>
    <n v="160000"/>
    <n v="16000"/>
    <n v="144000"/>
    <n v="30000"/>
    <n v="174000"/>
    <x v="3"/>
    <x v="2"/>
    <x v="1"/>
    <x v="4"/>
    <x v="0"/>
    <s v="Bagus"/>
    <x v="2"/>
    <s v="normal"/>
  </r>
  <r>
    <s v="ORD01060"/>
    <x v="1847"/>
    <s v="Qori Halim"/>
    <x v="23"/>
    <x v="0"/>
    <n v="16000"/>
    <n v="2"/>
    <n v="20"/>
    <n v="32000"/>
    <n v="6400"/>
    <n v="25600"/>
    <n v="49000"/>
    <n v="74600"/>
    <x v="0"/>
    <x v="2"/>
    <x v="1"/>
    <x v="2"/>
    <x v="0"/>
    <s v="Rendah"/>
    <x v="0"/>
    <s v="rendah"/>
  </r>
  <r>
    <s v="ORD01160"/>
    <x v="1848"/>
    <s v="Yani Saputra"/>
    <x v="6"/>
    <x v="12"/>
    <n v="25000"/>
    <n v="5"/>
    <n v="10"/>
    <n v="125000"/>
    <n v="12500"/>
    <n v="112500"/>
    <n v="30000"/>
    <n v="142500"/>
    <x v="2"/>
    <x v="2"/>
    <x v="0"/>
    <x v="1"/>
    <x v="0"/>
    <s v="Rendah"/>
    <x v="2"/>
    <s v="normal"/>
  </r>
  <r>
    <s v="ORD01530"/>
    <x v="1849"/>
    <s v="Lestari Setiawan"/>
    <x v="2"/>
    <x v="15"/>
    <n v="4000"/>
    <n v="4"/>
    <n v="20"/>
    <n v="16000"/>
    <n v="3200"/>
    <n v="12800"/>
    <n v="26000"/>
    <n v="38800"/>
    <x v="3"/>
    <x v="2"/>
    <x v="2"/>
    <x v="3"/>
    <x v="0"/>
    <s v="Bagus"/>
    <x v="1"/>
    <s v="sangat rendah"/>
  </r>
  <r>
    <s v="ORD00559"/>
    <x v="1850"/>
    <s v="Qori Fauziah"/>
    <x v="12"/>
    <x v="3"/>
    <n v="14000"/>
    <n v="3"/>
    <n v="0"/>
    <n v="42000"/>
    <n v="0"/>
    <n v="42000"/>
    <n v="74000"/>
    <n v="116000"/>
    <x v="1"/>
    <x v="2"/>
    <x v="0"/>
    <x v="3"/>
    <x v="0"/>
    <s v="Bagus"/>
    <x v="1"/>
    <s v="sangat rendah"/>
  </r>
  <r>
    <s v="ORD00051"/>
    <x v="1851"/>
    <s v="Made Setiawan"/>
    <x v="22"/>
    <x v="9"/>
    <n v="35000"/>
    <n v="4"/>
    <n v="20"/>
    <n v="140000"/>
    <n v="28000"/>
    <n v="112000"/>
    <n v="80000"/>
    <n v="192000"/>
    <x v="0"/>
    <x v="2"/>
    <x v="1"/>
    <x v="1"/>
    <x v="1"/>
    <s v="Rendah"/>
    <x v="4"/>
    <s v="tinggi"/>
  </r>
  <r>
    <s v="ORD00946"/>
    <x v="1852"/>
    <s v="Aulia Iskandar"/>
    <x v="12"/>
    <x v="13"/>
    <n v="17000"/>
    <n v="5"/>
    <n v="20"/>
    <n v="85000"/>
    <n v="17000"/>
    <n v="68000"/>
    <n v="74000"/>
    <n v="142000"/>
    <x v="3"/>
    <x v="2"/>
    <x v="0"/>
    <x v="1"/>
    <x v="0"/>
    <s v="Rendah"/>
    <x v="2"/>
    <s v="normal"/>
  </r>
  <r>
    <s v="ORD00844"/>
    <x v="1853"/>
    <s v="Lestari Setiawan"/>
    <x v="2"/>
    <x v="18"/>
    <n v="16000"/>
    <n v="3"/>
    <n v="0"/>
    <n v="48000"/>
    <n v="0"/>
    <n v="48000"/>
    <n v="26000"/>
    <n v="74000"/>
    <x v="1"/>
    <x v="2"/>
    <x v="3"/>
    <x v="3"/>
    <x v="0"/>
    <s v="Bagus"/>
    <x v="1"/>
    <s v="sangat rendah"/>
  </r>
  <r>
    <s v="ORD00954"/>
    <x v="1854"/>
    <s v="Vina Ramadhani"/>
    <x v="8"/>
    <x v="6"/>
    <n v="55000"/>
    <n v="3"/>
    <n v="15"/>
    <n v="165000"/>
    <n v="24750"/>
    <n v="140250"/>
    <n v="87000"/>
    <n v="227250"/>
    <x v="1"/>
    <x v="4"/>
    <x v="1"/>
    <x v="3"/>
    <x v="0"/>
    <s v="Bagus"/>
    <x v="4"/>
    <s v="tinggi"/>
  </r>
  <r>
    <s v="ORD00634"/>
    <x v="1855"/>
    <s v="Fajar Budiman"/>
    <x v="29"/>
    <x v="20"/>
    <n v="40000"/>
    <n v="4"/>
    <n v="5"/>
    <n v="160000"/>
    <n v="8000"/>
    <n v="152000"/>
    <n v="89000"/>
    <n v="241000"/>
    <x v="1"/>
    <x v="2"/>
    <x v="3"/>
    <x v="2"/>
    <x v="1"/>
    <s v="Rendah"/>
    <x v="0"/>
    <s v="rendah"/>
  </r>
  <r>
    <s v="ORD00049"/>
    <x v="1856"/>
    <s v="Joko Halim"/>
    <x v="1"/>
    <x v="17"/>
    <n v="15000"/>
    <n v="1"/>
    <n v="20"/>
    <n v="15000"/>
    <n v="3000"/>
    <n v="12000"/>
    <n v="59000"/>
    <n v="71000"/>
    <x v="2"/>
    <x v="2"/>
    <x v="2"/>
    <x v="2"/>
    <x v="1"/>
    <s v="Rendah"/>
    <x v="1"/>
    <s v="sangat rendah"/>
  </r>
  <r>
    <s v="ORD00628"/>
    <x v="1857"/>
    <s v="Bella Santoso"/>
    <x v="2"/>
    <x v="5"/>
    <n v="50000"/>
    <n v="2"/>
    <n v="10"/>
    <n v="100000"/>
    <n v="10000"/>
    <n v="90000"/>
    <n v="26000"/>
    <n v="116000"/>
    <x v="2"/>
    <x v="2"/>
    <x v="2"/>
    <x v="1"/>
    <x v="0"/>
    <s v="Rendah"/>
    <x v="0"/>
    <s v="rendah"/>
  </r>
  <r>
    <s v="ORD00644"/>
    <x v="1858"/>
    <s v="Erna Setiawan"/>
    <x v="22"/>
    <x v="0"/>
    <n v="16000"/>
    <n v="1"/>
    <n v="0"/>
    <n v="16000"/>
    <n v="0"/>
    <n v="16000"/>
    <n v="80000"/>
    <n v="96000"/>
    <x v="1"/>
    <x v="2"/>
    <x v="2"/>
    <x v="4"/>
    <x v="0"/>
    <s v="Bagus"/>
    <x v="1"/>
    <s v="sangat rendah"/>
  </r>
  <r>
    <s v="ORD01664"/>
    <x v="1859"/>
    <s v="Erna Rahmawati"/>
    <x v="27"/>
    <x v="18"/>
    <n v="16000"/>
    <n v="2"/>
    <n v="0"/>
    <n v="32000"/>
    <n v="0"/>
    <n v="32000"/>
    <n v="18000"/>
    <n v="50000"/>
    <x v="3"/>
    <x v="2"/>
    <x v="1"/>
    <x v="4"/>
    <x v="0"/>
    <s v="Bagus"/>
    <x v="1"/>
    <s v="sangat rendah"/>
  </r>
  <r>
    <s v="ORD01208"/>
    <x v="1860"/>
    <s v="Erna Santoso"/>
    <x v="18"/>
    <x v="8"/>
    <n v="14000"/>
    <n v="4"/>
    <n v="0"/>
    <n v="56000"/>
    <n v="0"/>
    <n v="56000"/>
    <n v="43000"/>
    <n v="99000"/>
    <x v="0"/>
    <x v="2"/>
    <x v="1"/>
    <x v="3"/>
    <x v="0"/>
    <s v="Bagus"/>
    <x v="1"/>
    <s v="sangat rendah"/>
  </r>
  <r>
    <s v="ORD00326"/>
    <x v="1861"/>
    <s v="Lestari Utami"/>
    <x v="24"/>
    <x v="25"/>
    <n v="40000"/>
    <n v="1"/>
    <n v="0"/>
    <n v="40000"/>
    <n v="0"/>
    <n v="40000"/>
    <n v="93000"/>
    <n v="133000"/>
    <x v="1"/>
    <x v="2"/>
    <x v="3"/>
    <x v="1"/>
    <x v="0"/>
    <s v="Rendah"/>
    <x v="1"/>
    <s v="sangat rendah"/>
  </r>
  <r>
    <s v="ORD00411"/>
    <x v="1862"/>
    <s v="Yani Nugroho"/>
    <x v="15"/>
    <x v="15"/>
    <n v="4000"/>
    <n v="3"/>
    <n v="0"/>
    <n v="12000"/>
    <n v="0"/>
    <n v="12000"/>
    <n v="17000"/>
    <n v="29000"/>
    <x v="3"/>
    <x v="2"/>
    <x v="1"/>
    <x v="1"/>
    <x v="0"/>
    <s v="Rendah"/>
    <x v="1"/>
    <s v="sangat rendah"/>
  </r>
  <r>
    <s v="ORD00016"/>
    <x v="1863"/>
    <s v="Indra Syahputra"/>
    <x v="35"/>
    <x v="26"/>
    <n v="16000"/>
    <n v="5"/>
    <n v="5"/>
    <n v="80000"/>
    <n v="4000"/>
    <n v="76000"/>
    <n v="76000"/>
    <n v="152000"/>
    <x v="1"/>
    <x v="2"/>
    <x v="2"/>
    <x v="2"/>
    <x v="1"/>
    <s v="Rendah"/>
    <x v="1"/>
    <s v="sangat rendah"/>
  </r>
  <r>
    <s v="ORD00016"/>
    <x v="1863"/>
    <s v="Indra Syahputra"/>
    <x v="35"/>
    <x v="16"/>
    <n v="28000"/>
    <n v="1"/>
    <n v="10"/>
    <n v="28000"/>
    <n v="2800"/>
    <n v="25200"/>
    <n v="0"/>
    <n v="25200"/>
    <x v="1"/>
    <x v="2"/>
    <x v="2"/>
    <x v="2"/>
    <x v="1"/>
    <s v="Rendah"/>
    <x v="1"/>
    <s v="sangat rendah"/>
  </r>
  <r>
    <s v="ORD01741"/>
    <x v="1864"/>
    <s v="Yani Pradipta"/>
    <x v="15"/>
    <x v="2"/>
    <n v="5000"/>
    <n v="4"/>
    <n v="20"/>
    <n v="20000"/>
    <n v="4000"/>
    <n v="16000"/>
    <n v="17000"/>
    <n v="33000"/>
    <x v="3"/>
    <x v="2"/>
    <x v="1"/>
    <x v="4"/>
    <x v="0"/>
    <s v="Bagus"/>
    <x v="1"/>
    <s v="sangat rendah"/>
  </r>
  <r>
    <s v="ORD01855"/>
    <x v="1865"/>
    <s v="Zahra Kurniawan"/>
    <x v="7"/>
    <x v="10"/>
    <n v="45000"/>
    <n v="4"/>
    <n v="0"/>
    <n v="180000"/>
    <n v="0"/>
    <n v="180000"/>
    <n v="15000"/>
    <n v="195000"/>
    <x v="0"/>
    <x v="2"/>
    <x v="4"/>
    <x v="0"/>
    <x v="0"/>
    <s v="Standar"/>
    <x v="1"/>
    <s v="sangat renda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8C97D4-22F4-45CA-842F-50BCBA89169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dataField="1" showAll="0"/>
    <pivotField showAll="0"/>
    <pivotField showAll="0"/>
    <pivotField showAll="0"/>
    <pivotField numFmtId="165" showAll="0"/>
    <pivotField showAll="0"/>
    <pivotField dataField="1" numFmtId="165" showAll="0"/>
    <pivotField showAll="0"/>
    <pivotField showAll="0"/>
    <pivotField showAll="0"/>
    <pivotField showAll="0">
      <items count="6">
        <item x="2"/>
        <item x="1"/>
        <item x="0"/>
        <item x="3"/>
        <item x="4"/>
        <item t="default"/>
      </items>
    </pivotField>
    <pivotField showAll="0"/>
    <pivotField showAll="0"/>
    <pivotField axis="axisRow" showAll="0">
      <items count="7">
        <item x="5"/>
        <item x="2"/>
        <item x="0"/>
        <item x="1"/>
        <item x="3"/>
        <item x="4"/>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x="1"/>
        <item x="2"/>
        <item sd="0" x="3"/>
      </items>
    </pivotField>
  </pivotFields>
  <rowFields count="1">
    <field x="19"/>
  </rowFields>
  <rowItems count="7">
    <i>
      <x/>
    </i>
    <i>
      <x v="1"/>
    </i>
    <i>
      <x v="2"/>
    </i>
    <i>
      <x v="3"/>
    </i>
    <i>
      <x v="4"/>
    </i>
    <i>
      <x v="5"/>
    </i>
    <i t="grand">
      <x/>
    </i>
  </rowItems>
  <colFields count="1">
    <field x="-2"/>
  </colFields>
  <colItems count="2">
    <i>
      <x/>
    </i>
    <i i="1">
      <x v="1"/>
    </i>
  </colItems>
  <dataFields count="2">
    <dataField name="Sum of Quantity" fld="6" baseField="0" baseItem="0"/>
    <dataField name="Sum of Grand Total"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DF6A82-EE74-41F3-9A08-8C5F7C8FA53C}"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5:N26" firstHeaderRow="1" firstDataRow="1"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measureFilter="1" sortType="descending">
      <items count="28">
        <item x="11"/>
        <item x="19"/>
        <item x="20"/>
        <item x="3"/>
        <item x="17"/>
        <item x="18"/>
        <item x="9"/>
        <item x="25"/>
        <item x="10"/>
        <item x="15"/>
        <item x="2"/>
        <item x="4"/>
        <item x="0"/>
        <item x="1"/>
        <item x="14"/>
        <item x="26"/>
        <item x="13"/>
        <item x="22"/>
        <item x="23"/>
        <item x="5"/>
        <item x="6"/>
        <item x="24"/>
        <item x="12"/>
        <item x="16"/>
        <item x="21"/>
        <item x="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5" showAll="0"/>
    <pivotField showAll="0"/>
    <pivotField dataField="1" numFmtId="165"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11">
    <i>
      <x v="20"/>
    </i>
    <i>
      <x v="8"/>
    </i>
    <i>
      <x v="19"/>
    </i>
    <i>
      <x v="7"/>
    </i>
    <i>
      <x v="18"/>
    </i>
    <i>
      <x v="1"/>
    </i>
    <i>
      <x v="6"/>
    </i>
    <i>
      <x v="23"/>
    </i>
    <i>
      <x v="22"/>
    </i>
    <i>
      <x v="21"/>
    </i>
    <i t="grand">
      <x/>
    </i>
  </rowItems>
  <colItems count="1">
    <i/>
  </colItems>
  <dataFields count="1">
    <dataField name="Sum of Grand Total" fld="12" baseField="0" baseItem="0" numFmtId="165"/>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E10B2-F142-43B9-B5C6-91A8283259B9}"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29" firstHeaderRow="1" firstDataRow="1"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numFmtId="165" showAll="0"/>
    <pivotField showAll="0"/>
    <pivotField numFmtId="165" showAll="0"/>
    <pivotField showAll="0"/>
    <pivotField showAll="0"/>
    <pivotField showAll="0"/>
    <pivotField dataField="1" showAll="0"/>
    <pivotField axis="axisRow" showAll="0">
      <items count="3">
        <item x="1"/>
        <item x="0"/>
        <item t="default"/>
      </items>
    </pivotField>
    <pivotField showAll="0"/>
    <pivotField axis="axisRow" showAll="0">
      <items count="7">
        <item x="5"/>
        <item x="2"/>
        <item x="0"/>
        <item x="1"/>
        <item x="3"/>
        <item x="4"/>
        <item t="default"/>
      </items>
    </pivotField>
    <pivotField showAll="0"/>
    <pivotField showAll="0" defaultSubtotal="0"/>
    <pivotField showAll="0" defaultSubtotal="0"/>
    <pivotField showAll="0" defaultSubtotal="0">
      <items count="4">
        <item x="0"/>
        <item x="1"/>
        <item x="2"/>
        <item x="3"/>
      </items>
    </pivotField>
  </pivotFields>
  <rowFields count="2">
    <field x="17"/>
    <field x="19"/>
  </rowFields>
  <rowItems count="14">
    <i>
      <x/>
    </i>
    <i r="1">
      <x v="1"/>
    </i>
    <i r="1">
      <x v="2"/>
    </i>
    <i r="1">
      <x v="3"/>
    </i>
    <i r="1">
      <x v="4"/>
    </i>
    <i r="1">
      <x v="5"/>
    </i>
    <i>
      <x v="1"/>
    </i>
    <i r="1">
      <x/>
    </i>
    <i r="1">
      <x v="1"/>
    </i>
    <i r="1">
      <x v="2"/>
    </i>
    <i r="1">
      <x v="3"/>
    </i>
    <i r="1">
      <x v="4"/>
    </i>
    <i r="1">
      <x v="5"/>
    </i>
    <i t="grand">
      <x/>
    </i>
  </rowItems>
  <colItems count="1">
    <i/>
  </colItems>
  <dataFields count="1">
    <dataField name="Average of Customer Rating" fld="16"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F11CE6-C050-4511-9B65-AADF599C6EF2}"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O10" firstHeaderRow="1" firstDataRow="2"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numFmtId="165" showAll="0"/>
    <pivotField showAll="0"/>
    <pivotField dataField="1" numFmtId="165" showAll="0"/>
    <pivotField showAll="0"/>
    <pivotField axis="axisCol" showAll="0">
      <items count="7">
        <item x="3"/>
        <item x="2"/>
        <item x="1"/>
        <item x="4"/>
        <item x="0"/>
        <item m="1" x="5"/>
        <item t="default"/>
      </items>
    </pivotField>
    <pivotField axis="axisRow" showAll="0">
      <items count="6">
        <item x="0"/>
        <item x="4"/>
        <item x="2"/>
        <item x="1"/>
        <item x="3"/>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6">
    <i>
      <x/>
    </i>
    <i>
      <x v="1"/>
    </i>
    <i>
      <x v="2"/>
    </i>
    <i>
      <x v="3"/>
    </i>
    <i>
      <x v="4"/>
    </i>
    <i t="grand">
      <x/>
    </i>
  </rowItems>
  <colFields count="1">
    <field x="14"/>
  </colFields>
  <colItems count="6">
    <i>
      <x/>
    </i>
    <i>
      <x v="1"/>
    </i>
    <i>
      <x v="2"/>
    </i>
    <i>
      <x v="3"/>
    </i>
    <i>
      <x v="4"/>
    </i>
    <i t="grand">
      <x/>
    </i>
  </colItems>
  <dataFields count="1">
    <dataField name="Sum of Grand Total"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8FBDEA-2890-4C0A-95D0-33792ED51D25}"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2" firstHeaderRow="1" firstDataRow="1"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items count="39">
        <item x="36"/>
        <item x="27"/>
        <item x="26"/>
        <item x="4"/>
        <item x="19"/>
        <item x="21"/>
        <item x="22"/>
        <item x="34"/>
        <item x="30"/>
        <item x="8"/>
        <item x="6"/>
        <item x="1"/>
        <item x="9"/>
        <item x="10"/>
        <item x="14"/>
        <item x="24"/>
        <item x="3"/>
        <item x="11"/>
        <item x="28"/>
        <item x="32"/>
        <item x="29"/>
        <item x="33"/>
        <item x="17"/>
        <item x="15"/>
        <item x="0"/>
        <item x="31"/>
        <item x="23"/>
        <item x="20"/>
        <item x="18"/>
        <item x="35"/>
        <item x="37"/>
        <item x="16"/>
        <item x="13"/>
        <item x="12"/>
        <item x="2"/>
        <item x="25"/>
        <item x="7"/>
        <item x="5"/>
        <item t="default"/>
      </items>
    </pivotField>
    <pivotField showAll="0"/>
    <pivotField showAll="0"/>
    <pivotField showAll="0"/>
    <pivotField showAll="0"/>
    <pivotField showAll="0"/>
    <pivotField showAll="0"/>
    <pivotField numFmtId="165" showAll="0"/>
    <pivotField dataField="1" showAll="0"/>
    <pivotField numFmtId="165"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Average of Shipping Fee" fld="1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2BC3F9-B50C-45A0-A28F-36A397EAC7D9}"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dataField="1" showAll="0"/>
    <pivotField numFmtId="165" showAll="0"/>
    <pivotField showAll="0"/>
    <pivotField numFmtId="165" showAll="0"/>
    <pivotField axis="axisRow" showAll="0">
      <items count="5">
        <item x="1"/>
        <item x="2"/>
        <item x="0"/>
        <item x="3"/>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3"/>
  </rowFields>
  <rowItems count="5">
    <i>
      <x/>
    </i>
    <i>
      <x v="1"/>
    </i>
    <i>
      <x v="2"/>
    </i>
    <i>
      <x v="3"/>
    </i>
    <i t="grand">
      <x/>
    </i>
  </rowItems>
  <colItems count="1">
    <i/>
  </colItems>
  <dataFields count="1">
    <dataField name="Sum of Discount Amount" fld="9" baseField="0" baseItem="0"/>
  </dataFields>
  <formats count="2">
    <format dxfId="1">
      <pivotArea collapsedLevelsAreSubtotals="1" fieldPosition="0">
        <references count="1">
          <reference field="13"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D2EB5D-11C8-487C-9108-33F85A8314B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9" firstHeaderRow="1" firstDataRow="1" firstDataCol="1"/>
  <pivotFields count="24">
    <pivotField dataField="1" showAll="0"/>
    <pivotField axis="axisRow"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28">
        <item x="11"/>
        <item x="19"/>
        <item x="20"/>
        <item x="3"/>
        <item x="17"/>
        <item x="18"/>
        <item x="9"/>
        <item x="25"/>
        <item x="10"/>
        <item x="15"/>
        <item x="2"/>
        <item x="4"/>
        <item x="0"/>
        <item x="1"/>
        <item x="14"/>
        <item x="26"/>
        <item x="13"/>
        <item x="22"/>
        <item x="23"/>
        <item x="5"/>
        <item x="6"/>
        <item x="24"/>
        <item x="12"/>
        <item x="16"/>
        <item x="21"/>
        <item x="7"/>
        <item x="8"/>
        <item t="default"/>
      </items>
    </pivotField>
    <pivotField showAll="0"/>
    <pivotField showAll="0"/>
    <pivotField showAll="0"/>
    <pivotField showAll="0"/>
    <pivotField showAll="0"/>
    <pivotField numFmtId="165" showAll="0"/>
    <pivotField showAll="0"/>
    <pivotField numFmtId="165"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23"/>
    <field x="21"/>
    <field x="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6ED76C-07C6-4E09-986C-E8ADD5B00F7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31" firstHeaderRow="1" firstDataRow="1"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axis="axisRow" showAll="0" sortType="descending">
      <items count="28">
        <item x="11"/>
        <item x="19"/>
        <item x="20"/>
        <item x="3"/>
        <item x="17"/>
        <item x="18"/>
        <item x="9"/>
        <item x="25"/>
        <item x="10"/>
        <item x="15"/>
        <item x="2"/>
        <item x="4"/>
        <item x="0"/>
        <item x="1"/>
        <item x="14"/>
        <item x="26"/>
        <item x="13"/>
        <item x="22"/>
        <item x="23"/>
        <item x="5"/>
        <item x="6"/>
        <item x="24"/>
        <item x="12"/>
        <item x="16"/>
        <item x="21"/>
        <item x="7"/>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65" showAll="0"/>
    <pivotField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28">
    <i>
      <x v="11"/>
    </i>
    <i>
      <x v="7"/>
    </i>
    <i>
      <x v="26"/>
    </i>
    <i>
      <x v="8"/>
    </i>
    <i>
      <x v="15"/>
    </i>
    <i>
      <x v="22"/>
    </i>
    <i>
      <x v="14"/>
    </i>
    <i>
      <x v="21"/>
    </i>
    <i>
      <x v="19"/>
    </i>
    <i>
      <x v="23"/>
    </i>
    <i>
      <x v="20"/>
    </i>
    <i>
      <x v="12"/>
    </i>
    <i>
      <x v="9"/>
    </i>
    <i>
      <x v="3"/>
    </i>
    <i>
      <x v="18"/>
    </i>
    <i>
      <x v="16"/>
    </i>
    <i>
      <x v="1"/>
    </i>
    <i>
      <x v="4"/>
    </i>
    <i>
      <x v="6"/>
    </i>
    <i>
      <x v="25"/>
    </i>
    <i>
      <x v="24"/>
    </i>
    <i>
      <x v="13"/>
    </i>
    <i>
      <x v="10"/>
    </i>
    <i>
      <x/>
    </i>
    <i>
      <x v="5"/>
    </i>
    <i>
      <x v="17"/>
    </i>
    <i>
      <x v="2"/>
    </i>
    <i t="grand">
      <x/>
    </i>
  </rowItems>
  <colItems count="1">
    <i/>
  </colItems>
  <dataFields count="1">
    <dataField name="Sum of Quantity"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F596CF-0E3D-43CC-89A1-B80AE9BDD89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4">
    <pivotField showAll="0"/>
    <pivotField numFmtId="164" showAll="0">
      <items count="1867">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numFmtId="165" showAll="0"/>
    <pivotField showAll="0"/>
    <pivotField dataField="1" numFmtId="165" showAll="0"/>
    <pivotField axis="axisRow" showAll="0">
      <items count="5">
        <item h="1" x="1"/>
        <item h="1" x="2"/>
        <item h="1" x="0"/>
        <item x="3"/>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2">
    <i>
      <x v="3"/>
    </i>
    <i t="grand">
      <x/>
    </i>
  </rowItems>
  <colItems count="1">
    <i/>
  </colItems>
  <dataFields count="1">
    <dataField name="Sum of Grand Total"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0E28C92-34E3-4F7D-AB7A-91EE5C2F43C1}" sourceName="Product Name">
  <pivotTables>
    <pivotTable tabId="8" name="PivotTable2"/>
  </pivotTables>
  <data>
    <tabular pivotCacheId="1423081301">
      <items count="27">
        <i x="11" s="1"/>
        <i x="19" s="1"/>
        <i x="20" s="1"/>
        <i x="3" s="1"/>
        <i x="17" s="1"/>
        <i x="18" s="1"/>
        <i x="9" s="1"/>
        <i x="25" s="1"/>
        <i x="10" s="1"/>
        <i x="15" s="1"/>
        <i x="2" s="1"/>
        <i x="4" s="1"/>
        <i x="0" s="1"/>
        <i x="1" s="1"/>
        <i x="14" s="1"/>
        <i x="26" s="1"/>
        <i x="13" s="1"/>
        <i x="22" s="1"/>
        <i x="23" s="1"/>
        <i x="5" s="1"/>
        <i x="6" s="1"/>
        <i x="24" s="1"/>
        <i x="12" s="1"/>
        <i x="16" s="1"/>
        <i x="21"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093EFFCC-884D-442F-8440-EEA04DEEBB91}" cache="Slicer_Product_Name" caption="Product 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A6481970-9815-4CDB-B80E-24AE2FBBB35E}" cache="Slicer_Product_Name" caption="Product Name"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051521-2BFD-4FFE-9DBE-1A9DCFBF48BD}" name="Table1" displayName="Table1" ref="A1:T2001" totalsRowShown="0" headerRowDxfId="23" dataDxfId="21" headerRowBorderDxfId="22" tableBorderDxfId="20">
  <autoFilter ref="A1:T2001" xr:uid="{E3051521-2BFD-4FFE-9DBE-1A9DCFBF48BD}"/>
  <sortState xmlns:xlrd2="http://schemas.microsoft.com/office/spreadsheetml/2017/richdata2" ref="A2:T2001">
    <sortCondition descending="1" ref="B1:B2001"/>
  </sortState>
  <tableColumns count="20">
    <tableColumn id="1" xr3:uid="{265D5C18-327B-4A02-96D4-302A2DCFCD97}" name="Order ID" dataDxfId="19"/>
    <tableColumn id="2" xr3:uid="{48B2B91C-829F-42CB-B802-2DF9C22DE67D}" name="Order Date" dataDxfId="18"/>
    <tableColumn id="3" xr3:uid="{66F9C4F7-6DDA-4FFF-AB29-200A9548F042}" name="Customer Name" dataDxfId="17"/>
    <tableColumn id="4" xr3:uid="{7F0172ED-5994-421D-9E74-E4D28C06566B}" name="City" dataDxfId="16"/>
    <tableColumn id="5" xr3:uid="{D695E516-366D-40BF-A8B3-ED123E329E33}" name="Product Name" dataDxfId="15"/>
    <tableColumn id="6" xr3:uid="{14A262D8-A5B5-4B95-B167-C3D076B0CEDB}" name="Unit Price" dataDxfId="14"/>
    <tableColumn id="7" xr3:uid="{7228CC83-211A-4E20-A1C8-F1B74CE227EA}" name="Quantity" dataDxfId="13"/>
    <tableColumn id="8" xr3:uid="{93DEFF4A-D2E6-467E-8D09-9B0135FEA085}" name="Discount (%)" dataDxfId="12"/>
    <tableColumn id="9" xr3:uid="{40B60CF6-DF97-48ED-B2C3-DC14FECC5683}" name="Subtotal">
      <calculatedColumnFormula>F2*G2</calculatedColumnFormula>
    </tableColumn>
    <tableColumn id="10" xr3:uid="{45203B7E-28F8-42F3-BCFC-27346E6F0E52}" name="Discount Amount">
      <calculatedColumnFormula>I2*H2/100</calculatedColumnFormula>
    </tableColumn>
    <tableColumn id="11" xr3:uid="{5733217F-9CA5-4637-B426-5B2719C8FB24}" name="Total Sales" dataDxfId="11">
      <calculatedColumnFormula>I2-J2</calculatedColumnFormula>
    </tableColumn>
    <tableColumn id="12" xr3:uid="{5CA85451-1041-499B-82C3-522DA36D3921}" name="Shipping Fee" dataDxfId="10"/>
    <tableColumn id="13" xr3:uid="{FF69C761-45AB-4A07-9713-68348FE8101C}" name="Grand Total" dataDxfId="9">
      <calculatedColumnFormula>Table1[[#This Row],[Total Sales]]+Table1[[#This Row],[Shipping Fee]]</calculatedColumnFormula>
    </tableColumn>
    <tableColumn id="14" xr3:uid="{50E65CB8-146E-4231-ADCE-22D0D5E4B829}" name="Payment Method" dataDxfId="8"/>
    <tableColumn id="15" xr3:uid="{6A59FE77-6FE1-4EFF-BFED-C36E864D9D49}" name="Order Status" dataDxfId="7">
      <calculatedColumnFormula>VLOOKUP(Table1[[#This Row],[Order ID]],Status!A:B, 2,FALSE)</calculatedColumnFormula>
    </tableColumn>
    <tableColumn id="16" xr3:uid="{D2654A2E-F8D3-4E01-8809-35FADC5254F0}" name="Platform" dataDxfId="6"/>
    <tableColumn id="17" xr3:uid="{BEE080CA-FDB1-400F-A5D7-A3CFF8E776FD}" name="Customer Rating" dataDxfId="5"/>
    <tableColumn id="18" xr3:uid="{670BBEBD-4EF6-4E0C-97B3-87500E6CB0F0}" name="Jenis Kelamin" dataDxfId="4"/>
    <tableColumn id="19" xr3:uid="{1D9D02F8-28C0-4835-8567-E7D7F8BB6F5E}" name="Category Rating" dataDxfId="3">
      <calculatedColumnFormula>_xlfn.IFS(Q2&gt;3,"Bagus",Q2=3,"Standar",Q2&lt;3,"Rendah")</calculatedColumnFormula>
    </tableColumn>
    <tableColumn id="20" xr3:uid="{B516D396-AD02-440A-9F09-7BDF6B9141BC}" name="Disc Category" dataDxfId="2">
      <calculatedColumnFormula>_xlfn.IFS(J2&lt;=5000,"Sangat Rendah", J2&lt;=10000,"Rendah", J2&lt;=20000, "Normal", J2&lt;=35000, "Tinggi", J2&lt;= 50000, "Sangat Tinggi", J2&gt;50000, "Clearance")</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01"/>
  <sheetViews>
    <sheetView topLeftCell="A2" zoomScaleNormal="100" workbookViewId="0">
      <selection activeCell="S20" sqref="A2:T2001"/>
    </sheetView>
  </sheetViews>
  <sheetFormatPr defaultColWidth="14.44140625" defaultRowHeight="15" customHeight="1" x14ac:dyDescent="0.3"/>
  <cols>
    <col min="1" max="1" width="9.88671875" style="5" customWidth="1"/>
    <col min="2" max="2" width="17.6640625" customWidth="1"/>
    <col min="3" max="3" width="16.44140625" customWidth="1"/>
    <col min="4" max="4" width="13.88671875" customWidth="1"/>
    <col min="5" max="5" width="19.88671875" customWidth="1"/>
    <col min="6" max="6" width="11" customWidth="1"/>
    <col min="7" max="7" width="14" customWidth="1"/>
    <col min="8" max="8" width="13.44140625" customWidth="1"/>
    <col min="9" max="9" width="12.5546875" bestFit="1" customWidth="1"/>
    <col min="10" max="10" width="20.21875" bestFit="1" customWidth="1"/>
    <col min="11" max="11" width="14.33203125" style="6" bestFit="1" customWidth="1"/>
    <col min="12" max="12" width="16.109375" bestFit="1" customWidth="1"/>
    <col min="13" max="13" width="15.21875" bestFit="1" customWidth="1"/>
    <col min="14" max="14" width="20.33203125" bestFit="1" customWidth="1"/>
    <col min="15" max="15" width="13.33203125" customWidth="1"/>
    <col min="16" max="16" width="12.77734375" bestFit="1" customWidth="1"/>
    <col min="17" max="17" width="16.77734375" customWidth="1"/>
    <col min="18" max="18" width="14.109375" customWidth="1"/>
    <col min="20" max="20" width="16.77734375" bestFit="1" customWidth="1"/>
    <col min="22" max="22" width="16" bestFit="1" customWidth="1"/>
    <col min="24" max="24" width="16.6640625" bestFit="1" customWidth="1"/>
  </cols>
  <sheetData>
    <row r="1" spans="1:26" ht="14.4" x14ac:dyDescent="0.3">
      <c r="A1" s="7" t="s">
        <v>0</v>
      </c>
      <c r="B1" s="8" t="s">
        <v>1</v>
      </c>
      <c r="C1" s="9" t="s">
        <v>2</v>
      </c>
      <c r="D1" s="9" t="s">
        <v>3</v>
      </c>
      <c r="E1" s="9" t="s">
        <v>4</v>
      </c>
      <c r="F1" s="9" t="s">
        <v>5</v>
      </c>
      <c r="G1" s="9" t="s">
        <v>6</v>
      </c>
      <c r="H1" s="9" t="s">
        <v>7</v>
      </c>
      <c r="I1" s="9" t="s">
        <v>8</v>
      </c>
      <c r="J1" s="9" t="s">
        <v>9</v>
      </c>
      <c r="K1" s="10" t="s">
        <v>10</v>
      </c>
      <c r="L1" s="9" t="s">
        <v>11</v>
      </c>
      <c r="M1" s="8" t="s">
        <v>12</v>
      </c>
      <c r="N1" s="9" t="s">
        <v>13</v>
      </c>
      <c r="O1" s="9" t="s">
        <v>14</v>
      </c>
      <c r="P1" s="9" t="s">
        <v>15</v>
      </c>
      <c r="Q1" s="9" t="s">
        <v>16</v>
      </c>
      <c r="R1" s="9" t="s">
        <v>17</v>
      </c>
      <c r="S1" s="8" t="s">
        <v>2367</v>
      </c>
      <c r="T1" s="9" t="s">
        <v>2368</v>
      </c>
    </row>
    <row r="2" spans="1:26" ht="14.4" x14ac:dyDescent="0.3">
      <c r="A2" s="4" t="s">
        <v>2355</v>
      </c>
      <c r="B2" s="3">
        <v>45916.722824074073</v>
      </c>
      <c r="C2" s="2" t="s">
        <v>582</v>
      </c>
      <c r="D2" s="2" t="s">
        <v>435</v>
      </c>
      <c r="E2" s="2" t="s">
        <v>58</v>
      </c>
      <c r="F2" s="2">
        <v>16000</v>
      </c>
      <c r="G2" s="2">
        <v>5</v>
      </c>
      <c r="H2" s="2">
        <v>10</v>
      </c>
      <c r="I2">
        <f t="shared" ref="I2:I65" si="0">F2*G2</f>
        <v>80000</v>
      </c>
      <c r="J2">
        <f t="shared" ref="J2:J65" si="1">I2*H2/100</f>
        <v>8000</v>
      </c>
      <c r="K2" s="6">
        <f t="shared" ref="K2:K65" si="2">I2-J2</f>
        <v>72000</v>
      </c>
      <c r="L2" s="2">
        <v>67000</v>
      </c>
      <c r="M2" s="6">
        <f>Table1[[#This Row],[Total Sales]]+Table1[[#This Row],[Shipping Fee]]</f>
        <v>139000</v>
      </c>
      <c r="N2" s="2" t="s">
        <v>22</v>
      </c>
      <c r="O2" t="str">
        <f>VLOOKUP(Table1[[#This Row],[Order ID]],Status!A:B, 2,FALSE)</f>
        <v>Shipped</v>
      </c>
      <c r="P2" s="2" t="s">
        <v>82</v>
      </c>
      <c r="Q2" s="2">
        <v>3</v>
      </c>
      <c r="R2" s="2" t="s">
        <v>24</v>
      </c>
      <c r="S2" s="11" t="str">
        <f t="shared" ref="S2:S65" si="3">_xlfn.IFS(Q2&gt;3,"Bagus",Q2=3,"Standar",Q2&lt;3,"Rendah")</f>
        <v>Standar</v>
      </c>
      <c r="T2" s="2" t="str">
        <f t="shared" ref="T2:T65" si="4">_xlfn.IFS(J2&lt;=5000,"Sangat Rendah", J2&lt;=10000,"Rendah", J2&lt;=20000, "Normal", J2&lt;=35000, "Tinggi", J2&lt;= 50000, "Sangat Tinggi", J2&gt;50000, "Clearance")</f>
        <v>Rendah</v>
      </c>
    </row>
    <row r="3" spans="1:26" ht="14.4" x14ac:dyDescent="0.3">
      <c r="A3" s="4" t="s">
        <v>2354</v>
      </c>
      <c r="B3" s="3">
        <v>45916.459421296298</v>
      </c>
      <c r="C3" s="2" t="s">
        <v>716</v>
      </c>
      <c r="D3" s="2" t="s">
        <v>66</v>
      </c>
      <c r="E3" s="2" t="s">
        <v>138</v>
      </c>
      <c r="F3" s="2">
        <v>17000</v>
      </c>
      <c r="G3" s="2">
        <v>1</v>
      </c>
      <c r="H3" s="2">
        <v>0</v>
      </c>
      <c r="I3">
        <f t="shared" si="0"/>
        <v>17000</v>
      </c>
      <c r="J3">
        <f t="shared" si="1"/>
        <v>0</v>
      </c>
      <c r="K3" s="6">
        <f t="shared" si="2"/>
        <v>17000</v>
      </c>
      <c r="L3" s="2">
        <v>59000</v>
      </c>
      <c r="M3" s="6">
        <f>Table1[[#This Row],[Total Sales]]+Table1[[#This Row],[Shipping Fee]]</f>
        <v>76000</v>
      </c>
      <c r="N3" s="2" t="s">
        <v>35</v>
      </c>
      <c r="O3" t="str">
        <f>VLOOKUP(Table1[[#This Row],[Order ID]],Status!A:B, 2,FALSE)</f>
        <v>Pending</v>
      </c>
      <c r="P3" s="2" t="s">
        <v>30</v>
      </c>
      <c r="Q3" s="2">
        <v>2</v>
      </c>
      <c r="R3" s="2" t="s">
        <v>24</v>
      </c>
      <c r="S3" s="11" t="str">
        <f t="shared" si="3"/>
        <v>Rendah</v>
      </c>
      <c r="T3" s="2" t="str">
        <f t="shared" si="4"/>
        <v>Sangat Rendah</v>
      </c>
      <c r="V3">
        <f>SUMIF(T:T,"Clearance",G:G)</f>
        <v>10</v>
      </c>
    </row>
    <row r="4" spans="1:26" ht="14.4" x14ac:dyDescent="0.3">
      <c r="A4" s="4" t="s">
        <v>2353</v>
      </c>
      <c r="B4" s="3">
        <v>45916.137037037042</v>
      </c>
      <c r="C4" s="2" t="s">
        <v>1040</v>
      </c>
      <c r="D4" s="2" t="s">
        <v>61</v>
      </c>
      <c r="E4" s="2" t="s">
        <v>28</v>
      </c>
      <c r="F4" s="2">
        <v>5000</v>
      </c>
      <c r="G4" s="2">
        <v>1</v>
      </c>
      <c r="H4" s="2">
        <v>0</v>
      </c>
      <c r="I4">
        <f t="shared" si="0"/>
        <v>5000</v>
      </c>
      <c r="J4">
        <f t="shared" si="1"/>
        <v>0</v>
      </c>
      <c r="K4" s="6">
        <f t="shared" si="2"/>
        <v>5000</v>
      </c>
      <c r="L4" s="2">
        <v>26000</v>
      </c>
      <c r="M4" s="6">
        <f>Table1[[#This Row],[Total Sales]]+Table1[[#This Row],[Shipping Fee]]</f>
        <v>31000</v>
      </c>
      <c r="N4" s="2" t="s">
        <v>22</v>
      </c>
      <c r="O4" t="str">
        <f>VLOOKUP(Table1[[#This Row],[Order ID]],Status!A:B, 2,FALSE)</f>
        <v>Shipped</v>
      </c>
      <c r="P4" s="2" t="s">
        <v>30</v>
      </c>
      <c r="Q4" s="2">
        <v>3</v>
      </c>
      <c r="R4" s="2" t="s">
        <v>24</v>
      </c>
      <c r="S4" s="11" t="str">
        <f t="shared" si="3"/>
        <v>Standar</v>
      </c>
      <c r="T4" s="2" t="str">
        <f t="shared" si="4"/>
        <v>Sangat Rendah</v>
      </c>
    </row>
    <row r="5" spans="1:26" ht="14.4" x14ac:dyDescent="0.3">
      <c r="A5" s="4" t="s">
        <v>2352</v>
      </c>
      <c r="B5" s="3">
        <v>45916.043009259258</v>
      </c>
      <c r="C5" s="2" t="s">
        <v>368</v>
      </c>
      <c r="D5" s="2" t="s">
        <v>113</v>
      </c>
      <c r="E5" s="2" t="s">
        <v>88</v>
      </c>
      <c r="F5" s="2">
        <v>14000</v>
      </c>
      <c r="G5" s="2">
        <v>4</v>
      </c>
      <c r="H5" s="2">
        <v>15</v>
      </c>
      <c r="I5">
        <f t="shared" si="0"/>
        <v>56000</v>
      </c>
      <c r="J5">
        <f t="shared" si="1"/>
        <v>8400</v>
      </c>
      <c r="K5" s="6">
        <f t="shared" si="2"/>
        <v>47600</v>
      </c>
      <c r="L5" s="2">
        <v>18000</v>
      </c>
      <c r="M5" s="6">
        <f>Table1[[#This Row],[Total Sales]]+Table1[[#This Row],[Shipping Fee]]</f>
        <v>65600</v>
      </c>
      <c r="N5" s="2" t="s">
        <v>35</v>
      </c>
      <c r="O5" t="str">
        <f>VLOOKUP(Table1[[#This Row],[Order ID]],Status!A:B, 2,FALSE)</f>
        <v>Completed</v>
      </c>
      <c r="P5" s="2" t="s">
        <v>36</v>
      </c>
      <c r="Q5" s="2">
        <v>1</v>
      </c>
      <c r="R5" s="2" t="s">
        <v>37</v>
      </c>
      <c r="S5" s="11" t="str">
        <f t="shared" si="3"/>
        <v>Rendah</v>
      </c>
      <c r="T5" s="2" t="str">
        <f t="shared" si="4"/>
        <v>Rendah</v>
      </c>
    </row>
    <row r="6" spans="1:26" ht="14.4" x14ac:dyDescent="0.3">
      <c r="A6" s="4" t="s">
        <v>2351</v>
      </c>
      <c r="B6" s="3">
        <v>45915.817013888889</v>
      </c>
      <c r="C6" s="2" t="s">
        <v>693</v>
      </c>
      <c r="D6" s="2" t="s">
        <v>119</v>
      </c>
      <c r="E6" s="2" t="s">
        <v>110</v>
      </c>
      <c r="F6" s="2">
        <v>6000</v>
      </c>
      <c r="G6" s="2">
        <v>3</v>
      </c>
      <c r="H6" s="2">
        <v>20</v>
      </c>
      <c r="I6">
        <f t="shared" si="0"/>
        <v>18000</v>
      </c>
      <c r="J6">
        <f t="shared" si="1"/>
        <v>3600</v>
      </c>
      <c r="K6" s="6">
        <f t="shared" si="2"/>
        <v>14400</v>
      </c>
      <c r="L6" s="2">
        <v>0</v>
      </c>
      <c r="M6" s="6">
        <f>Table1[[#This Row],[Total Sales]]+Table1[[#This Row],[Shipping Fee]]</f>
        <v>14400</v>
      </c>
      <c r="N6" s="2" t="s">
        <v>22</v>
      </c>
      <c r="O6" t="str">
        <f>VLOOKUP(Table1[[#This Row],[Order ID]],Status!A:B, 2,FALSE)</f>
        <v>Pending</v>
      </c>
      <c r="P6" s="2" t="s">
        <v>46</v>
      </c>
      <c r="Q6" s="2">
        <v>3</v>
      </c>
      <c r="R6" s="2" t="s">
        <v>24</v>
      </c>
      <c r="S6" s="11" t="str">
        <f t="shared" si="3"/>
        <v>Standar</v>
      </c>
      <c r="T6" s="2" t="str">
        <f t="shared" si="4"/>
        <v>Sangat Rendah</v>
      </c>
      <c r="V6" s="6">
        <f>SUMIF(T:T,"Rendah",M:M)</f>
        <v>46423250</v>
      </c>
      <c r="X6" s="18" t="s">
        <v>2405</v>
      </c>
      <c r="Y6" s="18"/>
      <c r="Z6" s="18"/>
    </row>
    <row r="7" spans="1:26" ht="14.4" x14ac:dyDescent="0.3">
      <c r="A7" s="4" t="s">
        <v>2350</v>
      </c>
      <c r="B7" s="3">
        <v>45915.563148148147</v>
      </c>
      <c r="C7" s="2" t="s">
        <v>383</v>
      </c>
      <c r="D7" s="2" t="s">
        <v>122</v>
      </c>
      <c r="E7" s="2" t="s">
        <v>110</v>
      </c>
      <c r="F7" s="2">
        <v>6000</v>
      </c>
      <c r="G7" s="2">
        <v>3</v>
      </c>
      <c r="H7" s="2">
        <v>15</v>
      </c>
      <c r="I7">
        <f t="shared" si="0"/>
        <v>18000</v>
      </c>
      <c r="J7">
        <f t="shared" si="1"/>
        <v>2700</v>
      </c>
      <c r="K7" s="6">
        <f t="shared" si="2"/>
        <v>15300</v>
      </c>
      <c r="L7" s="2">
        <v>78000</v>
      </c>
      <c r="M7" s="6">
        <f>Table1[[#This Row],[Total Sales]]+Table1[[#This Row],[Shipping Fee]]</f>
        <v>93300</v>
      </c>
      <c r="N7" s="2" t="s">
        <v>22</v>
      </c>
      <c r="O7" t="str">
        <f>VLOOKUP(Table1[[#This Row],[Order ID]],Status!A:B, 2,FALSE)</f>
        <v>Completed</v>
      </c>
      <c r="P7" s="2" t="s">
        <v>46</v>
      </c>
      <c r="Q7" s="2">
        <v>2</v>
      </c>
      <c r="R7" s="2" t="s">
        <v>24</v>
      </c>
      <c r="S7" s="11" t="str">
        <f t="shared" si="3"/>
        <v>Rendah</v>
      </c>
      <c r="T7" s="2" t="str">
        <f t="shared" si="4"/>
        <v>Sangat Rendah</v>
      </c>
      <c r="X7" s="17">
        <f>AVERAGEIF(D:D,"Bandung",G:G)</f>
        <v>2.8550724637681157</v>
      </c>
      <c r="Y7" s="17"/>
      <c r="Z7" s="17"/>
    </row>
    <row r="8" spans="1:26" ht="14.4" x14ac:dyDescent="0.3">
      <c r="A8" s="4" t="s">
        <v>2349</v>
      </c>
      <c r="B8" s="3">
        <v>45915.289189814823</v>
      </c>
      <c r="C8" s="2" t="s">
        <v>615</v>
      </c>
      <c r="D8" s="2" t="s">
        <v>92</v>
      </c>
      <c r="E8" s="2" t="s">
        <v>62</v>
      </c>
      <c r="F8" s="2">
        <v>50000</v>
      </c>
      <c r="G8" s="2">
        <v>1</v>
      </c>
      <c r="H8" s="2">
        <v>10</v>
      </c>
      <c r="I8">
        <f t="shared" si="0"/>
        <v>50000</v>
      </c>
      <c r="J8">
        <f t="shared" si="1"/>
        <v>5000</v>
      </c>
      <c r="K8" s="6">
        <f t="shared" si="2"/>
        <v>45000</v>
      </c>
      <c r="L8" s="2">
        <v>30000</v>
      </c>
      <c r="M8" s="6">
        <f>Table1[[#This Row],[Total Sales]]+Table1[[#This Row],[Shipping Fee]]</f>
        <v>75000</v>
      </c>
      <c r="N8" s="2" t="s">
        <v>63</v>
      </c>
      <c r="O8" t="str">
        <f>VLOOKUP(Table1[[#This Row],[Order ID]],Status!A:B, 2,FALSE)</f>
        <v>Completed</v>
      </c>
      <c r="P8" s="2" t="s">
        <v>23</v>
      </c>
      <c r="Q8" s="2">
        <v>4</v>
      </c>
      <c r="R8" s="2" t="s">
        <v>24</v>
      </c>
      <c r="S8" s="11" t="str">
        <f t="shared" si="3"/>
        <v>Bagus</v>
      </c>
      <c r="T8" s="2" t="str">
        <f t="shared" si="4"/>
        <v>Sangat Rendah</v>
      </c>
      <c r="V8">
        <f>AVERAGEIFS(Q:Q,R:R,"Perempuan",T:T,"Sangat Tinggi")</f>
        <v>3.0416666666666665</v>
      </c>
      <c r="X8" s="17"/>
      <c r="Y8" s="17"/>
      <c r="Z8" s="17"/>
    </row>
    <row r="9" spans="1:26" ht="14.4" x14ac:dyDescent="0.3">
      <c r="A9" s="4" t="s">
        <v>2348</v>
      </c>
      <c r="B9" s="3">
        <v>45915.261840277781</v>
      </c>
      <c r="C9" s="2" t="s">
        <v>157</v>
      </c>
      <c r="D9" s="2" t="s">
        <v>20</v>
      </c>
      <c r="E9" s="2" t="s">
        <v>75</v>
      </c>
      <c r="F9" s="2">
        <v>55000</v>
      </c>
      <c r="G9" s="2">
        <v>4</v>
      </c>
      <c r="H9" s="2">
        <v>0</v>
      </c>
      <c r="I9">
        <f t="shared" si="0"/>
        <v>220000</v>
      </c>
      <c r="J9">
        <f t="shared" si="1"/>
        <v>0</v>
      </c>
      <c r="K9" s="6">
        <f t="shared" si="2"/>
        <v>220000</v>
      </c>
      <c r="L9" s="2">
        <v>15000</v>
      </c>
      <c r="M9" s="6">
        <f>Table1[[#This Row],[Total Sales]]+Table1[[#This Row],[Shipping Fee]]</f>
        <v>235000</v>
      </c>
      <c r="N9" s="2" t="s">
        <v>29</v>
      </c>
      <c r="O9" t="str">
        <f>VLOOKUP(Table1[[#This Row],[Order ID]],Status!A:B, 2,FALSE)</f>
        <v>Pending</v>
      </c>
      <c r="P9" s="2" t="s">
        <v>36</v>
      </c>
      <c r="Q9" s="2">
        <v>5</v>
      </c>
      <c r="R9" s="2" t="s">
        <v>24</v>
      </c>
      <c r="S9" s="11" t="str">
        <f t="shared" si="3"/>
        <v>Bagus</v>
      </c>
      <c r="T9" s="2" t="str">
        <f t="shared" si="4"/>
        <v>Sangat Rendah</v>
      </c>
      <c r="X9" s="17"/>
      <c r="Y9" s="17"/>
      <c r="Z9" s="17"/>
    </row>
    <row r="10" spans="1:26" ht="14.4" x14ac:dyDescent="0.3">
      <c r="A10" s="4" t="s">
        <v>2347</v>
      </c>
      <c r="B10" s="3">
        <v>45915.235671296286</v>
      </c>
      <c r="C10" s="2" t="s">
        <v>60</v>
      </c>
      <c r="D10" s="2" t="s">
        <v>61</v>
      </c>
      <c r="E10" s="2" t="s">
        <v>136</v>
      </c>
      <c r="F10" s="2">
        <v>12000</v>
      </c>
      <c r="G10" s="2">
        <v>2</v>
      </c>
      <c r="H10" s="2">
        <v>0</v>
      </c>
      <c r="I10">
        <f t="shared" si="0"/>
        <v>24000</v>
      </c>
      <c r="J10">
        <f t="shared" si="1"/>
        <v>0</v>
      </c>
      <c r="K10" s="6">
        <f t="shared" si="2"/>
        <v>24000</v>
      </c>
      <c r="L10" s="2">
        <v>26000</v>
      </c>
      <c r="M10" s="6">
        <f>Table1[[#This Row],[Total Sales]]+Table1[[#This Row],[Shipping Fee]]</f>
        <v>50000</v>
      </c>
      <c r="N10" s="2" t="s">
        <v>29</v>
      </c>
      <c r="O10" t="str">
        <f>VLOOKUP(Table1[[#This Row],[Order ID]],Status!A:B, 2,FALSE)</f>
        <v>Cancelled</v>
      </c>
      <c r="P10" s="2" t="s">
        <v>23</v>
      </c>
      <c r="Q10" s="2">
        <v>1</v>
      </c>
      <c r="R10" s="2" t="s">
        <v>24</v>
      </c>
      <c r="S10" s="11" t="str">
        <f t="shared" si="3"/>
        <v>Rendah</v>
      </c>
      <c r="T10" s="2" t="str">
        <f t="shared" si="4"/>
        <v>Sangat Rendah</v>
      </c>
      <c r="V10" t="s">
        <v>2378</v>
      </c>
      <c r="W10" t="s">
        <v>2379</v>
      </c>
    </row>
    <row r="11" spans="1:26" ht="14.4" x14ac:dyDescent="0.3">
      <c r="A11" s="4" t="s">
        <v>2346</v>
      </c>
      <c r="B11" s="3">
        <v>45915.223090277781</v>
      </c>
      <c r="C11" s="2" t="s">
        <v>1654</v>
      </c>
      <c r="D11" s="2" t="s">
        <v>74</v>
      </c>
      <c r="E11" s="2" t="s">
        <v>50</v>
      </c>
      <c r="F11" s="2">
        <v>14000</v>
      </c>
      <c r="G11" s="2">
        <v>5</v>
      </c>
      <c r="H11" s="2">
        <v>20</v>
      </c>
      <c r="I11">
        <f t="shared" si="0"/>
        <v>70000</v>
      </c>
      <c r="J11">
        <f t="shared" si="1"/>
        <v>14000</v>
      </c>
      <c r="K11" s="6">
        <f t="shared" si="2"/>
        <v>56000</v>
      </c>
      <c r="L11" s="2">
        <v>87000</v>
      </c>
      <c r="M11" s="6">
        <f>Table1[[#This Row],[Total Sales]]+Table1[[#This Row],[Shipping Fee]]</f>
        <v>143000</v>
      </c>
      <c r="N11" s="2" t="s">
        <v>22</v>
      </c>
      <c r="O11" t="str">
        <f>VLOOKUP(Table1[[#This Row],[Order ID]],Status!A:B, 2,FALSE)</f>
        <v>Shipped</v>
      </c>
      <c r="P11" s="2" t="s">
        <v>36</v>
      </c>
      <c r="Q11" s="2">
        <v>3</v>
      </c>
      <c r="R11" s="2" t="s">
        <v>37</v>
      </c>
      <c r="S11" s="11" t="str">
        <f t="shared" si="3"/>
        <v>Standar</v>
      </c>
      <c r="T11" s="2" t="str">
        <f t="shared" si="4"/>
        <v>Normal</v>
      </c>
      <c r="V11" s="15">
        <v>0</v>
      </c>
      <c r="W11" t="s">
        <v>2380</v>
      </c>
    </row>
    <row r="12" spans="1:26" ht="14.4" x14ac:dyDescent="0.3">
      <c r="A12" s="4" t="s">
        <v>2346</v>
      </c>
      <c r="B12" s="3">
        <v>45915.223090277781</v>
      </c>
      <c r="C12" s="2" t="s">
        <v>1654</v>
      </c>
      <c r="D12" s="2" t="s">
        <v>74</v>
      </c>
      <c r="E12" s="2" t="s">
        <v>85</v>
      </c>
      <c r="F12" s="2">
        <v>35000</v>
      </c>
      <c r="G12" s="2">
        <v>3</v>
      </c>
      <c r="H12" s="2">
        <v>0</v>
      </c>
      <c r="I12">
        <f t="shared" si="0"/>
        <v>105000</v>
      </c>
      <c r="J12">
        <f t="shared" si="1"/>
        <v>0</v>
      </c>
      <c r="K12" s="6">
        <f t="shared" si="2"/>
        <v>105000</v>
      </c>
      <c r="L12" s="2">
        <v>0</v>
      </c>
      <c r="M12" s="6">
        <f>Table1[[#This Row],[Total Sales]]+Table1[[#This Row],[Shipping Fee]]</f>
        <v>105000</v>
      </c>
      <c r="N12" s="2" t="s">
        <v>22</v>
      </c>
      <c r="O12" t="str">
        <f>VLOOKUP(Table1[[#This Row],[Order ID]],Status!A:B, 2,FALSE)</f>
        <v>Shipped</v>
      </c>
      <c r="P12" s="2" t="s">
        <v>36</v>
      </c>
      <c r="Q12" s="2">
        <v>3</v>
      </c>
      <c r="R12" s="2" t="s">
        <v>37</v>
      </c>
      <c r="S12" s="11" t="str">
        <f t="shared" si="3"/>
        <v>Standar</v>
      </c>
      <c r="T12" s="2" t="str">
        <f t="shared" si="4"/>
        <v>Sangat Rendah</v>
      </c>
      <c r="V12" s="16">
        <v>5001</v>
      </c>
      <c r="W12" t="s">
        <v>2381</v>
      </c>
      <c r="X12" s="18" t="s">
        <v>2406</v>
      </c>
      <c r="Y12" s="18"/>
      <c r="Z12" s="18"/>
    </row>
    <row r="13" spans="1:26" ht="14.4" x14ac:dyDescent="0.3">
      <c r="A13" s="4" t="s">
        <v>2345</v>
      </c>
      <c r="B13" s="3">
        <v>45914.369270833333</v>
      </c>
      <c r="C13" s="2" t="s">
        <v>654</v>
      </c>
      <c r="D13" s="2" t="s">
        <v>375</v>
      </c>
      <c r="E13" s="2" t="s">
        <v>21</v>
      </c>
      <c r="F13" s="2">
        <v>45000</v>
      </c>
      <c r="G13" s="2">
        <v>1</v>
      </c>
      <c r="H13" s="2">
        <v>10</v>
      </c>
      <c r="I13">
        <f t="shared" si="0"/>
        <v>45000</v>
      </c>
      <c r="J13">
        <f t="shared" si="1"/>
        <v>4500</v>
      </c>
      <c r="K13" s="6">
        <f t="shared" si="2"/>
        <v>40500</v>
      </c>
      <c r="L13" s="2">
        <v>21000</v>
      </c>
      <c r="M13" s="6">
        <f>Table1[[#This Row],[Total Sales]]+Table1[[#This Row],[Shipping Fee]]</f>
        <v>61500</v>
      </c>
      <c r="N13" s="2" t="s">
        <v>63</v>
      </c>
      <c r="O13" t="str">
        <f>VLOOKUP(Table1[[#This Row],[Order ID]],Status!A:B, 2,FALSE)</f>
        <v>Pending</v>
      </c>
      <c r="P13" s="2" t="s">
        <v>82</v>
      </c>
      <c r="Q13" s="2">
        <v>3</v>
      </c>
      <c r="R13" s="2" t="s">
        <v>24</v>
      </c>
      <c r="S13" s="11" t="str">
        <f t="shared" si="3"/>
        <v>Standar</v>
      </c>
      <c r="T13" s="2" t="str">
        <f t="shared" si="4"/>
        <v>Sangat Rendah</v>
      </c>
      <c r="V13" s="16">
        <v>10001</v>
      </c>
      <c r="W13" t="s">
        <v>2382</v>
      </c>
      <c r="X13" s="17">
        <f>SUMIF(N:N,"COD",K:K)</f>
        <v>32878550</v>
      </c>
      <c r="Y13" s="17"/>
      <c r="Z13" s="17"/>
    </row>
    <row r="14" spans="1:26" ht="14.4" x14ac:dyDescent="0.3">
      <c r="A14" s="4" t="s">
        <v>2344</v>
      </c>
      <c r="B14" s="3">
        <v>45913.934953703712</v>
      </c>
      <c r="C14" s="2" t="s">
        <v>1050</v>
      </c>
      <c r="D14" s="2" t="s">
        <v>92</v>
      </c>
      <c r="E14" s="2" t="s">
        <v>62</v>
      </c>
      <c r="F14" s="2">
        <v>50000</v>
      </c>
      <c r="G14" s="2">
        <v>3</v>
      </c>
      <c r="H14" s="2">
        <v>10</v>
      </c>
      <c r="I14">
        <f t="shared" si="0"/>
        <v>150000</v>
      </c>
      <c r="J14">
        <f t="shared" si="1"/>
        <v>15000</v>
      </c>
      <c r="K14" s="6">
        <f t="shared" si="2"/>
        <v>135000</v>
      </c>
      <c r="L14" s="2">
        <v>30000</v>
      </c>
      <c r="M14" s="6">
        <f>Table1[[#This Row],[Total Sales]]+Table1[[#This Row],[Shipping Fee]]</f>
        <v>165000</v>
      </c>
      <c r="N14" s="2" t="s">
        <v>22</v>
      </c>
      <c r="O14" t="str">
        <f>VLOOKUP(Table1[[#This Row],[Order ID]],Status!A:B, 2,FALSE)</f>
        <v>Completed</v>
      </c>
      <c r="P14" s="2" t="s">
        <v>23</v>
      </c>
      <c r="Q14" s="2">
        <v>1</v>
      </c>
      <c r="R14" s="2" t="s">
        <v>24</v>
      </c>
      <c r="S14" s="11" t="str">
        <f t="shared" si="3"/>
        <v>Rendah</v>
      </c>
      <c r="T14" s="2" t="str">
        <f t="shared" si="4"/>
        <v>Normal</v>
      </c>
      <c r="V14" s="16">
        <v>20001</v>
      </c>
      <c r="W14" t="s">
        <v>2383</v>
      </c>
      <c r="X14" s="17"/>
      <c r="Y14" s="17"/>
      <c r="Z14" s="17"/>
    </row>
    <row r="15" spans="1:26" ht="14.4" x14ac:dyDescent="0.3">
      <c r="A15" s="4" t="s">
        <v>2343</v>
      </c>
      <c r="B15" s="3">
        <v>45913.671365740738</v>
      </c>
      <c r="C15" s="2" t="s">
        <v>2210</v>
      </c>
      <c r="D15" s="2" t="s">
        <v>126</v>
      </c>
      <c r="E15" s="2" t="s">
        <v>104</v>
      </c>
      <c r="F15" s="2">
        <v>30000</v>
      </c>
      <c r="G15" s="2">
        <v>5</v>
      </c>
      <c r="H15" s="2">
        <v>5</v>
      </c>
      <c r="I15">
        <f t="shared" si="0"/>
        <v>150000</v>
      </c>
      <c r="J15">
        <f t="shared" si="1"/>
        <v>7500</v>
      </c>
      <c r="K15" s="6">
        <f t="shared" si="2"/>
        <v>142500</v>
      </c>
      <c r="L15" s="2">
        <v>84000</v>
      </c>
      <c r="M15" s="6">
        <f>Table1[[#This Row],[Total Sales]]+Table1[[#This Row],[Shipping Fee]]</f>
        <v>226500</v>
      </c>
      <c r="N15" s="2" t="s">
        <v>35</v>
      </c>
      <c r="O15" t="str">
        <f>VLOOKUP(Table1[[#This Row],[Order ID]],Status!A:B, 2,FALSE)</f>
        <v>Completed</v>
      </c>
      <c r="P15" s="2" t="s">
        <v>82</v>
      </c>
      <c r="Q15" s="2">
        <v>1</v>
      </c>
      <c r="R15" s="2" t="s">
        <v>24</v>
      </c>
      <c r="S15" s="11" t="str">
        <f t="shared" si="3"/>
        <v>Rendah</v>
      </c>
      <c r="T15" s="2" t="str">
        <f t="shared" si="4"/>
        <v>Rendah</v>
      </c>
      <c r="V15" s="16">
        <v>35001</v>
      </c>
      <c r="W15" t="s">
        <v>2384</v>
      </c>
      <c r="X15" s="17"/>
      <c r="Y15" s="17"/>
      <c r="Z15" s="17"/>
    </row>
    <row r="16" spans="1:26" ht="14.4" x14ac:dyDescent="0.3">
      <c r="A16" s="4" t="s">
        <v>2342</v>
      </c>
      <c r="B16" s="3">
        <v>45913.318969907406</v>
      </c>
      <c r="C16" s="2" t="s">
        <v>1022</v>
      </c>
      <c r="D16" s="2" t="s">
        <v>177</v>
      </c>
      <c r="E16" s="2" t="s">
        <v>93</v>
      </c>
      <c r="F16" s="2">
        <v>25000</v>
      </c>
      <c r="G16" s="2">
        <v>3</v>
      </c>
      <c r="H16" s="2">
        <v>5</v>
      </c>
      <c r="I16">
        <f t="shared" si="0"/>
        <v>75000</v>
      </c>
      <c r="J16">
        <f t="shared" si="1"/>
        <v>3750</v>
      </c>
      <c r="K16" s="6">
        <f t="shared" si="2"/>
        <v>71250</v>
      </c>
      <c r="L16" s="2">
        <v>56000</v>
      </c>
      <c r="M16" s="6">
        <f>Table1[[#This Row],[Total Sales]]+Table1[[#This Row],[Shipping Fee]]</f>
        <v>127250</v>
      </c>
      <c r="N16" s="2" t="s">
        <v>63</v>
      </c>
      <c r="O16" t="str">
        <f>VLOOKUP(Table1[[#This Row],[Order ID]],Status!A:B, 2,FALSE)</f>
        <v>Pending</v>
      </c>
      <c r="P16" s="2" t="s">
        <v>23</v>
      </c>
      <c r="Q16" s="2">
        <v>5</v>
      </c>
      <c r="R16" s="2" t="s">
        <v>24</v>
      </c>
      <c r="S16" s="11" t="str">
        <f t="shared" si="3"/>
        <v>Bagus</v>
      </c>
      <c r="T16" s="2" t="str">
        <f t="shared" si="4"/>
        <v>Sangat Rendah</v>
      </c>
      <c r="V16" s="16">
        <v>50001</v>
      </c>
      <c r="W16" t="s">
        <v>2385</v>
      </c>
    </row>
    <row r="17" spans="1:27" ht="14.4" x14ac:dyDescent="0.3">
      <c r="A17" s="4" t="s">
        <v>2341</v>
      </c>
      <c r="B17" s="3">
        <v>45913.297407407408</v>
      </c>
      <c r="C17" s="2" t="s">
        <v>609</v>
      </c>
      <c r="D17" s="2" t="s">
        <v>80</v>
      </c>
      <c r="E17" s="2" t="s">
        <v>28</v>
      </c>
      <c r="F17" s="2">
        <v>5000</v>
      </c>
      <c r="G17" s="2">
        <v>1</v>
      </c>
      <c r="H17" s="2">
        <v>10</v>
      </c>
      <c r="I17">
        <f t="shared" si="0"/>
        <v>5000</v>
      </c>
      <c r="J17">
        <f t="shared" si="1"/>
        <v>500</v>
      </c>
      <c r="K17" s="6">
        <f t="shared" si="2"/>
        <v>4500</v>
      </c>
      <c r="L17" s="2">
        <v>74000</v>
      </c>
      <c r="M17" s="6">
        <f>Table1[[#This Row],[Total Sales]]+Table1[[#This Row],[Shipping Fee]]</f>
        <v>78500</v>
      </c>
      <c r="N17" s="2" t="s">
        <v>63</v>
      </c>
      <c r="O17" t="str">
        <f>VLOOKUP(Table1[[#This Row],[Order ID]],Status!A:B, 2,FALSE)</f>
        <v>Completed</v>
      </c>
      <c r="P17" s="2" t="s">
        <v>30</v>
      </c>
      <c r="Q17" s="2">
        <v>5</v>
      </c>
      <c r="R17" s="2" t="s">
        <v>24</v>
      </c>
      <c r="S17" s="11" t="str">
        <f t="shared" si="3"/>
        <v>Bagus</v>
      </c>
      <c r="T17" s="2" t="str">
        <f t="shared" si="4"/>
        <v>Sangat Rendah</v>
      </c>
      <c r="X17" s="17" t="s">
        <v>2407</v>
      </c>
      <c r="Y17" s="17"/>
      <c r="Z17" s="17"/>
    </row>
    <row r="18" spans="1:27" ht="14.4" x14ac:dyDescent="0.3">
      <c r="A18" s="4" t="s">
        <v>2340</v>
      </c>
      <c r="B18" s="3">
        <v>45913.278587962966</v>
      </c>
      <c r="C18" s="2" t="s">
        <v>1136</v>
      </c>
      <c r="D18" s="2" t="s">
        <v>195</v>
      </c>
      <c r="E18" s="2" t="s">
        <v>81</v>
      </c>
      <c r="F18" s="2">
        <v>17000</v>
      </c>
      <c r="G18" s="2">
        <v>5</v>
      </c>
      <c r="H18" s="2">
        <v>0</v>
      </c>
      <c r="I18">
        <f t="shared" si="0"/>
        <v>85000</v>
      </c>
      <c r="J18">
        <f t="shared" si="1"/>
        <v>0</v>
      </c>
      <c r="K18" s="6">
        <f t="shared" si="2"/>
        <v>85000</v>
      </c>
      <c r="L18" s="2">
        <v>87000</v>
      </c>
      <c r="M18" s="6">
        <f>Table1[[#This Row],[Total Sales]]+Table1[[#This Row],[Shipping Fee]]</f>
        <v>172000</v>
      </c>
      <c r="N18" s="2" t="s">
        <v>63</v>
      </c>
      <c r="O18" t="str">
        <f>VLOOKUP(Table1[[#This Row],[Order ID]],Status!A:B, 2,FALSE)</f>
        <v>Completed</v>
      </c>
      <c r="P18" s="2" t="s">
        <v>30</v>
      </c>
      <c r="Q18" s="2">
        <v>2</v>
      </c>
      <c r="R18" s="2" t="s">
        <v>24</v>
      </c>
      <c r="S18" s="11" t="str">
        <f t="shared" si="3"/>
        <v>Rendah</v>
      </c>
      <c r="T18" s="2" t="str">
        <f t="shared" si="4"/>
        <v>Sangat Rendah</v>
      </c>
      <c r="X18" s="17"/>
      <c r="Y18" s="17"/>
      <c r="Z18" s="17"/>
    </row>
    <row r="19" spans="1:27" ht="14.4" x14ac:dyDescent="0.3">
      <c r="A19" s="4" t="s">
        <v>2339</v>
      </c>
      <c r="B19" s="3">
        <v>45913.014201388891</v>
      </c>
      <c r="C19" s="2" t="s">
        <v>732</v>
      </c>
      <c r="D19" s="2" t="s">
        <v>170</v>
      </c>
      <c r="E19" s="2" t="s">
        <v>81</v>
      </c>
      <c r="F19" s="2">
        <v>17000</v>
      </c>
      <c r="G19" s="2">
        <v>3</v>
      </c>
      <c r="H19" s="2">
        <v>0</v>
      </c>
      <c r="I19">
        <f t="shared" si="0"/>
        <v>51000</v>
      </c>
      <c r="J19">
        <f t="shared" si="1"/>
        <v>0</v>
      </c>
      <c r="K19" s="6">
        <f t="shared" si="2"/>
        <v>51000</v>
      </c>
      <c r="L19" s="2">
        <v>46000</v>
      </c>
      <c r="M19" s="6">
        <f>Table1[[#This Row],[Total Sales]]+Table1[[#This Row],[Shipping Fee]]</f>
        <v>97000</v>
      </c>
      <c r="N19" s="2" t="s">
        <v>35</v>
      </c>
      <c r="O19" t="str">
        <f>VLOOKUP(Table1[[#This Row],[Order ID]],Status!A:B, 2,FALSE)</f>
        <v>Completed</v>
      </c>
      <c r="P19" s="2" t="s">
        <v>82</v>
      </c>
      <c r="Q19" s="2">
        <v>3</v>
      </c>
      <c r="R19" s="2" t="s">
        <v>24</v>
      </c>
      <c r="S19" s="11" t="str">
        <f t="shared" si="3"/>
        <v>Standar</v>
      </c>
      <c r="T19" s="2" t="str">
        <f t="shared" si="4"/>
        <v>Sangat Rendah</v>
      </c>
      <c r="X19" s="17"/>
      <c r="Y19" s="17"/>
      <c r="Z19" s="17"/>
    </row>
    <row r="20" spans="1:27" ht="14.4" x14ac:dyDescent="0.3">
      <c r="A20" s="4" t="s">
        <v>2339</v>
      </c>
      <c r="B20" s="3">
        <v>45913.014201388891</v>
      </c>
      <c r="C20" s="2" t="s">
        <v>732</v>
      </c>
      <c r="D20" s="2" t="s">
        <v>170</v>
      </c>
      <c r="E20" s="2" t="s">
        <v>50</v>
      </c>
      <c r="F20" s="2">
        <v>14000</v>
      </c>
      <c r="G20" s="2">
        <v>4</v>
      </c>
      <c r="H20" s="2">
        <v>0</v>
      </c>
      <c r="I20">
        <f t="shared" si="0"/>
        <v>56000</v>
      </c>
      <c r="J20">
        <f t="shared" si="1"/>
        <v>0</v>
      </c>
      <c r="K20" s="6">
        <f t="shared" si="2"/>
        <v>56000</v>
      </c>
      <c r="L20" s="2">
        <v>0</v>
      </c>
      <c r="M20" s="6">
        <f>Table1[[#This Row],[Total Sales]]+Table1[[#This Row],[Shipping Fee]]</f>
        <v>56000</v>
      </c>
      <c r="N20" s="2" t="s">
        <v>35</v>
      </c>
      <c r="O20" t="str">
        <f>VLOOKUP(Table1[[#This Row],[Order ID]],Status!A:B, 2,FALSE)</f>
        <v>Completed</v>
      </c>
      <c r="P20" s="2" t="s">
        <v>82</v>
      </c>
      <c r="Q20" s="2">
        <v>3</v>
      </c>
      <c r="R20" s="2" t="s">
        <v>24</v>
      </c>
      <c r="S20" s="11" t="str">
        <f t="shared" si="3"/>
        <v>Standar</v>
      </c>
      <c r="T20" s="2" t="str">
        <f t="shared" si="4"/>
        <v>Sangat Rendah</v>
      </c>
      <c r="X20" s="17"/>
      <c r="Y20" s="17"/>
      <c r="Z20" s="17"/>
    </row>
    <row r="21" spans="1:27" ht="15.75" customHeight="1" x14ac:dyDescent="0.3">
      <c r="A21" s="4" t="s">
        <v>2338</v>
      </c>
      <c r="B21" s="3">
        <v>45913.005798611113</v>
      </c>
      <c r="C21" s="2" t="s">
        <v>891</v>
      </c>
      <c r="D21" s="2" t="s">
        <v>126</v>
      </c>
      <c r="E21" s="2" t="s">
        <v>138</v>
      </c>
      <c r="F21" s="2">
        <v>17000</v>
      </c>
      <c r="G21" s="2">
        <v>5</v>
      </c>
      <c r="H21" s="2">
        <v>20</v>
      </c>
      <c r="I21">
        <f t="shared" si="0"/>
        <v>85000</v>
      </c>
      <c r="J21">
        <f t="shared" si="1"/>
        <v>17000</v>
      </c>
      <c r="K21" s="6">
        <f t="shared" si="2"/>
        <v>68000</v>
      </c>
      <c r="L21" s="2">
        <v>84000</v>
      </c>
      <c r="M21" s="6">
        <f>Table1[[#This Row],[Total Sales]]+Table1[[#This Row],[Shipping Fee]]</f>
        <v>152000</v>
      </c>
      <c r="N21" s="2" t="s">
        <v>22</v>
      </c>
      <c r="O21" t="str">
        <f>VLOOKUP(Table1[[#This Row],[Order ID]],Status!A:B, 2,FALSE)</f>
        <v>Completed</v>
      </c>
      <c r="P21" s="2" t="s">
        <v>36</v>
      </c>
      <c r="Q21" s="2">
        <v>5</v>
      </c>
      <c r="R21" s="2" t="s">
        <v>37</v>
      </c>
      <c r="S21" s="11" t="str">
        <f t="shared" si="3"/>
        <v>Bagus</v>
      </c>
      <c r="T21" s="2" t="str">
        <f t="shared" si="4"/>
        <v>Normal</v>
      </c>
    </row>
    <row r="22" spans="1:27" ht="15.75" customHeight="1" x14ac:dyDescent="0.3">
      <c r="A22" s="4" t="s">
        <v>2338</v>
      </c>
      <c r="B22" s="3">
        <v>45913.005798611113</v>
      </c>
      <c r="C22" s="2" t="s">
        <v>891</v>
      </c>
      <c r="D22" s="2" t="s">
        <v>126</v>
      </c>
      <c r="E22" s="2" t="s">
        <v>136</v>
      </c>
      <c r="F22" s="2">
        <v>12000</v>
      </c>
      <c r="G22" s="2">
        <v>4</v>
      </c>
      <c r="H22" s="2">
        <v>0</v>
      </c>
      <c r="I22">
        <f t="shared" si="0"/>
        <v>48000</v>
      </c>
      <c r="J22">
        <f t="shared" si="1"/>
        <v>0</v>
      </c>
      <c r="K22" s="6">
        <f t="shared" si="2"/>
        <v>48000</v>
      </c>
      <c r="L22" s="2">
        <v>0</v>
      </c>
      <c r="M22" s="6">
        <f>Table1[[#This Row],[Total Sales]]+Table1[[#This Row],[Shipping Fee]]</f>
        <v>48000</v>
      </c>
      <c r="N22" s="2" t="s">
        <v>22</v>
      </c>
      <c r="O22" t="str">
        <f>VLOOKUP(Table1[[#This Row],[Order ID]],Status!A:B, 2,FALSE)</f>
        <v>Completed</v>
      </c>
      <c r="P22" s="2" t="s">
        <v>36</v>
      </c>
      <c r="Q22" s="2">
        <v>5</v>
      </c>
      <c r="R22" s="2" t="s">
        <v>37</v>
      </c>
      <c r="S22" s="11" t="str">
        <f t="shared" si="3"/>
        <v>Bagus</v>
      </c>
      <c r="T22" s="2" t="str">
        <f t="shared" si="4"/>
        <v>Sangat Rendah</v>
      </c>
      <c r="X22" s="18" t="s">
        <v>2408</v>
      </c>
      <c r="Y22" s="18"/>
      <c r="Z22" s="18"/>
    </row>
    <row r="23" spans="1:27" ht="15.75" customHeight="1" x14ac:dyDescent="0.3">
      <c r="A23" s="4" t="s">
        <v>2337</v>
      </c>
      <c r="B23" s="3">
        <v>45912.618125000001</v>
      </c>
      <c r="C23" s="2" t="s">
        <v>1033</v>
      </c>
      <c r="D23" s="2" t="s">
        <v>122</v>
      </c>
      <c r="E23" s="2" t="s">
        <v>144</v>
      </c>
      <c r="F23" s="2">
        <v>18000</v>
      </c>
      <c r="G23" s="2">
        <v>1</v>
      </c>
      <c r="H23" s="2">
        <v>0</v>
      </c>
      <c r="I23">
        <f t="shared" si="0"/>
        <v>18000</v>
      </c>
      <c r="J23">
        <f t="shared" si="1"/>
        <v>0</v>
      </c>
      <c r="K23" s="6">
        <f t="shared" si="2"/>
        <v>18000</v>
      </c>
      <c r="L23" s="2">
        <v>78000</v>
      </c>
      <c r="M23" s="6">
        <f>Table1[[#This Row],[Total Sales]]+Table1[[#This Row],[Shipping Fee]]</f>
        <v>96000</v>
      </c>
      <c r="N23" s="2" t="s">
        <v>29</v>
      </c>
      <c r="O23" t="str">
        <f>VLOOKUP(Table1[[#This Row],[Order ID]],Status!A:B, 2,FALSE)</f>
        <v>Completed</v>
      </c>
      <c r="P23" s="2" t="s">
        <v>36</v>
      </c>
      <c r="Q23" s="2">
        <v>2</v>
      </c>
      <c r="R23" s="2" t="s">
        <v>24</v>
      </c>
      <c r="S23" s="11" t="str">
        <f t="shared" si="3"/>
        <v>Rendah</v>
      </c>
      <c r="T23" s="2" t="str">
        <f t="shared" si="4"/>
        <v>Sangat Rendah</v>
      </c>
      <c r="X23" s="17">
        <f>SUMIF(T:T,"Clearance",G:G)</f>
        <v>10</v>
      </c>
      <c r="Y23" s="17"/>
      <c r="Z23" s="17"/>
    </row>
    <row r="24" spans="1:27" ht="15.75" customHeight="1" x14ac:dyDescent="0.3">
      <c r="A24" s="4" t="s">
        <v>2336</v>
      </c>
      <c r="B24" s="3">
        <v>45912.501030092593</v>
      </c>
      <c r="C24" s="2" t="s">
        <v>900</v>
      </c>
      <c r="D24" s="2" t="s">
        <v>27</v>
      </c>
      <c r="E24" s="2" t="s">
        <v>75</v>
      </c>
      <c r="F24" s="2">
        <v>55000</v>
      </c>
      <c r="G24" s="2">
        <v>4</v>
      </c>
      <c r="H24" s="2">
        <v>20</v>
      </c>
      <c r="I24">
        <f t="shared" si="0"/>
        <v>220000</v>
      </c>
      <c r="J24">
        <f t="shared" si="1"/>
        <v>44000</v>
      </c>
      <c r="K24" s="6">
        <f t="shared" si="2"/>
        <v>176000</v>
      </c>
      <c r="L24" s="2">
        <v>17000</v>
      </c>
      <c r="M24" s="6">
        <f>Table1[[#This Row],[Total Sales]]+Table1[[#This Row],[Shipping Fee]]</f>
        <v>193000</v>
      </c>
      <c r="N24" s="2" t="s">
        <v>63</v>
      </c>
      <c r="O24" t="str">
        <f>VLOOKUP(Table1[[#This Row],[Order ID]],Status!A:B, 2,FALSE)</f>
        <v>Completed</v>
      </c>
      <c r="P24" s="2" t="s">
        <v>30</v>
      </c>
      <c r="Q24" s="2">
        <v>4</v>
      </c>
      <c r="R24" s="2" t="s">
        <v>24</v>
      </c>
      <c r="S24" s="11" t="str">
        <f t="shared" si="3"/>
        <v>Bagus</v>
      </c>
      <c r="T24" s="2" t="str">
        <f t="shared" si="4"/>
        <v>Sangat Tinggi</v>
      </c>
      <c r="X24" s="17"/>
      <c r="Y24" s="17"/>
      <c r="Z24" s="17"/>
    </row>
    <row r="25" spans="1:27" ht="15.75" customHeight="1" x14ac:dyDescent="0.3">
      <c r="A25" s="4" t="s">
        <v>2335</v>
      </c>
      <c r="B25" s="3">
        <v>45912.45</v>
      </c>
      <c r="C25" s="2" t="s">
        <v>299</v>
      </c>
      <c r="D25" s="2" t="s">
        <v>163</v>
      </c>
      <c r="E25" s="2" t="s">
        <v>144</v>
      </c>
      <c r="F25" s="2">
        <v>18000</v>
      </c>
      <c r="G25" s="2">
        <v>1</v>
      </c>
      <c r="H25" s="2">
        <v>10</v>
      </c>
      <c r="I25">
        <f t="shared" si="0"/>
        <v>18000</v>
      </c>
      <c r="J25">
        <f t="shared" si="1"/>
        <v>1800</v>
      </c>
      <c r="K25" s="6">
        <f t="shared" si="2"/>
        <v>16200</v>
      </c>
      <c r="L25" s="2">
        <v>50000</v>
      </c>
      <c r="M25" s="6">
        <f>Table1[[#This Row],[Total Sales]]+Table1[[#This Row],[Shipping Fee]]</f>
        <v>66200</v>
      </c>
      <c r="N25" s="2" t="s">
        <v>35</v>
      </c>
      <c r="O25" t="str">
        <f>VLOOKUP(Table1[[#This Row],[Order ID]],Status!A:B, 2,FALSE)</f>
        <v>Shipped</v>
      </c>
      <c r="P25" s="2" t="s">
        <v>30</v>
      </c>
      <c r="Q25" s="2">
        <v>2</v>
      </c>
      <c r="R25" s="2" t="s">
        <v>24</v>
      </c>
      <c r="S25" s="11" t="str">
        <f t="shared" si="3"/>
        <v>Rendah</v>
      </c>
      <c r="T25" s="2" t="str">
        <f t="shared" si="4"/>
        <v>Sangat Rendah</v>
      </c>
    </row>
    <row r="26" spans="1:27" ht="15.75" customHeight="1" x14ac:dyDescent="0.3">
      <c r="A26" s="4" t="s">
        <v>2334</v>
      </c>
      <c r="B26" s="3">
        <v>45912.35261574074</v>
      </c>
      <c r="C26" s="2" t="s">
        <v>305</v>
      </c>
      <c r="D26" s="2" t="s">
        <v>143</v>
      </c>
      <c r="E26" s="2" t="s">
        <v>21</v>
      </c>
      <c r="F26" s="2">
        <v>45000</v>
      </c>
      <c r="G26" s="2">
        <v>2</v>
      </c>
      <c r="H26" s="2">
        <v>20</v>
      </c>
      <c r="I26">
        <f t="shared" si="0"/>
        <v>90000</v>
      </c>
      <c r="J26">
        <f t="shared" si="1"/>
        <v>18000</v>
      </c>
      <c r="K26" s="6">
        <f t="shared" si="2"/>
        <v>72000</v>
      </c>
      <c r="L26" s="2">
        <v>50000</v>
      </c>
      <c r="M26" s="6">
        <f>Table1[[#This Row],[Total Sales]]+Table1[[#This Row],[Shipping Fee]]</f>
        <v>122000</v>
      </c>
      <c r="N26" s="2" t="s">
        <v>63</v>
      </c>
      <c r="O26" t="str">
        <f>VLOOKUP(Table1[[#This Row],[Order ID]],Status!A:B, 2,FALSE)</f>
        <v>Completed</v>
      </c>
      <c r="P26" s="2" t="s">
        <v>46</v>
      </c>
      <c r="Q26" s="2">
        <v>5</v>
      </c>
      <c r="R26" s="2" t="s">
        <v>24</v>
      </c>
      <c r="S26" s="11" t="str">
        <f t="shared" si="3"/>
        <v>Bagus</v>
      </c>
      <c r="T26" s="2" t="str">
        <f t="shared" si="4"/>
        <v>Normal</v>
      </c>
      <c r="X26" s="18" t="s">
        <v>2409</v>
      </c>
      <c r="Y26" s="18"/>
      <c r="Z26" s="18"/>
    </row>
    <row r="27" spans="1:27" ht="15.75" customHeight="1" x14ac:dyDescent="0.3">
      <c r="A27" s="4" t="s">
        <v>2333</v>
      </c>
      <c r="B27" s="3">
        <v>45912.145752314813</v>
      </c>
      <c r="C27" s="2" t="s">
        <v>488</v>
      </c>
      <c r="D27" s="2" t="s">
        <v>49</v>
      </c>
      <c r="E27" s="2" t="s">
        <v>144</v>
      </c>
      <c r="F27" s="2">
        <v>18000</v>
      </c>
      <c r="G27" s="2">
        <v>3</v>
      </c>
      <c r="H27" s="2">
        <v>20</v>
      </c>
      <c r="I27">
        <f t="shared" si="0"/>
        <v>54000</v>
      </c>
      <c r="J27">
        <f t="shared" si="1"/>
        <v>10800</v>
      </c>
      <c r="K27" s="6">
        <f t="shared" si="2"/>
        <v>43200</v>
      </c>
      <c r="L27" s="2">
        <v>43000</v>
      </c>
      <c r="M27" s="6">
        <f>Table1[[#This Row],[Total Sales]]+Table1[[#This Row],[Shipping Fee]]</f>
        <v>86200</v>
      </c>
      <c r="N27" s="2" t="s">
        <v>63</v>
      </c>
      <c r="O27" t="str">
        <f>VLOOKUP(Table1[[#This Row],[Order ID]],Status!A:B, 2,FALSE)</f>
        <v>Completed</v>
      </c>
      <c r="P27" s="2" t="s">
        <v>46</v>
      </c>
      <c r="Q27" s="2">
        <v>5</v>
      </c>
      <c r="R27" s="2" t="s">
        <v>24</v>
      </c>
      <c r="S27" s="11" t="str">
        <f t="shared" si="3"/>
        <v>Bagus</v>
      </c>
      <c r="T27" s="2" t="str">
        <f t="shared" si="4"/>
        <v>Normal</v>
      </c>
      <c r="X27" s="19">
        <f>SUMIF(T:T,"Rendah",M:M)</f>
        <v>46423250</v>
      </c>
      <c r="Y27" s="19"/>
      <c r="Z27" s="19"/>
    </row>
    <row r="28" spans="1:27" ht="15.75" customHeight="1" x14ac:dyDescent="0.3">
      <c r="A28" s="4" t="s">
        <v>2333</v>
      </c>
      <c r="B28" s="3">
        <v>45912.145752314813</v>
      </c>
      <c r="C28" s="2" t="s">
        <v>488</v>
      </c>
      <c r="D28" s="2" t="s">
        <v>49</v>
      </c>
      <c r="E28" s="2" t="s">
        <v>104</v>
      </c>
      <c r="F28" s="2">
        <v>30000</v>
      </c>
      <c r="G28" s="2">
        <v>1</v>
      </c>
      <c r="H28" s="2">
        <v>0</v>
      </c>
      <c r="I28">
        <f t="shared" si="0"/>
        <v>30000</v>
      </c>
      <c r="J28">
        <f t="shared" si="1"/>
        <v>0</v>
      </c>
      <c r="K28" s="6">
        <f t="shared" si="2"/>
        <v>30000</v>
      </c>
      <c r="L28" s="2">
        <v>0</v>
      </c>
      <c r="M28" s="6">
        <f>Table1[[#This Row],[Total Sales]]+Table1[[#This Row],[Shipping Fee]]</f>
        <v>30000</v>
      </c>
      <c r="N28" s="2" t="s">
        <v>63</v>
      </c>
      <c r="O28" t="str">
        <f>VLOOKUP(Table1[[#This Row],[Order ID]],Status!A:B, 2,FALSE)</f>
        <v>Completed</v>
      </c>
      <c r="P28" s="2" t="s">
        <v>46</v>
      </c>
      <c r="Q28" s="2">
        <v>5</v>
      </c>
      <c r="R28" s="2" t="s">
        <v>24</v>
      </c>
      <c r="S28" s="11" t="str">
        <f t="shared" si="3"/>
        <v>Bagus</v>
      </c>
      <c r="T28" s="2" t="str">
        <f t="shared" si="4"/>
        <v>Sangat Rendah</v>
      </c>
      <c r="X28" s="19"/>
      <c r="Y28" s="19"/>
      <c r="Z28" s="19"/>
    </row>
    <row r="29" spans="1:27" ht="15.75" customHeight="1" x14ac:dyDescent="0.3">
      <c r="A29" s="4" t="s">
        <v>2332</v>
      </c>
      <c r="B29" s="3">
        <v>45911.310497685183</v>
      </c>
      <c r="C29" s="2" t="s">
        <v>605</v>
      </c>
      <c r="D29" s="2" t="s">
        <v>151</v>
      </c>
      <c r="E29" s="2" t="s">
        <v>41</v>
      </c>
      <c r="F29" s="2">
        <v>4000</v>
      </c>
      <c r="G29" s="2">
        <v>2</v>
      </c>
      <c r="H29" s="2">
        <v>5</v>
      </c>
      <c r="I29">
        <f t="shared" si="0"/>
        <v>8000</v>
      </c>
      <c r="J29">
        <f t="shared" si="1"/>
        <v>400</v>
      </c>
      <c r="K29" s="6">
        <f t="shared" si="2"/>
        <v>7600</v>
      </c>
      <c r="L29" s="2">
        <v>55000</v>
      </c>
      <c r="M29" s="6">
        <f>Table1[[#This Row],[Total Sales]]+Table1[[#This Row],[Shipping Fee]]</f>
        <v>62600</v>
      </c>
      <c r="N29" s="2" t="s">
        <v>22</v>
      </c>
      <c r="O29" t="str">
        <f>VLOOKUP(Table1[[#This Row],[Order ID]],Status!A:B, 2,FALSE)</f>
        <v>Completed</v>
      </c>
      <c r="P29" s="2" t="s">
        <v>36</v>
      </c>
      <c r="Q29" s="2">
        <v>2</v>
      </c>
      <c r="R29" s="2" t="s">
        <v>24</v>
      </c>
      <c r="S29" s="11" t="str">
        <f t="shared" si="3"/>
        <v>Rendah</v>
      </c>
      <c r="T29" s="2" t="str">
        <f t="shared" si="4"/>
        <v>Sangat Rendah</v>
      </c>
    </row>
    <row r="30" spans="1:27" ht="15.75" customHeight="1" x14ac:dyDescent="0.3">
      <c r="A30" s="4" t="s">
        <v>2331</v>
      </c>
      <c r="B30" s="3">
        <v>45910.486921296288</v>
      </c>
      <c r="C30" s="2" t="s">
        <v>381</v>
      </c>
      <c r="D30" s="2" t="s">
        <v>103</v>
      </c>
      <c r="E30" s="2" t="s">
        <v>38</v>
      </c>
      <c r="F30" s="2">
        <v>28000</v>
      </c>
      <c r="G30" s="2">
        <v>5</v>
      </c>
      <c r="H30" s="2">
        <v>15</v>
      </c>
      <c r="I30">
        <f t="shared" si="0"/>
        <v>140000</v>
      </c>
      <c r="J30">
        <f t="shared" si="1"/>
        <v>21000</v>
      </c>
      <c r="K30" s="6">
        <f t="shared" si="2"/>
        <v>119000</v>
      </c>
      <c r="L30" s="2">
        <v>85000</v>
      </c>
      <c r="M30" s="6">
        <f>Table1[[#This Row],[Total Sales]]+Table1[[#This Row],[Shipping Fee]]</f>
        <v>204000</v>
      </c>
      <c r="N30" s="2" t="s">
        <v>63</v>
      </c>
      <c r="O30" t="str">
        <f>VLOOKUP(Table1[[#This Row],[Order ID]],Status!A:B, 2,FALSE)</f>
        <v>Pending</v>
      </c>
      <c r="P30" s="2" t="s">
        <v>36</v>
      </c>
      <c r="Q30" s="2">
        <v>4</v>
      </c>
      <c r="R30" s="2" t="s">
        <v>24</v>
      </c>
      <c r="S30" s="11" t="str">
        <f t="shared" si="3"/>
        <v>Bagus</v>
      </c>
      <c r="T30" s="2" t="str">
        <f t="shared" si="4"/>
        <v>Tinggi</v>
      </c>
      <c r="X30" s="20" t="s">
        <v>2410</v>
      </c>
      <c r="Y30" s="20"/>
      <c r="Z30" s="20"/>
      <c r="AA30" s="20"/>
    </row>
    <row r="31" spans="1:27" ht="15.75" customHeight="1" x14ac:dyDescent="0.3">
      <c r="A31" s="4" t="s">
        <v>2330</v>
      </c>
      <c r="B31" s="3">
        <v>45910.324317129627</v>
      </c>
      <c r="C31" s="2" t="s">
        <v>1073</v>
      </c>
      <c r="D31" s="2" t="s">
        <v>27</v>
      </c>
      <c r="E31" s="2" t="s">
        <v>38</v>
      </c>
      <c r="F31" s="2">
        <v>28000</v>
      </c>
      <c r="G31" s="2">
        <v>1</v>
      </c>
      <c r="H31" s="2">
        <v>10</v>
      </c>
      <c r="I31">
        <f t="shared" si="0"/>
        <v>28000</v>
      </c>
      <c r="J31">
        <f t="shared" si="1"/>
        <v>2800</v>
      </c>
      <c r="K31" s="6">
        <f t="shared" si="2"/>
        <v>25200</v>
      </c>
      <c r="L31" s="2">
        <v>17000</v>
      </c>
      <c r="M31" s="6">
        <f>Table1[[#This Row],[Total Sales]]+Table1[[#This Row],[Shipping Fee]]</f>
        <v>42200</v>
      </c>
      <c r="N31" s="2" t="s">
        <v>35</v>
      </c>
      <c r="O31" t="str">
        <f>VLOOKUP(Table1[[#This Row],[Order ID]],Status!A:B, 2,FALSE)</f>
        <v>Cancelled</v>
      </c>
      <c r="P31" s="2" t="s">
        <v>82</v>
      </c>
      <c r="Q31" s="2">
        <v>3</v>
      </c>
      <c r="R31" s="2" t="s">
        <v>24</v>
      </c>
      <c r="S31" s="11" t="str">
        <f t="shared" si="3"/>
        <v>Standar</v>
      </c>
      <c r="T31" s="2" t="str">
        <f t="shared" si="4"/>
        <v>Sangat Rendah</v>
      </c>
      <c r="X31" s="17">
        <f>AVERAGEIFS(Q:Q,R:R,"Perempuan",T:T,"Sangat Tinggi")</f>
        <v>3.0416666666666665</v>
      </c>
      <c r="Y31" s="17"/>
      <c r="Z31" s="17"/>
      <c r="AA31" s="17"/>
    </row>
    <row r="32" spans="1:27" ht="15.75" customHeight="1" x14ac:dyDescent="0.3">
      <c r="A32" s="4" t="s">
        <v>2329</v>
      </c>
      <c r="B32" s="3">
        <v>45910.002106481479</v>
      </c>
      <c r="C32" s="2" t="s">
        <v>1025</v>
      </c>
      <c r="D32" s="2" t="s">
        <v>119</v>
      </c>
      <c r="E32" s="2" t="s">
        <v>41</v>
      </c>
      <c r="F32" s="2">
        <v>4000</v>
      </c>
      <c r="G32" s="2">
        <v>1</v>
      </c>
      <c r="H32" s="2">
        <v>0</v>
      </c>
      <c r="I32">
        <f t="shared" si="0"/>
        <v>4000</v>
      </c>
      <c r="J32">
        <f t="shared" si="1"/>
        <v>0</v>
      </c>
      <c r="K32" s="6">
        <f t="shared" si="2"/>
        <v>4000</v>
      </c>
      <c r="L32" s="2">
        <v>0</v>
      </c>
      <c r="M32" s="6">
        <f>Table1[[#This Row],[Total Sales]]+Table1[[#This Row],[Shipping Fee]]</f>
        <v>4000</v>
      </c>
      <c r="N32" s="2" t="s">
        <v>22</v>
      </c>
      <c r="O32" t="str">
        <f>VLOOKUP(Table1[[#This Row],[Order ID]],Status!A:B, 2,FALSE)</f>
        <v>Completed</v>
      </c>
      <c r="P32" s="2" t="s">
        <v>23</v>
      </c>
      <c r="Q32" s="2">
        <v>2</v>
      </c>
      <c r="R32" s="2" t="s">
        <v>24</v>
      </c>
      <c r="S32" s="11" t="str">
        <f t="shared" si="3"/>
        <v>Rendah</v>
      </c>
      <c r="T32" s="2" t="str">
        <f t="shared" si="4"/>
        <v>Sangat Rendah</v>
      </c>
      <c r="X32" s="17"/>
      <c r="Y32" s="17"/>
      <c r="Z32" s="17"/>
      <c r="AA32" s="17"/>
    </row>
    <row r="33" spans="1:20" ht="15.75" customHeight="1" x14ac:dyDescent="0.3">
      <c r="A33" s="4" t="s">
        <v>2329</v>
      </c>
      <c r="B33" s="3">
        <v>45910.002106481479</v>
      </c>
      <c r="C33" s="2" t="s">
        <v>1025</v>
      </c>
      <c r="D33" s="2" t="s">
        <v>119</v>
      </c>
      <c r="E33" s="2" t="s">
        <v>41</v>
      </c>
      <c r="F33" s="2">
        <v>4000</v>
      </c>
      <c r="G33" s="2">
        <v>2</v>
      </c>
      <c r="H33" s="2">
        <v>15</v>
      </c>
      <c r="I33">
        <f t="shared" si="0"/>
        <v>8000</v>
      </c>
      <c r="J33">
        <f t="shared" si="1"/>
        <v>1200</v>
      </c>
      <c r="K33" s="6">
        <f t="shared" si="2"/>
        <v>6800</v>
      </c>
      <c r="L33" s="2">
        <v>0</v>
      </c>
      <c r="M33" s="6">
        <f>Table1[[#This Row],[Total Sales]]+Table1[[#This Row],[Shipping Fee]]</f>
        <v>6800</v>
      </c>
      <c r="N33" s="2" t="s">
        <v>22</v>
      </c>
      <c r="O33" t="str">
        <f>VLOOKUP(Table1[[#This Row],[Order ID]],Status!A:B, 2,FALSE)</f>
        <v>Completed</v>
      </c>
      <c r="P33" s="2" t="s">
        <v>23</v>
      </c>
      <c r="Q33" s="2">
        <v>2</v>
      </c>
      <c r="R33" s="2" t="s">
        <v>24</v>
      </c>
      <c r="S33" s="11" t="str">
        <f t="shared" si="3"/>
        <v>Rendah</v>
      </c>
      <c r="T33" s="2" t="str">
        <f t="shared" si="4"/>
        <v>Sangat Rendah</v>
      </c>
    </row>
    <row r="34" spans="1:20" ht="15.75" customHeight="1" x14ac:dyDescent="0.3">
      <c r="A34" s="4" t="s">
        <v>2328</v>
      </c>
      <c r="B34" s="3">
        <v>45909.898738425924</v>
      </c>
      <c r="C34" s="2" t="s">
        <v>441</v>
      </c>
      <c r="D34" s="2" t="s">
        <v>116</v>
      </c>
      <c r="E34" s="2" t="s">
        <v>38</v>
      </c>
      <c r="F34" s="2">
        <v>28000</v>
      </c>
      <c r="G34" s="2">
        <v>2</v>
      </c>
      <c r="H34" s="2">
        <v>5</v>
      </c>
      <c r="I34">
        <f t="shared" si="0"/>
        <v>56000</v>
      </c>
      <c r="J34">
        <f t="shared" si="1"/>
        <v>2800</v>
      </c>
      <c r="K34" s="6">
        <f t="shared" si="2"/>
        <v>53200</v>
      </c>
      <c r="L34" s="2">
        <v>72000</v>
      </c>
      <c r="M34" s="6">
        <f>Table1[[#This Row],[Total Sales]]+Table1[[#This Row],[Shipping Fee]]</f>
        <v>125200</v>
      </c>
      <c r="N34" s="2" t="s">
        <v>63</v>
      </c>
      <c r="O34" t="str">
        <f>VLOOKUP(Table1[[#This Row],[Order ID]],Status!A:B, 2,FALSE)</f>
        <v>Completed</v>
      </c>
      <c r="P34" s="2" t="s">
        <v>46</v>
      </c>
      <c r="Q34" s="2">
        <v>1</v>
      </c>
      <c r="R34" s="2" t="s">
        <v>37</v>
      </c>
      <c r="S34" s="11" t="str">
        <f t="shared" si="3"/>
        <v>Rendah</v>
      </c>
      <c r="T34" s="2" t="str">
        <f t="shared" si="4"/>
        <v>Sangat Rendah</v>
      </c>
    </row>
    <row r="35" spans="1:20" ht="15.75" customHeight="1" x14ac:dyDescent="0.3">
      <c r="A35" s="4" t="s">
        <v>2327</v>
      </c>
      <c r="B35" s="3">
        <v>45909.625439814823</v>
      </c>
      <c r="C35" s="2" t="s">
        <v>299</v>
      </c>
      <c r="D35" s="2" t="s">
        <v>163</v>
      </c>
      <c r="E35" s="2" t="s">
        <v>58</v>
      </c>
      <c r="F35" s="2">
        <v>16000</v>
      </c>
      <c r="G35" s="2">
        <v>3</v>
      </c>
      <c r="H35" s="2">
        <v>20</v>
      </c>
      <c r="I35">
        <f t="shared" si="0"/>
        <v>48000</v>
      </c>
      <c r="J35">
        <f t="shared" si="1"/>
        <v>9600</v>
      </c>
      <c r="K35" s="6">
        <f t="shared" si="2"/>
        <v>38400</v>
      </c>
      <c r="L35" s="2">
        <v>50000</v>
      </c>
      <c r="M35" s="6">
        <f>Table1[[#This Row],[Total Sales]]+Table1[[#This Row],[Shipping Fee]]</f>
        <v>88400</v>
      </c>
      <c r="N35" s="2" t="s">
        <v>63</v>
      </c>
      <c r="O35" t="str">
        <f>VLOOKUP(Table1[[#This Row],[Order ID]],Status!A:B, 2,FALSE)</f>
        <v>Pending</v>
      </c>
      <c r="P35" s="2" t="s">
        <v>36</v>
      </c>
      <c r="Q35" s="2">
        <v>4</v>
      </c>
      <c r="R35" s="2" t="s">
        <v>24</v>
      </c>
      <c r="S35" s="11" t="str">
        <f t="shared" si="3"/>
        <v>Bagus</v>
      </c>
      <c r="T35" s="2" t="str">
        <f t="shared" si="4"/>
        <v>Rendah</v>
      </c>
    </row>
    <row r="36" spans="1:20" ht="15.75" customHeight="1" x14ac:dyDescent="0.3">
      <c r="A36" s="4" t="s">
        <v>2326</v>
      </c>
      <c r="B36" s="3">
        <v>45909.471724537027</v>
      </c>
      <c r="C36" s="2" t="s">
        <v>1128</v>
      </c>
      <c r="D36" s="2" t="s">
        <v>113</v>
      </c>
      <c r="E36" s="2" t="s">
        <v>110</v>
      </c>
      <c r="F36" s="2">
        <v>6000</v>
      </c>
      <c r="G36" s="2">
        <v>4</v>
      </c>
      <c r="H36" s="2">
        <v>10</v>
      </c>
      <c r="I36">
        <f t="shared" si="0"/>
        <v>24000</v>
      </c>
      <c r="J36">
        <f t="shared" si="1"/>
        <v>2400</v>
      </c>
      <c r="K36" s="6">
        <f t="shared" si="2"/>
        <v>21600</v>
      </c>
      <c r="L36" s="2">
        <v>18000</v>
      </c>
      <c r="M36" s="6">
        <f>Table1[[#This Row],[Total Sales]]+Table1[[#This Row],[Shipping Fee]]</f>
        <v>39600</v>
      </c>
      <c r="N36" s="2" t="s">
        <v>22</v>
      </c>
      <c r="O36" t="str">
        <f>VLOOKUP(Table1[[#This Row],[Order ID]],Status!A:B, 2,FALSE)</f>
        <v>Completed</v>
      </c>
      <c r="P36" s="2" t="s">
        <v>46</v>
      </c>
      <c r="Q36" s="2">
        <v>1</v>
      </c>
      <c r="R36" s="2" t="s">
        <v>24</v>
      </c>
      <c r="S36" s="11" t="str">
        <f t="shared" si="3"/>
        <v>Rendah</v>
      </c>
      <c r="T36" s="2" t="str">
        <f t="shared" si="4"/>
        <v>Sangat Rendah</v>
      </c>
    </row>
    <row r="37" spans="1:20" ht="15.75" customHeight="1" x14ac:dyDescent="0.3">
      <c r="A37" s="4" t="s">
        <v>2325</v>
      </c>
      <c r="B37" s="3">
        <v>45909.465266203697</v>
      </c>
      <c r="C37" s="2" t="s">
        <v>722</v>
      </c>
      <c r="D37" s="2" t="s">
        <v>57</v>
      </c>
      <c r="E37" s="2" t="s">
        <v>93</v>
      </c>
      <c r="F37" s="2">
        <v>25000</v>
      </c>
      <c r="G37" s="2">
        <v>4</v>
      </c>
      <c r="H37" s="2">
        <v>5</v>
      </c>
      <c r="I37">
        <f t="shared" si="0"/>
        <v>100000</v>
      </c>
      <c r="J37">
        <f t="shared" si="1"/>
        <v>5000</v>
      </c>
      <c r="K37" s="6">
        <f t="shared" si="2"/>
        <v>95000</v>
      </c>
      <c r="L37" s="2">
        <v>80000</v>
      </c>
      <c r="M37" s="6">
        <f>Table1[[#This Row],[Total Sales]]+Table1[[#This Row],[Shipping Fee]]</f>
        <v>175000</v>
      </c>
      <c r="N37" s="2" t="s">
        <v>29</v>
      </c>
      <c r="O37" t="str">
        <f>VLOOKUP(Table1[[#This Row],[Order ID]],Status!A:B, 2,FALSE)</f>
        <v>Completed</v>
      </c>
      <c r="P37" s="2" t="s">
        <v>46</v>
      </c>
      <c r="Q37" s="2">
        <v>5</v>
      </c>
      <c r="R37" s="2" t="s">
        <v>24</v>
      </c>
      <c r="S37" s="11" t="str">
        <f t="shared" si="3"/>
        <v>Bagus</v>
      </c>
      <c r="T37" s="2" t="str">
        <f t="shared" si="4"/>
        <v>Sangat Rendah</v>
      </c>
    </row>
    <row r="38" spans="1:20" ht="15.75" customHeight="1" x14ac:dyDescent="0.3">
      <c r="A38" s="4" t="s">
        <v>2324</v>
      </c>
      <c r="B38" s="3">
        <v>45909.124780092592</v>
      </c>
      <c r="C38" s="2" t="s">
        <v>1160</v>
      </c>
      <c r="D38" s="2" t="s">
        <v>96</v>
      </c>
      <c r="E38" s="2" t="s">
        <v>67</v>
      </c>
      <c r="F38" s="2">
        <v>15000</v>
      </c>
      <c r="G38" s="2">
        <v>2</v>
      </c>
      <c r="H38" s="2">
        <v>15</v>
      </c>
      <c r="I38">
        <f t="shared" si="0"/>
        <v>30000</v>
      </c>
      <c r="J38">
        <f t="shared" si="1"/>
        <v>4500</v>
      </c>
      <c r="K38" s="6">
        <f t="shared" si="2"/>
        <v>25500</v>
      </c>
      <c r="L38" s="2">
        <v>49000</v>
      </c>
      <c r="M38" s="6">
        <f>Table1[[#This Row],[Total Sales]]+Table1[[#This Row],[Shipping Fee]]</f>
        <v>74500</v>
      </c>
      <c r="N38" s="2" t="s">
        <v>29</v>
      </c>
      <c r="O38" t="str">
        <f>VLOOKUP(Table1[[#This Row],[Order ID]],Status!A:B, 2,FALSE)</f>
        <v>Completed</v>
      </c>
      <c r="P38" s="2" t="s">
        <v>46</v>
      </c>
      <c r="Q38" s="2">
        <v>3</v>
      </c>
      <c r="R38" s="2" t="s">
        <v>24</v>
      </c>
      <c r="S38" s="11" t="str">
        <f t="shared" si="3"/>
        <v>Standar</v>
      </c>
      <c r="T38" s="2" t="str">
        <f t="shared" si="4"/>
        <v>Sangat Rendah</v>
      </c>
    </row>
    <row r="39" spans="1:20" ht="15.75" customHeight="1" x14ac:dyDescent="0.3">
      <c r="A39" s="4" t="s">
        <v>2323</v>
      </c>
      <c r="B39" s="3">
        <v>45908.992615740739</v>
      </c>
      <c r="C39" s="2" t="s">
        <v>584</v>
      </c>
      <c r="D39" s="2" t="s">
        <v>92</v>
      </c>
      <c r="E39" s="2" t="s">
        <v>58</v>
      </c>
      <c r="F39" s="2">
        <v>16000</v>
      </c>
      <c r="G39" s="2">
        <v>1</v>
      </c>
      <c r="H39" s="2">
        <v>0</v>
      </c>
      <c r="I39">
        <f t="shared" si="0"/>
        <v>16000</v>
      </c>
      <c r="J39">
        <f t="shared" si="1"/>
        <v>0</v>
      </c>
      <c r="K39" s="6">
        <f t="shared" si="2"/>
        <v>16000</v>
      </c>
      <c r="L39" s="2">
        <v>30000</v>
      </c>
      <c r="M39" s="6">
        <f>Table1[[#This Row],[Total Sales]]+Table1[[#This Row],[Shipping Fee]]</f>
        <v>46000</v>
      </c>
      <c r="N39" s="2" t="s">
        <v>22</v>
      </c>
      <c r="O39" t="str">
        <f>VLOOKUP(Table1[[#This Row],[Order ID]],Status!A:B, 2,FALSE)</f>
        <v>Cancelled</v>
      </c>
      <c r="P39" s="2" t="s">
        <v>82</v>
      </c>
      <c r="Q39" s="2">
        <v>4</v>
      </c>
      <c r="R39" s="2" t="s">
        <v>24</v>
      </c>
      <c r="S39" s="11" t="str">
        <f t="shared" si="3"/>
        <v>Bagus</v>
      </c>
      <c r="T39" s="2" t="str">
        <f t="shared" si="4"/>
        <v>Sangat Rendah</v>
      </c>
    </row>
    <row r="40" spans="1:20" ht="15.75" customHeight="1" x14ac:dyDescent="0.3">
      <c r="A40" s="4" t="s">
        <v>2322</v>
      </c>
      <c r="B40" s="3">
        <v>45908.257928240739</v>
      </c>
      <c r="C40" s="2" t="s">
        <v>711</v>
      </c>
      <c r="D40" s="2" t="s">
        <v>177</v>
      </c>
      <c r="E40" s="2" t="s">
        <v>54</v>
      </c>
      <c r="F40" s="2">
        <v>16000</v>
      </c>
      <c r="G40" s="2">
        <v>2</v>
      </c>
      <c r="H40" s="2">
        <v>10</v>
      </c>
      <c r="I40">
        <f t="shared" si="0"/>
        <v>32000</v>
      </c>
      <c r="J40">
        <f t="shared" si="1"/>
        <v>3200</v>
      </c>
      <c r="K40" s="6">
        <f t="shared" si="2"/>
        <v>28800</v>
      </c>
      <c r="L40" s="2">
        <v>56000</v>
      </c>
      <c r="M40" s="6">
        <f>Table1[[#This Row],[Total Sales]]+Table1[[#This Row],[Shipping Fee]]</f>
        <v>84800</v>
      </c>
      <c r="N40" s="2" t="s">
        <v>35</v>
      </c>
      <c r="O40" t="str">
        <f>VLOOKUP(Table1[[#This Row],[Order ID]],Status!A:B, 2,FALSE)</f>
        <v>Completed</v>
      </c>
      <c r="P40" s="2" t="s">
        <v>30</v>
      </c>
      <c r="Q40" s="2">
        <v>2</v>
      </c>
      <c r="R40" s="2" t="s">
        <v>24</v>
      </c>
      <c r="S40" s="11" t="str">
        <f t="shared" si="3"/>
        <v>Rendah</v>
      </c>
      <c r="T40" s="2" t="str">
        <f t="shared" si="4"/>
        <v>Sangat Rendah</v>
      </c>
    </row>
    <row r="41" spans="1:20" ht="15.75" customHeight="1" x14ac:dyDescent="0.3">
      <c r="A41" s="4" t="s">
        <v>2321</v>
      </c>
      <c r="B41" s="3">
        <v>45908.174062500002</v>
      </c>
      <c r="C41" s="2" t="s">
        <v>150</v>
      </c>
      <c r="D41" s="2" t="s">
        <v>151</v>
      </c>
      <c r="E41" s="2" t="s">
        <v>75</v>
      </c>
      <c r="F41" s="2">
        <v>55000</v>
      </c>
      <c r="G41" s="2">
        <v>3</v>
      </c>
      <c r="H41" s="2">
        <v>5</v>
      </c>
      <c r="I41">
        <f t="shared" si="0"/>
        <v>165000</v>
      </c>
      <c r="J41">
        <f t="shared" si="1"/>
        <v>8250</v>
      </c>
      <c r="K41" s="6">
        <f t="shared" si="2"/>
        <v>156750</v>
      </c>
      <c r="L41" s="2">
        <v>55000</v>
      </c>
      <c r="M41" s="6">
        <f>Table1[[#This Row],[Total Sales]]+Table1[[#This Row],[Shipping Fee]]</f>
        <v>211750</v>
      </c>
      <c r="N41" s="2" t="s">
        <v>35</v>
      </c>
      <c r="O41" t="str">
        <f>VLOOKUP(Table1[[#This Row],[Order ID]],Status!A:B, 2,FALSE)</f>
        <v>Pending</v>
      </c>
      <c r="P41" s="2" t="s">
        <v>82</v>
      </c>
      <c r="Q41" s="2">
        <v>5</v>
      </c>
      <c r="R41" s="2" t="s">
        <v>37</v>
      </c>
      <c r="S41" s="11" t="str">
        <f t="shared" si="3"/>
        <v>Bagus</v>
      </c>
      <c r="T41" s="2" t="str">
        <f t="shared" si="4"/>
        <v>Rendah</v>
      </c>
    </row>
    <row r="42" spans="1:20" ht="15.75" customHeight="1" x14ac:dyDescent="0.3">
      <c r="A42" s="4" t="s">
        <v>2320</v>
      </c>
      <c r="B42" s="3">
        <v>45908.137361111112</v>
      </c>
      <c r="C42" s="2" t="s">
        <v>381</v>
      </c>
      <c r="D42" s="2" t="s">
        <v>103</v>
      </c>
      <c r="E42" s="2" t="s">
        <v>21</v>
      </c>
      <c r="F42" s="2">
        <v>45000</v>
      </c>
      <c r="G42" s="2">
        <v>3</v>
      </c>
      <c r="H42" s="2">
        <v>5</v>
      </c>
      <c r="I42">
        <f t="shared" si="0"/>
        <v>135000</v>
      </c>
      <c r="J42">
        <f t="shared" si="1"/>
        <v>6750</v>
      </c>
      <c r="K42" s="6">
        <f t="shared" si="2"/>
        <v>128250</v>
      </c>
      <c r="L42" s="2">
        <v>85000</v>
      </c>
      <c r="M42" s="6">
        <f>Table1[[#This Row],[Total Sales]]+Table1[[#This Row],[Shipping Fee]]</f>
        <v>213250</v>
      </c>
      <c r="N42" s="2" t="s">
        <v>29</v>
      </c>
      <c r="O42" t="str">
        <f>VLOOKUP(Table1[[#This Row],[Order ID]],Status!A:B, 2,FALSE)</f>
        <v>Completed</v>
      </c>
      <c r="P42" s="2" t="s">
        <v>30</v>
      </c>
      <c r="Q42" s="2">
        <v>1</v>
      </c>
      <c r="R42" s="2" t="s">
        <v>24</v>
      </c>
      <c r="S42" s="11" t="str">
        <f t="shared" si="3"/>
        <v>Rendah</v>
      </c>
      <c r="T42" s="2" t="str">
        <f t="shared" si="4"/>
        <v>Rendah</v>
      </c>
    </row>
    <row r="43" spans="1:20" ht="15.75" customHeight="1" x14ac:dyDescent="0.3">
      <c r="A43" s="4" t="s">
        <v>2319</v>
      </c>
      <c r="B43" s="3">
        <v>45907.97729166667</v>
      </c>
      <c r="C43" s="2" t="s">
        <v>495</v>
      </c>
      <c r="D43" s="2" t="s">
        <v>44</v>
      </c>
      <c r="E43" s="2" t="s">
        <v>190</v>
      </c>
      <c r="F43" s="2">
        <v>35000</v>
      </c>
      <c r="G43" s="2">
        <v>5</v>
      </c>
      <c r="H43" s="2">
        <v>15</v>
      </c>
      <c r="I43">
        <f t="shared" si="0"/>
        <v>175000</v>
      </c>
      <c r="J43">
        <f t="shared" si="1"/>
        <v>26250</v>
      </c>
      <c r="K43" s="6">
        <f t="shared" si="2"/>
        <v>148750</v>
      </c>
      <c r="L43" s="2">
        <v>93000</v>
      </c>
      <c r="M43" s="6">
        <f>Table1[[#This Row],[Total Sales]]+Table1[[#This Row],[Shipping Fee]]</f>
        <v>241750</v>
      </c>
      <c r="N43" s="2" t="s">
        <v>29</v>
      </c>
      <c r="O43" t="str">
        <f>VLOOKUP(Table1[[#This Row],[Order ID]],Status!A:B, 2,FALSE)</f>
        <v>Pending</v>
      </c>
      <c r="P43" s="2" t="s">
        <v>30</v>
      </c>
      <c r="Q43" s="2">
        <v>1</v>
      </c>
      <c r="R43" s="2" t="s">
        <v>37</v>
      </c>
      <c r="S43" s="11" t="str">
        <f t="shared" si="3"/>
        <v>Rendah</v>
      </c>
      <c r="T43" s="2" t="str">
        <f t="shared" si="4"/>
        <v>Tinggi</v>
      </c>
    </row>
    <row r="44" spans="1:20" ht="15.75" customHeight="1" x14ac:dyDescent="0.3">
      <c r="A44" s="4" t="s">
        <v>2318</v>
      </c>
      <c r="B44" s="3">
        <v>45907.415150462963</v>
      </c>
      <c r="C44" s="2" t="s">
        <v>1794</v>
      </c>
      <c r="D44" s="2" t="s">
        <v>195</v>
      </c>
      <c r="E44" s="2" t="s">
        <v>21</v>
      </c>
      <c r="F44" s="2">
        <v>45000</v>
      </c>
      <c r="G44" s="2">
        <v>3</v>
      </c>
      <c r="H44" s="2">
        <v>20</v>
      </c>
      <c r="I44">
        <f t="shared" si="0"/>
        <v>135000</v>
      </c>
      <c r="J44">
        <f t="shared" si="1"/>
        <v>27000</v>
      </c>
      <c r="K44" s="6">
        <f t="shared" si="2"/>
        <v>108000</v>
      </c>
      <c r="L44" s="2">
        <v>87000</v>
      </c>
      <c r="M44" s="6">
        <f>Table1[[#This Row],[Total Sales]]+Table1[[#This Row],[Shipping Fee]]</f>
        <v>195000</v>
      </c>
      <c r="N44" s="2" t="s">
        <v>29</v>
      </c>
      <c r="O44" t="str">
        <f>VLOOKUP(Table1[[#This Row],[Order ID]],Status!A:B, 2,FALSE)</f>
        <v>Pending</v>
      </c>
      <c r="P44" s="2" t="s">
        <v>30</v>
      </c>
      <c r="Q44" s="2">
        <v>4</v>
      </c>
      <c r="R44" s="2" t="s">
        <v>37</v>
      </c>
      <c r="S44" s="11" t="str">
        <f t="shared" si="3"/>
        <v>Bagus</v>
      </c>
      <c r="T44" s="2" t="str">
        <f t="shared" si="4"/>
        <v>Tinggi</v>
      </c>
    </row>
    <row r="45" spans="1:20" ht="15.75" customHeight="1" x14ac:dyDescent="0.3">
      <c r="A45" s="4" t="s">
        <v>2317</v>
      </c>
      <c r="B45" s="3">
        <v>45907.406712962962</v>
      </c>
      <c r="C45" s="2" t="s">
        <v>794</v>
      </c>
      <c r="D45" s="2" t="s">
        <v>61</v>
      </c>
      <c r="E45" s="2" t="s">
        <v>138</v>
      </c>
      <c r="F45" s="2">
        <v>17000</v>
      </c>
      <c r="G45" s="2">
        <v>3</v>
      </c>
      <c r="H45" s="2">
        <v>10</v>
      </c>
      <c r="I45">
        <f t="shared" si="0"/>
        <v>51000</v>
      </c>
      <c r="J45">
        <f t="shared" si="1"/>
        <v>5100</v>
      </c>
      <c r="K45" s="6">
        <f t="shared" si="2"/>
        <v>45900</v>
      </c>
      <c r="L45" s="2">
        <v>26000</v>
      </c>
      <c r="M45" s="6">
        <f>Table1[[#This Row],[Total Sales]]+Table1[[#This Row],[Shipping Fee]]</f>
        <v>71900</v>
      </c>
      <c r="N45" s="2" t="s">
        <v>22</v>
      </c>
      <c r="O45" t="str">
        <f>VLOOKUP(Table1[[#This Row],[Order ID]],Status!A:B, 2,FALSE)</f>
        <v>Shipped</v>
      </c>
      <c r="P45" s="2" t="s">
        <v>36</v>
      </c>
      <c r="Q45" s="2">
        <v>4</v>
      </c>
      <c r="R45" s="2" t="s">
        <v>37</v>
      </c>
      <c r="S45" s="11" t="str">
        <f t="shared" si="3"/>
        <v>Bagus</v>
      </c>
      <c r="T45" s="2" t="str">
        <f t="shared" si="4"/>
        <v>Rendah</v>
      </c>
    </row>
    <row r="46" spans="1:20" ht="15.75" customHeight="1" x14ac:dyDescent="0.3">
      <c r="A46" s="4" t="s">
        <v>2316</v>
      </c>
      <c r="B46" s="3">
        <v>45907.29928240741</v>
      </c>
      <c r="C46" s="2" t="s">
        <v>976</v>
      </c>
      <c r="D46" s="2" t="s">
        <v>182</v>
      </c>
      <c r="E46" s="2" t="s">
        <v>21</v>
      </c>
      <c r="F46" s="2">
        <v>45000</v>
      </c>
      <c r="G46" s="2">
        <v>3</v>
      </c>
      <c r="H46" s="2">
        <v>0</v>
      </c>
      <c r="I46">
        <f t="shared" si="0"/>
        <v>135000</v>
      </c>
      <c r="J46">
        <f t="shared" si="1"/>
        <v>0</v>
      </c>
      <c r="K46" s="6">
        <f t="shared" si="2"/>
        <v>135000</v>
      </c>
      <c r="L46" s="2">
        <v>48000</v>
      </c>
      <c r="M46" s="6">
        <f>Table1[[#This Row],[Total Sales]]+Table1[[#This Row],[Shipping Fee]]</f>
        <v>183000</v>
      </c>
      <c r="N46" s="2" t="s">
        <v>63</v>
      </c>
      <c r="O46" t="str">
        <f>VLOOKUP(Table1[[#This Row],[Order ID]],Status!A:B, 2,FALSE)</f>
        <v>Completed</v>
      </c>
      <c r="P46" s="2" t="s">
        <v>46</v>
      </c>
      <c r="Q46" s="2">
        <v>1</v>
      </c>
      <c r="R46" s="2" t="s">
        <v>24</v>
      </c>
      <c r="S46" s="11" t="str">
        <f t="shared" si="3"/>
        <v>Rendah</v>
      </c>
      <c r="T46" s="2" t="str">
        <f t="shared" si="4"/>
        <v>Sangat Rendah</v>
      </c>
    </row>
    <row r="47" spans="1:20" ht="15.75" customHeight="1" x14ac:dyDescent="0.3">
      <c r="A47" s="4" t="s">
        <v>2315</v>
      </c>
      <c r="B47" s="3">
        <v>45907.163194444453</v>
      </c>
      <c r="C47" s="2" t="s">
        <v>1237</v>
      </c>
      <c r="D47" s="2" t="s">
        <v>92</v>
      </c>
      <c r="E47" s="2" t="s">
        <v>71</v>
      </c>
      <c r="F47" s="2">
        <v>40000</v>
      </c>
      <c r="G47" s="2">
        <v>1</v>
      </c>
      <c r="H47" s="2">
        <v>5</v>
      </c>
      <c r="I47">
        <f t="shared" si="0"/>
        <v>40000</v>
      </c>
      <c r="J47">
        <f t="shared" si="1"/>
        <v>2000</v>
      </c>
      <c r="K47" s="6">
        <f t="shared" si="2"/>
        <v>38000</v>
      </c>
      <c r="L47" s="2">
        <v>30000</v>
      </c>
      <c r="M47" s="6">
        <f>Table1[[#This Row],[Total Sales]]+Table1[[#This Row],[Shipping Fee]]</f>
        <v>68000</v>
      </c>
      <c r="N47" s="2" t="s">
        <v>29</v>
      </c>
      <c r="O47" t="str">
        <f>VLOOKUP(Table1[[#This Row],[Order ID]],Status!A:B, 2,FALSE)</f>
        <v>Pending</v>
      </c>
      <c r="P47" s="2" t="s">
        <v>46</v>
      </c>
      <c r="Q47" s="2">
        <v>5</v>
      </c>
      <c r="R47" s="2" t="s">
        <v>24</v>
      </c>
      <c r="S47" s="11" t="str">
        <f t="shared" si="3"/>
        <v>Bagus</v>
      </c>
      <c r="T47" s="2" t="str">
        <f t="shared" si="4"/>
        <v>Sangat Rendah</v>
      </c>
    </row>
    <row r="48" spans="1:20" ht="15.75" customHeight="1" x14ac:dyDescent="0.3">
      <c r="A48" s="4" t="s">
        <v>2314</v>
      </c>
      <c r="B48" s="3">
        <v>45907.025393518517</v>
      </c>
      <c r="C48" s="2" t="s">
        <v>473</v>
      </c>
      <c r="D48" s="2" t="s">
        <v>122</v>
      </c>
      <c r="E48" s="2" t="s">
        <v>58</v>
      </c>
      <c r="F48" s="2">
        <v>16000</v>
      </c>
      <c r="G48" s="2">
        <v>4</v>
      </c>
      <c r="H48" s="2">
        <v>15</v>
      </c>
      <c r="I48">
        <f t="shared" si="0"/>
        <v>64000</v>
      </c>
      <c r="J48">
        <f t="shared" si="1"/>
        <v>9600</v>
      </c>
      <c r="K48" s="6">
        <f t="shared" si="2"/>
        <v>54400</v>
      </c>
      <c r="L48" s="2">
        <v>78000</v>
      </c>
      <c r="M48" s="6">
        <f>Table1[[#This Row],[Total Sales]]+Table1[[#This Row],[Shipping Fee]]</f>
        <v>132400</v>
      </c>
      <c r="N48" s="2" t="s">
        <v>29</v>
      </c>
      <c r="O48" t="str">
        <f>VLOOKUP(Table1[[#This Row],[Order ID]],Status!A:B, 2,FALSE)</f>
        <v>Completed</v>
      </c>
      <c r="P48" s="2" t="s">
        <v>36</v>
      </c>
      <c r="Q48" s="2">
        <v>3</v>
      </c>
      <c r="R48" s="2" t="s">
        <v>24</v>
      </c>
      <c r="S48" s="11" t="str">
        <f t="shared" si="3"/>
        <v>Standar</v>
      </c>
      <c r="T48" s="2" t="str">
        <f t="shared" si="4"/>
        <v>Rendah</v>
      </c>
    </row>
    <row r="49" spans="1:20" ht="15.75" customHeight="1" x14ac:dyDescent="0.3">
      <c r="A49" s="4" t="s">
        <v>2313</v>
      </c>
      <c r="B49" s="3">
        <v>45906.4375462963</v>
      </c>
      <c r="C49" s="2" t="s">
        <v>483</v>
      </c>
      <c r="D49" s="2" t="s">
        <v>170</v>
      </c>
      <c r="E49" s="2" t="s">
        <v>144</v>
      </c>
      <c r="F49" s="2">
        <v>18000</v>
      </c>
      <c r="G49" s="2">
        <v>5</v>
      </c>
      <c r="H49" s="2">
        <v>0</v>
      </c>
      <c r="I49">
        <f t="shared" si="0"/>
        <v>90000</v>
      </c>
      <c r="J49">
        <f t="shared" si="1"/>
        <v>0</v>
      </c>
      <c r="K49" s="6">
        <f t="shared" si="2"/>
        <v>90000</v>
      </c>
      <c r="L49" s="2">
        <v>46000</v>
      </c>
      <c r="M49" s="6">
        <f>Table1[[#This Row],[Total Sales]]+Table1[[#This Row],[Shipping Fee]]</f>
        <v>136000</v>
      </c>
      <c r="N49" s="2" t="s">
        <v>29</v>
      </c>
      <c r="O49" t="str">
        <f>VLOOKUP(Table1[[#This Row],[Order ID]],Status!A:B, 2,FALSE)</f>
        <v>Pending</v>
      </c>
      <c r="P49" s="2" t="s">
        <v>82</v>
      </c>
      <c r="Q49" s="2">
        <v>1</v>
      </c>
      <c r="R49" s="2" t="s">
        <v>24</v>
      </c>
      <c r="S49" s="11" t="str">
        <f t="shared" si="3"/>
        <v>Rendah</v>
      </c>
      <c r="T49" s="2" t="str">
        <f t="shared" si="4"/>
        <v>Sangat Rendah</v>
      </c>
    </row>
    <row r="50" spans="1:20" ht="15.75" customHeight="1" x14ac:dyDescent="0.3">
      <c r="A50" s="4" t="s">
        <v>2312</v>
      </c>
      <c r="B50" s="3">
        <v>45906.208703703713</v>
      </c>
      <c r="C50" s="2" t="s">
        <v>1887</v>
      </c>
      <c r="D50" s="2" t="s">
        <v>238</v>
      </c>
      <c r="E50" s="2" t="s">
        <v>144</v>
      </c>
      <c r="F50" s="2">
        <v>18000</v>
      </c>
      <c r="G50" s="2">
        <v>4</v>
      </c>
      <c r="H50" s="2">
        <v>15</v>
      </c>
      <c r="I50">
        <f t="shared" si="0"/>
        <v>72000</v>
      </c>
      <c r="J50">
        <f t="shared" si="1"/>
        <v>10800</v>
      </c>
      <c r="K50" s="6">
        <f t="shared" si="2"/>
        <v>61200</v>
      </c>
      <c r="L50" s="2">
        <v>28000</v>
      </c>
      <c r="M50" s="6">
        <f>Table1[[#This Row],[Total Sales]]+Table1[[#This Row],[Shipping Fee]]</f>
        <v>89200</v>
      </c>
      <c r="N50" s="2" t="s">
        <v>35</v>
      </c>
      <c r="O50" t="str">
        <f>VLOOKUP(Table1[[#This Row],[Order ID]],Status!A:B, 2,FALSE)</f>
        <v>Shipped</v>
      </c>
      <c r="P50" s="2" t="s">
        <v>23</v>
      </c>
      <c r="Q50" s="2">
        <v>3</v>
      </c>
      <c r="R50" s="2" t="s">
        <v>24</v>
      </c>
      <c r="S50" s="11" t="str">
        <f t="shared" si="3"/>
        <v>Standar</v>
      </c>
      <c r="T50" s="2" t="str">
        <f t="shared" si="4"/>
        <v>Normal</v>
      </c>
    </row>
    <row r="51" spans="1:20" ht="15.75" customHeight="1" x14ac:dyDescent="0.3">
      <c r="A51" s="4" t="s">
        <v>2311</v>
      </c>
      <c r="B51" s="3">
        <v>45905.909791666672</v>
      </c>
      <c r="C51" s="2" t="s">
        <v>167</v>
      </c>
      <c r="D51" s="2" t="s">
        <v>44</v>
      </c>
      <c r="E51" s="2" t="s">
        <v>174</v>
      </c>
      <c r="F51" s="2">
        <v>10000</v>
      </c>
      <c r="G51" s="2">
        <v>1</v>
      </c>
      <c r="H51" s="2">
        <v>15</v>
      </c>
      <c r="I51">
        <f t="shared" si="0"/>
        <v>10000</v>
      </c>
      <c r="J51">
        <f t="shared" si="1"/>
        <v>1500</v>
      </c>
      <c r="K51" s="6">
        <f t="shared" si="2"/>
        <v>8500</v>
      </c>
      <c r="L51" s="2">
        <v>93000</v>
      </c>
      <c r="M51" s="6">
        <f>Table1[[#This Row],[Total Sales]]+Table1[[#This Row],[Shipping Fee]]</f>
        <v>101500</v>
      </c>
      <c r="N51" s="2" t="s">
        <v>63</v>
      </c>
      <c r="O51" t="str">
        <f>VLOOKUP(Table1[[#This Row],[Order ID]],Status!A:B, 2,FALSE)</f>
        <v>Shipped</v>
      </c>
      <c r="P51" s="2" t="s">
        <v>30</v>
      </c>
      <c r="Q51" s="2">
        <v>3</v>
      </c>
      <c r="R51" s="2" t="s">
        <v>24</v>
      </c>
      <c r="S51" s="11" t="str">
        <f t="shared" si="3"/>
        <v>Standar</v>
      </c>
      <c r="T51" s="2" t="str">
        <f t="shared" si="4"/>
        <v>Sangat Rendah</v>
      </c>
    </row>
    <row r="52" spans="1:20" ht="15.75" customHeight="1" x14ac:dyDescent="0.3">
      <c r="A52" s="4" t="s">
        <v>2310</v>
      </c>
      <c r="B52" s="3">
        <v>45905.7890625</v>
      </c>
      <c r="C52" s="2" t="s">
        <v>314</v>
      </c>
      <c r="D52" s="2" t="s">
        <v>113</v>
      </c>
      <c r="E52" s="2" t="s">
        <v>250</v>
      </c>
      <c r="F52" s="2">
        <v>18000</v>
      </c>
      <c r="G52" s="2">
        <v>2</v>
      </c>
      <c r="H52" s="2">
        <v>15</v>
      </c>
      <c r="I52">
        <f t="shared" si="0"/>
        <v>36000</v>
      </c>
      <c r="J52">
        <f t="shared" si="1"/>
        <v>5400</v>
      </c>
      <c r="K52" s="6">
        <f t="shared" si="2"/>
        <v>30600</v>
      </c>
      <c r="L52" s="2">
        <v>18000</v>
      </c>
      <c r="M52" s="6">
        <f>Table1[[#This Row],[Total Sales]]+Table1[[#This Row],[Shipping Fee]]</f>
        <v>48600</v>
      </c>
      <c r="N52" s="2" t="s">
        <v>29</v>
      </c>
      <c r="O52" t="str">
        <f>VLOOKUP(Table1[[#This Row],[Order ID]],Status!A:B, 2,FALSE)</f>
        <v>Completed</v>
      </c>
      <c r="P52" s="2" t="s">
        <v>30</v>
      </c>
      <c r="Q52" s="2">
        <v>1</v>
      </c>
      <c r="R52" s="2" t="s">
        <v>24</v>
      </c>
      <c r="S52" s="11" t="str">
        <f t="shared" si="3"/>
        <v>Rendah</v>
      </c>
      <c r="T52" s="2" t="str">
        <f t="shared" si="4"/>
        <v>Rendah</v>
      </c>
    </row>
    <row r="53" spans="1:20" ht="15.75" customHeight="1" x14ac:dyDescent="0.3">
      <c r="A53" s="4" t="s">
        <v>2309</v>
      </c>
      <c r="B53" s="3">
        <v>45905.600358796299</v>
      </c>
      <c r="C53" s="2" t="s">
        <v>2097</v>
      </c>
      <c r="D53" s="2" t="s">
        <v>53</v>
      </c>
      <c r="E53" s="2" t="s">
        <v>28</v>
      </c>
      <c r="F53" s="2">
        <v>5000</v>
      </c>
      <c r="G53" s="2">
        <v>5</v>
      </c>
      <c r="H53" s="2">
        <v>20</v>
      </c>
      <c r="I53">
        <f t="shared" si="0"/>
        <v>25000</v>
      </c>
      <c r="J53">
        <f t="shared" si="1"/>
        <v>5000</v>
      </c>
      <c r="K53" s="6">
        <f t="shared" si="2"/>
        <v>20000</v>
      </c>
      <c r="L53" s="2">
        <v>18000</v>
      </c>
      <c r="M53" s="6">
        <f>Table1[[#This Row],[Total Sales]]+Table1[[#This Row],[Shipping Fee]]</f>
        <v>38000</v>
      </c>
      <c r="N53" s="2" t="s">
        <v>63</v>
      </c>
      <c r="O53" t="str">
        <f>VLOOKUP(Table1[[#This Row],[Order ID]],Status!A:B, 2,FALSE)</f>
        <v>Completed</v>
      </c>
      <c r="P53" s="2" t="s">
        <v>82</v>
      </c>
      <c r="Q53" s="2">
        <v>4</v>
      </c>
      <c r="R53" s="2" t="s">
        <v>24</v>
      </c>
      <c r="S53" s="11" t="str">
        <f t="shared" si="3"/>
        <v>Bagus</v>
      </c>
      <c r="T53" s="2" t="str">
        <f t="shared" si="4"/>
        <v>Sangat Rendah</v>
      </c>
    </row>
    <row r="54" spans="1:20" ht="15.75" customHeight="1" x14ac:dyDescent="0.3">
      <c r="A54" s="4" t="s">
        <v>2308</v>
      </c>
      <c r="B54" s="3">
        <v>45905.498310185183</v>
      </c>
      <c r="C54" s="2" t="s">
        <v>515</v>
      </c>
      <c r="D54" s="2" t="s">
        <v>182</v>
      </c>
      <c r="E54" s="2" t="s">
        <v>93</v>
      </c>
      <c r="F54" s="2">
        <v>25000</v>
      </c>
      <c r="G54" s="2">
        <v>2</v>
      </c>
      <c r="H54" s="2">
        <v>20</v>
      </c>
      <c r="I54">
        <f t="shared" si="0"/>
        <v>50000</v>
      </c>
      <c r="J54">
        <f t="shared" si="1"/>
        <v>10000</v>
      </c>
      <c r="K54" s="6">
        <f t="shared" si="2"/>
        <v>40000</v>
      </c>
      <c r="L54" s="2">
        <v>48000</v>
      </c>
      <c r="M54" s="6">
        <f>Table1[[#This Row],[Total Sales]]+Table1[[#This Row],[Shipping Fee]]</f>
        <v>88000</v>
      </c>
      <c r="N54" s="2" t="s">
        <v>22</v>
      </c>
      <c r="O54" t="str">
        <f>VLOOKUP(Table1[[#This Row],[Order ID]],Status!A:B, 2,FALSE)</f>
        <v>Shipped</v>
      </c>
      <c r="P54" s="2" t="s">
        <v>46</v>
      </c>
      <c r="Q54" s="2">
        <v>3</v>
      </c>
      <c r="R54" s="2" t="s">
        <v>24</v>
      </c>
      <c r="S54" s="11" t="str">
        <f t="shared" si="3"/>
        <v>Standar</v>
      </c>
      <c r="T54" s="2" t="str">
        <f t="shared" si="4"/>
        <v>Rendah</v>
      </c>
    </row>
    <row r="55" spans="1:20" ht="15.75" customHeight="1" x14ac:dyDescent="0.3">
      <c r="A55" s="4" t="s">
        <v>2308</v>
      </c>
      <c r="B55" s="3">
        <v>45905.498310185183</v>
      </c>
      <c r="C55" s="2" t="s">
        <v>515</v>
      </c>
      <c r="D55" s="2" t="s">
        <v>182</v>
      </c>
      <c r="E55" s="2" t="s">
        <v>54</v>
      </c>
      <c r="F55" s="2">
        <v>16000</v>
      </c>
      <c r="G55" s="2">
        <v>1</v>
      </c>
      <c r="H55" s="2">
        <v>15</v>
      </c>
      <c r="I55">
        <f t="shared" si="0"/>
        <v>16000</v>
      </c>
      <c r="J55">
        <f t="shared" si="1"/>
        <v>2400</v>
      </c>
      <c r="K55" s="6">
        <f t="shared" si="2"/>
        <v>13600</v>
      </c>
      <c r="L55" s="2">
        <v>0</v>
      </c>
      <c r="M55" s="6">
        <f>Table1[[#This Row],[Total Sales]]+Table1[[#This Row],[Shipping Fee]]</f>
        <v>13600</v>
      </c>
      <c r="N55" s="2" t="s">
        <v>22</v>
      </c>
      <c r="O55" t="str">
        <f>VLOOKUP(Table1[[#This Row],[Order ID]],Status!A:B, 2,FALSE)</f>
        <v>Shipped</v>
      </c>
      <c r="P55" s="2" t="s">
        <v>46</v>
      </c>
      <c r="Q55" s="2">
        <v>3</v>
      </c>
      <c r="R55" s="2" t="s">
        <v>24</v>
      </c>
      <c r="S55" s="11" t="str">
        <f t="shared" si="3"/>
        <v>Standar</v>
      </c>
      <c r="T55" s="2" t="str">
        <f t="shared" si="4"/>
        <v>Sangat Rendah</v>
      </c>
    </row>
    <row r="56" spans="1:20" ht="15.75" customHeight="1" x14ac:dyDescent="0.3">
      <c r="A56" s="4" t="s">
        <v>2307</v>
      </c>
      <c r="B56" s="3">
        <v>45905.417534722219</v>
      </c>
      <c r="C56" s="2" t="s">
        <v>1199</v>
      </c>
      <c r="D56" s="2" t="s">
        <v>375</v>
      </c>
      <c r="E56" s="2" t="s">
        <v>186</v>
      </c>
      <c r="F56" s="2">
        <v>45000</v>
      </c>
      <c r="G56" s="2">
        <v>3</v>
      </c>
      <c r="H56" s="2">
        <v>15</v>
      </c>
      <c r="I56">
        <f t="shared" si="0"/>
        <v>135000</v>
      </c>
      <c r="J56">
        <f t="shared" si="1"/>
        <v>20250</v>
      </c>
      <c r="K56" s="6">
        <f t="shared" si="2"/>
        <v>114750</v>
      </c>
      <c r="L56" s="2">
        <v>21000</v>
      </c>
      <c r="M56" s="6">
        <f>Table1[[#This Row],[Total Sales]]+Table1[[#This Row],[Shipping Fee]]</f>
        <v>135750</v>
      </c>
      <c r="N56" s="2" t="s">
        <v>22</v>
      </c>
      <c r="O56" t="str">
        <f>VLOOKUP(Table1[[#This Row],[Order ID]],Status!A:B, 2,FALSE)</f>
        <v>Shipped</v>
      </c>
      <c r="P56" s="2" t="s">
        <v>82</v>
      </c>
      <c r="Q56" s="2">
        <v>4</v>
      </c>
      <c r="R56" s="2" t="s">
        <v>24</v>
      </c>
      <c r="S56" s="11" t="str">
        <f t="shared" si="3"/>
        <v>Bagus</v>
      </c>
      <c r="T56" s="2" t="str">
        <f t="shared" si="4"/>
        <v>Tinggi</v>
      </c>
    </row>
    <row r="57" spans="1:20" ht="15.75" customHeight="1" x14ac:dyDescent="0.3">
      <c r="A57" s="4" t="s">
        <v>2306</v>
      </c>
      <c r="B57" s="3">
        <v>45905.256689814807</v>
      </c>
      <c r="C57" s="2" t="s">
        <v>626</v>
      </c>
      <c r="D57" s="2" t="s">
        <v>296</v>
      </c>
      <c r="E57" s="2" t="s">
        <v>123</v>
      </c>
      <c r="F57" s="2">
        <v>22000</v>
      </c>
      <c r="G57" s="2">
        <v>4</v>
      </c>
      <c r="H57" s="2">
        <v>15</v>
      </c>
      <c r="I57">
        <f t="shared" si="0"/>
        <v>88000</v>
      </c>
      <c r="J57">
        <f t="shared" si="1"/>
        <v>13200</v>
      </c>
      <c r="K57" s="6">
        <f t="shared" si="2"/>
        <v>74800</v>
      </c>
      <c r="L57" s="2">
        <v>79000</v>
      </c>
      <c r="M57" s="6">
        <f>Table1[[#This Row],[Total Sales]]+Table1[[#This Row],[Shipping Fee]]</f>
        <v>153800</v>
      </c>
      <c r="N57" s="2" t="s">
        <v>22</v>
      </c>
      <c r="O57" t="str">
        <f>VLOOKUP(Table1[[#This Row],[Order ID]],Status!A:B, 2,FALSE)</f>
        <v>Shipped</v>
      </c>
      <c r="P57" s="2" t="s">
        <v>30</v>
      </c>
      <c r="Q57" s="2">
        <v>4</v>
      </c>
      <c r="R57" s="2" t="s">
        <v>24</v>
      </c>
      <c r="S57" s="11" t="str">
        <f t="shared" si="3"/>
        <v>Bagus</v>
      </c>
      <c r="T57" s="2" t="str">
        <f t="shared" si="4"/>
        <v>Normal</v>
      </c>
    </row>
    <row r="58" spans="1:20" ht="15.75" customHeight="1" x14ac:dyDescent="0.3">
      <c r="A58" s="4" t="s">
        <v>2305</v>
      </c>
      <c r="B58" s="3">
        <v>45905.21371527778</v>
      </c>
      <c r="C58" s="2" t="s">
        <v>155</v>
      </c>
      <c r="D58" s="2" t="s">
        <v>92</v>
      </c>
      <c r="E58" s="2" t="s">
        <v>85</v>
      </c>
      <c r="F58" s="2">
        <v>35000</v>
      </c>
      <c r="G58" s="2">
        <v>1</v>
      </c>
      <c r="H58" s="2">
        <v>10</v>
      </c>
      <c r="I58">
        <f t="shared" si="0"/>
        <v>35000</v>
      </c>
      <c r="J58">
        <f t="shared" si="1"/>
        <v>3500</v>
      </c>
      <c r="K58" s="6">
        <f t="shared" si="2"/>
        <v>31500</v>
      </c>
      <c r="L58" s="2">
        <v>30000</v>
      </c>
      <c r="M58" s="6">
        <f>Table1[[#This Row],[Total Sales]]+Table1[[#This Row],[Shipping Fee]]</f>
        <v>61500</v>
      </c>
      <c r="N58" s="2" t="s">
        <v>29</v>
      </c>
      <c r="O58" t="str">
        <f>VLOOKUP(Table1[[#This Row],[Order ID]],Status!A:B, 2,FALSE)</f>
        <v>Completed</v>
      </c>
      <c r="P58" s="2" t="s">
        <v>82</v>
      </c>
      <c r="Q58" s="2">
        <v>4</v>
      </c>
      <c r="R58" s="2" t="s">
        <v>24</v>
      </c>
      <c r="S58" s="11" t="str">
        <f t="shared" si="3"/>
        <v>Bagus</v>
      </c>
      <c r="T58" s="2" t="str">
        <f t="shared" si="4"/>
        <v>Sangat Rendah</v>
      </c>
    </row>
    <row r="59" spans="1:20" ht="15.75" customHeight="1" x14ac:dyDescent="0.3">
      <c r="A59" s="4" t="s">
        <v>2304</v>
      </c>
      <c r="B59" s="3">
        <v>45905.135451388887</v>
      </c>
      <c r="C59" s="2" t="s">
        <v>48</v>
      </c>
      <c r="D59" s="2" t="s">
        <v>49</v>
      </c>
      <c r="E59" s="2" t="s">
        <v>28</v>
      </c>
      <c r="F59" s="2">
        <v>5000</v>
      </c>
      <c r="G59" s="2">
        <v>3</v>
      </c>
      <c r="H59" s="2">
        <v>10</v>
      </c>
      <c r="I59">
        <f t="shared" si="0"/>
        <v>15000</v>
      </c>
      <c r="J59">
        <f t="shared" si="1"/>
        <v>1500</v>
      </c>
      <c r="K59" s="6">
        <f t="shared" si="2"/>
        <v>13500</v>
      </c>
      <c r="L59" s="2">
        <v>43000</v>
      </c>
      <c r="M59" s="6">
        <f>Table1[[#This Row],[Total Sales]]+Table1[[#This Row],[Shipping Fee]]</f>
        <v>56500</v>
      </c>
      <c r="N59" s="2" t="s">
        <v>63</v>
      </c>
      <c r="O59" t="str">
        <f>VLOOKUP(Table1[[#This Row],[Order ID]],Status!A:B, 2,FALSE)</f>
        <v>Completed</v>
      </c>
      <c r="P59" s="2" t="s">
        <v>36</v>
      </c>
      <c r="Q59" s="2">
        <v>1</v>
      </c>
      <c r="R59" s="2" t="s">
        <v>24</v>
      </c>
      <c r="S59" s="11" t="str">
        <f t="shared" si="3"/>
        <v>Rendah</v>
      </c>
      <c r="T59" s="2" t="str">
        <f t="shared" si="4"/>
        <v>Sangat Rendah</v>
      </c>
    </row>
    <row r="60" spans="1:20" ht="15.75" customHeight="1" x14ac:dyDescent="0.3">
      <c r="A60" s="4" t="s">
        <v>2303</v>
      </c>
      <c r="B60" s="3">
        <v>45905.075659722221</v>
      </c>
      <c r="C60" s="2" t="s">
        <v>40</v>
      </c>
      <c r="D60" s="2" t="s">
        <v>27</v>
      </c>
      <c r="E60" s="2" t="s">
        <v>250</v>
      </c>
      <c r="F60" s="2">
        <v>18000</v>
      </c>
      <c r="G60" s="2">
        <v>4</v>
      </c>
      <c r="H60" s="2">
        <v>15</v>
      </c>
      <c r="I60">
        <f t="shared" si="0"/>
        <v>72000</v>
      </c>
      <c r="J60">
        <f t="shared" si="1"/>
        <v>10800</v>
      </c>
      <c r="K60" s="6">
        <f t="shared" si="2"/>
        <v>61200</v>
      </c>
      <c r="L60" s="2">
        <v>17000</v>
      </c>
      <c r="M60" s="6">
        <f>Table1[[#This Row],[Total Sales]]+Table1[[#This Row],[Shipping Fee]]</f>
        <v>78200</v>
      </c>
      <c r="N60" s="2" t="s">
        <v>35</v>
      </c>
      <c r="O60" t="str">
        <f>VLOOKUP(Table1[[#This Row],[Order ID]],Status!A:B, 2,FALSE)</f>
        <v>Completed</v>
      </c>
      <c r="P60" s="2" t="s">
        <v>23</v>
      </c>
      <c r="Q60" s="2">
        <v>2</v>
      </c>
      <c r="R60" s="2" t="s">
        <v>24</v>
      </c>
      <c r="S60" s="11" t="str">
        <f t="shared" si="3"/>
        <v>Rendah</v>
      </c>
      <c r="T60" s="2" t="str">
        <f t="shared" si="4"/>
        <v>Normal</v>
      </c>
    </row>
    <row r="61" spans="1:20" ht="15.75" customHeight="1" x14ac:dyDescent="0.3">
      <c r="A61" s="4" t="s">
        <v>2302</v>
      </c>
      <c r="B61" s="3">
        <v>45905.062800925924</v>
      </c>
      <c r="C61" s="2" t="s">
        <v>412</v>
      </c>
      <c r="D61" s="2" t="s">
        <v>70</v>
      </c>
      <c r="E61" s="2" t="s">
        <v>50</v>
      </c>
      <c r="F61" s="2">
        <v>14000</v>
      </c>
      <c r="G61" s="2">
        <v>1</v>
      </c>
      <c r="H61" s="2">
        <v>15</v>
      </c>
      <c r="I61">
        <f t="shared" si="0"/>
        <v>14000</v>
      </c>
      <c r="J61">
        <f t="shared" si="1"/>
        <v>2100</v>
      </c>
      <c r="K61" s="6">
        <f t="shared" si="2"/>
        <v>11900</v>
      </c>
      <c r="L61" s="2">
        <v>89000</v>
      </c>
      <c r="M61" s="6">
        <f>Table1[[#This Row],[Total Sales]]+Table1[[#This Row],[Shipping Fee]]</f>
        <v>100900</v>
      </c>
      <c r="N61" s="2" t="s">
        <v>22</v>
      </c>
      <c r="O61" t="str">
        <f>VLOOKUP(Table1[[#This Row],[Order ID]],Status!A:B, 2,FALSE)</f>
        <v>Completed</v>
      </c>
      <c r="P61" s="2" t="s">
        <v>46</v>
      </c>
      <c r="Q61" s="2">
        <v>4</v>
      </c>
      <c r="R61" s="2" t="s">
        <v>24</v>
      </c>
      <c r="S61" s="11" t="str">
        <f t="shared" si="3"/>
        <v>Bagus</v>
      </c>
      <c r="T61" s="2" t="str">
        <f t="shared" si="4"/>
        <v>Sangat Rendah</v>
      </c>
    </row>
    <row r="62" spans="1:20" ht="15.75" customHeight="1" x14ac:dyDescent="0.3">
      <c r="A62" s="4" t="s">
        <v>2301</v>
      </c>
      <c r="B62" s="3">
        <v>45905.050254629627</v>
      </c>
      <c r="C62" s="2" t="s">
        <v>772</v>
      </c>
      <c r="D62" s="2" t="s">
        <v>113</v>
      </c>
      <c r="E62" s="2" t="s">
        <v>67</v>
      </c>
      <c r="F62" s="2">
        <v>15000</v>
      </c>
      <c r="G62" s="2">
        <v>2</v>
      </c>
      <c r="H62" s="2">
        <v>15</v>
      </c>
      <c r="I62">
        <f t="shared" si="0"/>
        <v>30000</v>
      </c>
      <c r="J62">
        <f t="shared" si="1"/>
        <v>4500</v>
      </c>
      <c r="K62" s="6">
        <f t="shared" si="2"/>
        <v>25500</v>
      </c>
      <c r="L62" s="2">
        <v>18000</v>
      </c>
      <c r="M62" s="6">
        <f>Table1[[#This Row],[Total Sales]]+Table1[[#This Row],[Shipping Fee]]</f>
        <v>43500</v>
      </c>
      <c r="N62" s="2" t="s">
        <v>22</v>
      </c>
      <c r="O62" t="str">
        <f>VLOOKUP(Table1[[#This Row],[Order ID]],Status!A:B, 2,FALSE)</f>
        <v>Shipped</v>
      </c>
      <c r="P62" s="2" t="s">
        <v>30</v>
      </c>
      <c r="Q62" s="2">
        <v>2</v>
      </c>
      <c r="R62" s="2" t="s">
        <v>24</v>
      </c>
      <c r="S62" s="11" t="str">
        <f t="shared" si="3"/>
        <v>Rendah</v>
      </c>
      <c r="T62" s="2" t="str">
        <f t="shared" si="4"/>
        <v>Sangat Rendah</v>
      </c>
    </row>
    <row r="63" spans="1:20" ht="15.75" customHeight="1" x14ac:dyDescent="0.3">
      <c r="A63" s="4" t="s">
        <v>2300</v>
      </c>
      <c r="B63" s="3">
        <v>45904.632847222223</v>
      </c>
      <c r="C63" s="2" t="s">
        <v>192</v>
      </c>
      <c r="D63" s="2" t="s">
        <v>107</v>
      </c>
      <c r="E63" s="2" t="s">
        <v>93</v>
      </c>
      <c r="F63" s="2">
        <v>25000</v>
      </c>
      <c r="G63" s="2">
        <v>1</v>
      </c>
      <c r="H63" s="2">
        <v>0</v>
      </c>
      <c r="I63">
        <f t="shared" si="0"/>
        <v>25000</v>
      </c>
      <c r="J63">
        <f t="shared" si="1"/>
        <v>0</v>
      </c>
      <c r="K63" s="6">
        <f t="shared" si="2"/>
        <v>25000</v>
      </c>
      <c r="L63" s="2">
        <v>97000</v>
      </c>
      <c r="M63" s="6">
        <f>Table1[[#This Row],[Total Sales]]+Table1[[#This Row],[Shipping Fee]]</f>
        <v>122000</v>
      </c>
      <c r="N63" s="2" t="s">
        <v>22</v>
      </c>
      <c r="O63" t="str">
        <f>VLOOKUP(Table1[[#This Row],[Order ID]],Status!A:B, 2,FALSE)</f>
        <v>Completed</v>
      </c>
      <c r="P63" s="2" t="s">
        <v>36</v>
      </c>
      <c r="Q63" s="2">
        <v>1</v>
      </c>
      <c r="R63" s="2" t="s">
        <v>24</v>
      </c>
      <c r="S63" s="11" t="str">
        <f t="shared" si="3"/>
        <v>Rendah</v>
      </c>
      <c r="T63" s="2" t="str">
        <f t="shared" si="4"/>
        <v>Sangat Rendah</v>
      </c>
    </row>
    <row r="64" spans="1:20" ht="15.75" customHeight="1" x14ac:dyDescent="0.3">
      <c r="A64" s="4" t="s">
        <v>2299</v>
      </c>
      <c r="B64" s="3">
        <v>45904.359710648147</v>
      </c>
      <c r="C64" s="2" t="s">
        <v>1979</v>
      </c>
      <c r="D64" s="2" t="s">
        <v>103</v>
      </c>
      <c r="E64" s="2" t="s">
        <v>85</v>
      </c>
      <c r="F64" s="2">
        <v>35000</v>
      </c>
      <c r="G64" s="2">
        <v>4</v>
      </c>
      <c r="H64" s="2">
        <v>5</v>
      </c>
      <c r="I64">
        <f t="shared" si="0"/>
        <v>140000</v>
      </c>
      <c r="J64">
        <f t="shared" si="1"/>
        <v>7000</v>
      </c>
      <c r="K64" s="6">
        <f t="shared" si="2"/>
        <v>133000</v>
      </c>
      <c r="L64" s="2">
        <v>85000</v>
      </c>
      <c r="M64" s="6">
        <f>Table1[[#This Row],[Total Sales]]+Table1[[#This Row],[Shipping Fee]]</f>
        <v>218000</v>
      </c>
      <c r="N64" s="2" t="s">
        <v>63</v>
      </c>
      <c r="O64" t="str">
        <f>VLOOKUP(Table1[[#This Row],[Order ID]],Status!A:B, 2,FALSE)</f>
        <v>Completed</v>
      </c>
      <c r="P64" s="2" t="s">
        <v>36</v>
      </c>
      <c r="Q64" s="2">
        <v>1</v>
      </c>
      <c r="R64" s="2" t="s">
        <v>24</v>
      </c>
      <c r="S64" s="11" t="str">
        <f t="shared" si="3"/>
        <v>Rendah</v>
      </c>
      <c r="T64" s="2" t="str">
        <f t="shared" si="4"/>
        <v>Rendah</v>
      </c>
    </row>
    <row r="65" spans="1:20" ht="15.75" customHeight="1" x14ac:dyDescent="0.3">
      <c r="A65" s="4" t="s">
        <v>2298</v>
      </c>
      <c r="B65" s="3">
        <v>45904.106585648151</v>
      </c>
      <c r="C65" s="2" t="s">
        <v>468</v>
      </c>
      <c r="D65" s="2" t="s">
        <v>163</v>
      </c>
      <c r="E65" s="2" t="s">
        <v>110</v>
      </c>
      <c r="F65" s="2">
        <v>6000</v>
      </c>
      <c r="G65" s="2">
        <v>1</v>
      </c>
      <c r="H65" s="2">
        <v>5</v>
      </c>
      <c r="I65">
        <f t="shared" si="0"/>
        <v>6000</v>
      </c>
      <c r="J65">
        <f t="shared" si="1"/>
        <v>300</v>
      </c>
      <c r="K65" s="6">
        <f t="shared" si="2"/>
        <v>5700</v>
      </c>
      <c r="L65" s="2">
        <v>50000</v>
      </c>
      <c r="M65" s="6">
        <f>Table1[[#This Row],[Total Sales]]+Table1[[#This Row],[Shipping Fee]]</f>
        <v>55700</v>
      </c>
      <c r="N65" s="2" t="s">
        <v>22</v>
      </c>
      <c r="O65" t="str">
        <f>VLOOKUP(Table1[[#This Row],[Order ID]],Status!A:B, 2,FALSE)</f>
        <v>Completed</v>
      </c>
      <c r="P65" s="2" t="s">
        <v>36</v>
      </c>
      <c r="Q65" s="2">
        <v>1</v>
      </c>
      <c r="R65" s="2" t="s">
        <v>24</v>
      </c>
      <c r="S65" s="11" t="str">
        <f t="shared" si="3"/>
        <v>Rendah</v>
      </c>
      <c r="T65" s="2" t="str">
        <f t="shared" si="4"/>
        <v>Sangat Rendah</v>
      </c>
    </row>
    <row r="66" spans="1:20" ht="15.75" customHeight="1" x14ac:dyDescent="0.3">
      <c r="A66" s="4" t="s">
        <v>2297</v>
      </c>
      <c r="B66" s="3">
        <v>45904.083923611113</v>
      </c>
      <c r="C66" s="2" t="s">
        <v>1053</v>
      </c>
      <c r="D66" s="2" t="s">
        <v>80</v>
      </c>
      <c r="E66" s="2" t="s">
        <v>186</v>
      </c>
      <c r="F66" s="2">
        <v>45000</v>
      </c>
      <c r="G66" s="2">
        <v>2</v>
      </c>
      <c r="H66" s="2">
        <v>5</v>
      </c>
      <c r="I66">
        <f t="shared" ref="I66:I129" si="5">F66*G66</f>
        <v>90000</v>
      </c>
      <c r="J66">
        <f t="shared" ref="J66:J129" si="6">I66*H66/100</f>
        <v>4500</v>
      </c>
      <c r="K66" s="6">
        <f t="shared" ref="K66:K129" si="7">I66-J66</f>
        <v>85500</v>
      </c>
      <c r="L66" s="2">
        <v>74000</v>
      </c>
      <c r="M66" s="6">
        <f>Table1[[#This Row],[Total Sales]]+Table1[[#This Row],[Shipping Fee]]</f>
        <v>159500</v>
      </c>
      <c r="N66" s="2" t="s">
        <v>63</v>
      </c>
      <c r="O66" t="str">
        <f>VLOOKUP(Table1[[#This Row],[Order ID]],Status!A:B, 2,FALSE)</f>
        <v>Pending</v>
      </c>
      <c r="P66" s="2" t="s">
        <v>82</v>
      </c>
      <c r="Q66" s="2">
        <v>3</v>
      </c>
      <c r="R66" s="2" t="s">
        <v>24</v>
      </c>
      <c r="S66" s="11" t="str">
        <f t="shared" ref="S66:S129" si="8">_xlfn.IFS(Q66&gt;3,"Bagus",Q66=3,"Standar",Q66&lt;3,"Rendah")</f>
        <v>Standar</v>
      </c>
      <c r="T66" s="2" t="str">
        <f t="shared" ref="T66:T129" si="9">_xlfn.IFS(J66&lt;=5000,"Sangat Rendah", J66&lt;=10000,"Rendah", J66&lt;=20000, "Normal", J66&lt;=35000, "Tinggi", J66&lt;= 50000, "Sangat Tinggi", J66&gt;50000, "Clearance")</f>
        <v>Sangat Rendah</v>
      </c>
    </row>
    <row r="67" spans="1:20" ht="15.75" customHeight="1" x14ac:dyDescent="0.3">
      <c r="A67" s="4" t="s">
        <v>2296</v>
      </c>
      <c r="B67" s="3">
        <v>45903.947222222218</v>
      </c>
      <c r="C67" s="2" t="s">
        <v>56</v>
      </c>
      <c r="D67" s="2" t="s">
        <v>57</v>
      </c>
      <c r="E67" s="2" t="s">
        <v>54</v>
      </c>
      <c r="F67" s="2">
        <v>16000</v>
      </c>
      <c r="G67" s="2">
        <v>1</v>
      </c>
      <c r="H67" s="2">
        <v>10</v>
      </c>
      <c r="I67">
        <f t="shared" si="5"/>
        <v>16000</v>
      </c>
      <c r="J67">
        <f t="shared" si="6"/>
        <v>1600</v>
      </c>
      <c r="K67" s="6">
        <f t="shared" si="7"/>
        <v>14400</v>
      </c>
      <c r="L67" s="2">
        <v>80000</v>
      </c>
      <c r="M67" s="6">
        <f>Table1[[#This Row],[Total Sales]]+Table1[[#This Row],[Shipping Fee]]</f>
        <v>94400</v>
      </c>
      <c r="N67" s="2" t="s">
        <v>35</v>
      </c>
      <c r="O67" t="str">
        <f>VLOOKUP(Table1[[#This Row],[Order ID]],Status!A:B, 2,FALSE)</f>
        <v>Shipped</v>
      </c>
      <c r="P67" s="2" t="s">
        <v>82</v>
      </c>
      <c r="Q67" s="2">
        <v>2</v>
      </c>
      <c r="R67" s="2" t="s">
        <v>24</v>
      </c>
      <c r="S67" s="11" t="str">
        <f t="shared" si="8"/>
        <v>Rendah</v>
      </c>
      <c r="T67" s="2" t="str">
        <f t="shared" si="9"/>
        <v>Sangat Rendah</v>
      </c>
    </row>
    <row r="68" spans="1:20" ht="15.75" customHeight="1" x14ac:dyDescent="0.3">
      <c r="A68" s="4" t="s">
        <v>2295</v>
      </c>
      <c r="B68" s="3">
        <v>45903.831736111111</v>
      </c>
      <c r="C68" s="2" t="s">
        <v>140</v>
      </c>
      <c r="D68" s="2" t="s">
        <v>92</v>
      </c>
      <c r="E68" s="2" t="s">
        <v>28</v>
      </c>
      <c r="F68" s="2">
        <v>5000</v>
      </c>
      <c r="G68" s="2">
        <v>5</v>
      </c>
      <c r="H68" s="2">
        <v>20</v>
      </c>
      <c r="I68">
        <f t="shared" si="5"/>
        <v>25000</v>
      </c>
      <c r="J68">
        <f t="shared" si="6"/>
        <v>5000</v>
      </c>
      <c r="K68" s="6">
        <f t="shared" si="7"/>
        <v>20000</v>
      </c>
      <c r="L68" s="2">
        <v>30000</v>
      </c>
      <c r="M68" s="6">
        <f>Table1[[#This Row],[Total Sales]]+Table1[[#This Row],[Shipping Fee]]</f>
        <v>50000</v>
      </c>
      <c r="N68" s="2" t="s">
        <v>63</v>
      </c>
      <c r="O68" t="str">
        <f>VLOOKUP(Table1[[#This Row],[Order ID]],Status!A:B, 2,FALSE)</f>
        <v>Completed</v>
      </c>
      <c r="P68" s="2" t="s">
        <v>82</v>
      </c>
      <c r="Q68" s="2">
        <v>3</v>
      </c>
      <c r="R68" s="2" t="s">
        <v>24</v>
      </c>
      <c r="S68" s="11" t="str">
        <f t="shared" si="8"/>
        <v>Standar</v>
      </c>
      <c r="T68" s="2" t="str">
        <f t="shared" si="9"/>
        <v>Sangat Rendah</v>
      </c>
    </row>
    <row r="69" spans="1:20" ht="15.75" customHeight="1" x14ac:dyDescent="0.3">
      <c r="A69" s="4" t="s">
        <v>2294</v>
      </c>
      <c r="B69" s="3">
        <v>45903.693055555559</v>
      </c>
      <c r="C69" s="2" t="s">
        <v>1509</v>
      </c>
      <c r="D69" s="2" t="s">
        <v>122</v>
      </c>
      <c r="E69" s="2" t="s">
        <v>21</v>
      </c>
      <c r="F69" s="2">
        <v>45000</v>
      </c>
      <c r="G69" s="2">
        <v>1</v>
      </c>
      <c r="H69" s="2">
        <v>10</v>
      </c>
      <c r="I69">
        <f t="shared" si="5"/>
        <v>45000</v>
      </c>
      <c r="J69">
        <f t="shared" si="6"/>
        <v>4500</v>
      </c>
      <c r="K69" s="6">
        <f t="shared" si="7"/>
        <v>40500</v>
      </c>
      <c r="L69" s="2">
        <v>78000</v>
      </c>
      <c r="M69" s="6">
        <f>Table1[[#This Row],[Total Sales]]+Table1[[#This Row],[Shipping Fee]]</f>
        <v>118500</v>
      </c>
      <c r="N69" s="2" t="s">
        <v>63</v>
      </c>
      <c r="O69" t="str">
        <f>VLOOKUP(Table1[[#This Row],[Order ID]],Status!A:B, 2,FALSE)</f>
        <v>Shipped</v>
      </c>
      <c r="P69" s="2" t="s">
        <v>36</v>
      </c>
      <c r="Q69" s="2">
        <v>2</v>
      </c>
      <c r="R69" s="2" t="s">
        <v>24</v>
      </c>
      <c r="S69" s="11" t="str">
        <f t="shared" si="8"/>
        <v>Rendah</v>
      </c>
      <c r="T69" s="2" t="str">
        <f t="shared" si="9"/>
        <v>Sangat Rendah</v>
      </c>
    </row>
    <row r="70" spans="1:20" ht="15.75" customHeight="1" x14ac:dyDescent="0.3">
      <c r="A70" s="4" t="s">
        <v>2293</v>
      </c>
      <c r="B70" s="3">
        <v>45903.475706018522</v>
      </c>
      <c r="C70" s="2" t="s">
        <v>457</v>
      </c>
      <c r="D70" s="2" t="s">
        <v>80</v>
      </c>
      <c r="E70" s="2" t="s">
        <v>174</v>
      </c>
      <c r="F70" s="2">
        <v>10000</v>
      </c>
      <c r="G70" s="2">
        <v>2</v>
      </c>
      <c r="H70" s="2">
        <v>5</v>
      </c>
      <c r="I70">
        <f t="shared" si="5"/>
        <v>20000</v>
      </c>
      <c r="J70">
        <f t="shared" si="6"/>
        <v>1000</v>
      </c>
      <c r="K70" s="6">
        <f t="shared" si="7"/>
        <v>19000</v>
      </c>
      <c r="L70" s="2">
        <v>74000</v>
      </c>
      <c r="M70" s="6">
        <f>Table1[[#This Row],[Total Sales]]+Table1[[#This Row],[Shipping Fee]]</f>
        <v>93000</v>
      </c>
      <c r="N70" s="2" t="s">
        <v>22</v>
      </c>
      <c r="O70" t="str">
        <f>VLOOKUP(Table1[[#This Row],[Order ID]],Status!A:B, 2,FALSE)</f>
        <v>Completed</v>
      </c>
      <c r="P70" s="2" t="s">
        <v>23</v>
      </c>
      <c r="Q70" s="2">
        <v>2</v>
      </c>
      <c r="R70" s="2" t="s">
        <v>24</v>
      </c>
      <c r="S70" s="11" t="str">
        <f t="shared" si="8"/>
        <v>Rendah</v>
      </c>
      <c r="T70" s="2" t="str">
        <f t="shared" si="9"/>
        <v>Sangat Rendah</v>
      </c>
    </row>
    <row r="71" spans="1:20" ht="15.75" customHeight="1" x14ac:dyDescent="0.3">
      <c r="A71" s="4" t="s">
        <v>2292</v>
      </c>
      <c r="B71" s="3">
        <v>45903.053576388891</v>
      </c>
      <c r="C71" s="2" t="s">
        <v>802</v>
      </c>
      <c r="D71" s="2" t="s">
        <v>126</v>
      </c>
      <c r="E71" s="2" t="s">
        <v>85</v>
      </c>
      <c r="F71" s="2">
        <v>35000</v>
      </c>
      <c r="G71" s="2">
        <v>1</v>
      </c>
      <c r="H71" s="2">
        <v>10</v>
      </c>
      <c r="I71">
        <f t="shared" si="5"/>
        <v>35000</v>
      </c>
      <c r="J71">
        <f t="shared" si="6"/>
        <v>3500</v>
      </c>
      <c r="K71" s="6">
        <f t="shared" si="7"/>
        <v>31500</v>
      </c>
      <c r="L71" s="2">
        <v>84000</v>
      </c>
      <c r="M71" s="6">
        <f>Table1[[#This Row],[Total Sales]]+Table1[[#This Row],[Shipping Fee]]</f>
        <v>115500</v>
      </c>
      <c r="N71" s="2" t="s">
        <v>29</v>
      </c>
      <c r="O71" t="str">
        <f>VLOOKUP(Table1[[#This Row],[Order ID]],Status!A:B, 2,FALSE)</f>
        <v>Pending</v>
      </c>
      <c r="P71" s="2" t="s">
        <v>23</v>
      </c>
      <c r="Q71" s="2">
        <v>2</v>
      </c>
      <c r="R71" s="2" t="s">
        <v>24</v>
      </c>
      <c r="S71" s="11" t="str">
        <f t="shared" si="8"/>
        <v>Rendah</v>
      </c>
      <c r="T71" s="2" t="str">
        <f t="shared" si="9"/>
        <v>Sangat Rendah</v>
      </c>
    </row>
    <row r="72" spans="1:20" ht="15.75" customHeight="1" x14ac:dyDescent="0.3">
      <c r="A72" s="4" t="s">
        <v>2291</v>
      </c>
      <c r="B72" s="3">
        <v>45903.04824074074</v>
      </c>
      <c r="C72" s="2" t="s">
        <v>525</v>
      </c>
      <c r="D72" s="2" t="s">
        <v>96</v>
      </c>
      <c r="E72" s="2" t="s">
        <v>144</v>
      </c>
      <c r="F72" s="2">
        <v>18000</v>
      </c>
      <c r="G72" s="2">
        <v>2</v>
      </c>
      <c r="H72" s="2">
        <v>10</v>
      </c>
      <c r="I72">
        <f t="shared" si="5"/>
        <v>36000</v>
      </c>
      <c r="J72">
        <f t="shared" si="6"/>
        <v>3600</v>
      </c>
      <c r="K72" s="6">
        <f t="shared" si="7"/>
        <v>32400</v>
      </c>
      <c r="L72" s="2">
        <v>49000</v>
      </c>
      <c r="M72" s="6">
        <f>Table1[[#This Row],[Total Sales]]+Table1[[#This Row],[Shipping Fee]]</f>
        <v>81400</v>
      </c>
      <c r="N72" s="2" t="s">
        <v>63</v>
      </c>
      <c r="O72" t="str">
        <f>VLOOKUP(Table1[[#This Row],[Order ID]],Status!A:B, 2,FALSE)</f>
        <v>Completed</v>
      </c>
      <c r="P72" s="2" t="s">
        <v>23</v>
      </c>
      <c r="Q72" s="2">
        <v>1</v>
      </c>
      <c r="R72" s="2" t="s">
        <v>24</v>
      </c>
      <c r="S72" s="11" t="str">
        <f t="shared" si="8"/>
        <v>Rendah</v>
      </c>
      <c r="T72" s="2" t="str">
        <f t="shared" si="9"/>
        <v>Sangat Rendah</v>
      </c>
    </row>
    <row r="73" spans="1:20" ht="15.75" customHeight="1" x14ac:dyDescent="0.3">
      <c r="A73" s="4" t="s">
        <v>2290</v>
      </c>
      <c r="B73" s="3">
        <v>45902.976076388892</v>
      </c>
      <c r="C73" s="2" t="s">
        <v>553</v>
      </c>
      <c r="D73" s="2" t="s">
        <v>107</v>
      </c>
      <c r="E73" s="2" t="s">
        <v>21</v>
      </c>
      <c r="F73" s="2">
        <v>45000</v>
      </c>
      <c r="G73" s="2">
        <v>5</v>
      </c>
      <c r="H73" s="2">
        <v>20</v>
      </c>
      <c r="I73">
        <f t="shared" si="5"/>
        <v>225000</v>
      </c>
      <c r="J73">
        <f t="shared" si="6"/>
        <v>45000</v>
      </c>
      <c r="K73" s="6">
        <f t="shared" si="7"/>
        <v>180000</v>
      </c>
      <c r="L73" s="2">
        <v>97000</v>
      </c>
      <c r="M73" s="6">
        <f>Table1[[#This Row],[Total Sales]]+Table1[[#This Row],[Shipping Fee]]</f>
        <v>277000</v>
      </c>
      <c r="N73" s="2" t="s">
        <v>29</v>
      </c>
      <c r="O73" t="str">
        <f>VLOOKUP(Table1[[#This Row],[Order ID]],Status!A:B, 2,FALSE)</f>
        <v>Cancelled</v>
      </c>
      <c r="P73" s="2" t="s">
        <v>46</v>
      </c>
      <c r="Q73" s="2">
        <v>1</v>
      </c>
      <c r="R73" s="2" t="s">
        <v>24</v>
      </c>
      <c r="S73" s="11" t="str">
        <f t="shared" si="8"/>
        <v>Rendah</v>
      </c>
      <c r="T73" s="2" t="str">
        <f t="shared" si="9"/>
        <v>Sangat Tinggi</v>
      </c>
    </row>
    <row r="74" spans="1:20" ht="15.75" customHeight="1" x14ac:dyDescent="0.3">
      <c r="A74" s="4" t="s">
        <v>2289</v>
      </c>
      <c r="B74" s="3">
        <v>45902.965671296297</v>
      </c>
      <c r="C74" s="2" t="s">
        <v>615</v>
      </c>
      <c r="D74" s="2" t="s">
        <v>92</v>
      </c>
      <c r="E74" s="2" t="s">
        <v>21</v>
      </c>
      <c r="F74" s="2">
        <v>45000</v>
      </c>
      <c r="G74" s="2">
        <v>1</v>
      </c>
      <c r="H74" s="2">
        <v>5</v>
      </c>
      <c r="I74">
        <f t="shared" si="5"/>
        <v>45000</v>
      </c>
      <c r="J74">
        <f t="shared" si="6"/>
        <v>2250</v>
      </c>
      <c r="K74" s="6">
        <f t="shared" si="7"/>
        <v>42750</v>
      </c>
      <c r="L74" s="2">
        <v>30000</v>
      </c>
      <c r="M74" s="6">
        <f>Table1[[#This Row],[Total Sales]]+Table1[[#This Row],[Shipping Fee]]</f>
        <v>72750</v>
      </c>
      <c r="N74" s="2" t="s">
        <v>29</v>
      </c>
      <c r="O74" t="str">
        <f>VLOOKUP(Table1[[#This Row],[Order ID]],Status!A:B, 2,FALSE)</f>
        <v>Completed</v>
      </c>
      <c r="P74" s="2" t="s">
        <v>36</v>
      </c>
      <c r="Q74" s="2">
        <v>4</v>
      </c>
      <c r="R74" s="2" t="s">
        <v>24</v>
      </c>
      <c r="S74" s="11" t="str">
        <f t="shared" si="8"/>
        <v>Bagus</v>
      </c>
      <c r="T74" s="2" t="str">
        <f t="shared" si="9"/>
        <v>Sangat Rendah</v>
      </c>
    </row>
    <row r="75" spans="1:20" ht="15.75" customHeight="1" x14ac:dyDescent="0.3">
      <c r="A75" s="4" t="s">
        <v>2288</v>
      </c>
      <c r="B75" s="3">
        <v>45902.913171296299</v>
      </c>
      <c r="C75" s="2" t="s">
        <v>404</v>
      </c>
      <c r="D75" s="2" t="s">
        <v>177</v>
      </c>
      <c r="E75" s="2" t="s">
        <v>75</v>
      </c>
      <c r="F75" s="2">
        <v>55000</v>
      </c>
      <c r="G75" s="2">
        <v>2</v>
      </c>
      <c r="H75" s="2">
        <v>0</v>
      </c>
      <c r="I75">
        <f t="shared" si="5"/>
        <v>110000</v>
      </c>
      <c r="J75">
        <f t="shared" si="6"/>
        <v>0</v>
      </c>
      <c r="K75" s="6">
        <f t="shared" si="7"/>
        <v>110000</v>
      </c>
      <c r="L75" s="2">
        <v>56000</v>
      </c>
      <c r="M75" s="6">
        <f>Table1[[#This Row],[Total Sales]]+Table1[[#This Row],[Shipping Fee]]</f>
        <v>166000</v>
      </c>
      <c r="N75" s="2" t="s">
        <v>22</v>
      </c>
      <c r="O75" t="str">
        <f>VLOOKUP(Table1[[#This Row],[Order ID]],Status!A:B, 2,FALSE)</f>
        <v>Completed</v>
      </c>
      <c r="P75" s="2" t="s">
        <v>82</v>
      </c>
      <c r="Q75" s="2">
        <v>4</v>
      </c>
      <c r="R75" s="2" t="s">
        <v>37</v>
      </c>
      <c r="S75" s="11" t="str">
        <f t="shared" si="8"/>
        <v>Bagus</v>
      </c>
      <c r="T75" s="2" t="str">
        <f t="shared" si="9"/>
        <v>Sangat Rendah</v>
      </c>
    </row>
    <row r="76" spans="1:20" ht="15.75" customHeight="1" x14ac:dyDescent="0.3">
      <c r="A76" s="4" t="s">
        <v>2287</v>
      </c>
      <c r="B76" s="3">
        <v>45902.852962962963</v>
      </c>
      <c r="C76" s="2" t="s">
        <v>626</v>
      </c>
      <c r="D76" s="2" t="s">
        <v>296</v>
      </c>
      <c r="E76" s="2" t="s">
        <v>85</v>
      </c>
      <c r="F76" s="2">
        <v>35000</v>
      </c>
      <c r="G76" s="2">
        <v>4</v>
      </c>
      <c r="H76" s="2">
        <v>20</v>
      </c>
      <c r="I76">
        <f t="shared" si="5"/>
        <v>140000</v>
      </c>
      <c r="J76">
        <f t="shared" si="6"/>
        <v>28000</v>
      </c>
      <c r="K76" s="6">
        <f t="shared" si="7"/>
        <v>112000</v>
      </c>
      <c r="L76" s="2">
        <v>79000</v>
      </c>
      <c r="M76" s="6">
        <f>Table1[[#This Row],[Total Sales]]+Table1[[#This Row],[Shipping Fee]]</f>
        <v>191000</v>
      </c>
      <c r="N76" s="2" t="s">
        <v>22</v>
      </c>
      <c r="O76" t="str">
        <f>VLOOKUP(Table1[[#This Row],[Order ID]],Status!A:B, 2,FALSE)</f>
        <v>Pending</v>
      </c>
      <c r="P76" s="2" t="s">
        <v>23</v>
      </c>
      <c r="Q76" s="2">
        <v>5</v>
      </c>
      <c r="R76" s="2" t="s">
        <v>24</v>
      </c>
      <c r="S76" s="11" t="str">
        <f t="shared" si="8"/>
        <v>Bagus</v>
      </c>
      <c r="T76" s="2" t="str">
        <f t="shared" si="9"/>
        <v>Tinggi</v>
      </c>
    </row>
    <row r="77" spans="1:20" ht="15.75" customHeight="1" x14ac:dyDescent="0.3">
      <c r="A77" s="4" t="s">
        <v>2286</v>
      </c>
      <c r="B77" s="3">
        <v>45902.798379629632</v>
      </c>
      <c r="C77" s="2" t="s">
        <v>763</v>
      </c>
      <c r="D77" s="2" t="s">
        <v>74</v>
      </c>
      <c r="E77" s="2" t="s">
        <v>104</v>
      </c>
      <c r="F77" s="2">
        <v>30000</v>
      </c>
      <c r="G77" s="2">
        <v>1</v>
      </c>
      <c r="H77" s="2">
        <v>20</v>
      </c>
      <c r="I77">
        <f t="shared" si="5"/>
        <v>30000</v>
      </c>
      <c r="J77">
        <f t="shared" si="6"/>
        <v>6000</v>
      </c>
      <c r="K77" s="6">
        <f t="shared" si="7"/>
        <v>24000</v>
      </c>
      <c r="L77" s="2">
        <v>87000</v>
      </c>
      <c r="M77" s="6">
        <f>Table1[[#This Row],[Total Sales]]+Table1[[#This Row],[Shipping Fee]]</f>
        <v>111000</v>
      </c>
      <c r="N77" s="2" t="s">
        <v>29</v>
      </c>
      <c r="O77" t="str">
        <f>VLOOKUP(Table1[[#This Row],[Order ID]],Status!A:B, 2,FALSE)</f>
        <v>Completed</v>
      </c>
      <c r="P77" s="2" t="s">
        <v>23</v>
      </c>
      <c r="Q77" s="2">
        <v>3</v>
      </c>
      <c r="R77" s="2" t="s">
        <v>24</v>
      </c>
      <c r="S77" s="11" t="str">
        <f t="shared" si="8"/>
        <v>Standar</v>
      </c>
      <c r="T77" s="2" t="str">
        <f t="shared" si="9"/>
        <v>Rendah</v>
      </c>
    </row>
    <row r="78" spans="1:20" ht="15.75" customHeight="1" x14ac:dyDescent="0.3">
      <c r="A78" s="4" t="s">
        <v>2285</v>
      </c>
      <c r="B78" s="3">
        <v>45902.616435185177</v>
      </c>
      <c r="C78" s="2" t="s">
        <v>118</v>
      </c>
      <c r="D78" s="2" t="s">
        <v>119</v>
      </c>
      <c r="E78" s="2" t="s">
        <v>123</v>
      </c>
      <c r="F78" s="2">
        <v>22000</v>
      </c>
      <c r="G78" s="2">
        <v>3</v>
      </c>
      <c r="H78" s="2">
        <v>0</v>
      </c>
      <c r="I78">
        <f t="shared" si="5"/>
        <v>66000</v>
      </c>
      <c r="J78">
        <f t="shared" si="6"/>
        <v>0</v>
      </c>
      <c r="K78" s="6">
        <f t="shared" si="7"/>
        <v>66000</v>
      </c>
      <c r="L78" s="2">
        <v>0</v>
      </c>
      <c r="M78" s="6">
        <f>Table1[[#This Row],[Total Sales]]+Table1[[#This Row],[Shipping Fee]]</f>
        <v>66000</v>
      </c>
      <c r="N78" s="2" t="s">
        <v>29</v>
      </c>
      <c r="O78" t="str">
        <f>VLOOKUP(Table1[[#This Row],[Order ID]],Status!A:B, 2,FALSE)</f>
        <v>Pending</v>
      </c>
      <c r="P78" s="2" t="s">
        <v>46</v>
      </c>
      <c r="Q78" s="2">
        <v>1</v>
      </c>
      <c r="R78" s="2" t="s">
        <v>24</v>
      </c>
      <c r="S78" s="11" t="str">
        <f t="shared" si="8"/>
        <v>Rendah</v>
      </c>
      <c r="T78" s="2" t="str">
        <f t="shared" si="9"/>
        <v>Sangat Rendah</v>
      </c>
    </row>
    <row r="79" spans="1:20" ht="15.75" customHeight="1" x14ac:dyDescent="0.3">
      <c r="A79" s="4" t="s">
        <v>2284</v>
      </c>
      <c r="B79" s="3">
        <v>45902.546354166669</v>
      </c>
      <c r="C79" s="2" t="s">
        <v>1321</v>
      </c>
      <c r="D79" s="2" t="s">
        <v>113</v>
      </c>
      <c r="E79" s="2" t="s">
        <v>45</v>
      </c>
      <c r="F79" s="2">
        <v>40000</v>
      </c>
      <c r="G79" s="2">
        <v>1</v>
      </c>
      <c r="H79" s="2">
        <v>5</v>
      </c>
      <c r="I79">
        <f t="shared" si="5"/>
        <v>40000</v>
      </c>
      <c r="J79">
        <f t="shared" si="6"/>
        <v>2000</v>
      </c>
      <c r="K79" s="6">
        <f t="shared" si="7"/>
        <v>38000</v>
      </c>
      <c r="L79" s="2">
        <v>18000</v>
      </c>
      <c r="M79" s="6">
        <f>Table1[[#This Row],[Total Sales]]+Table1[[#This Row],[Shipping Fee]]</f>
        <v>56000</v>
      </c>
      <c r="N79" s="2" t="s">
        <v>63</v>
      </c>
      <c r="O79" t="str">
        <f>VLOOKUP(Table1[[#This Row],[Order ID]],Status!A:B, 2,FALSE)</f>
        <v>Completed</v>
      </c>
      <c r="P79" s="2" t="s">
        <v>23</v>
      </c>
      <c r="Q79" s="2">
        <v>1</v>
      </c>
      <c r="R79" s="2" t="s">
        <v>24</v>
      </c>
      <c r="S79" s="11" t="str">
        <f t="shared" si="8"/>
        <v>Rendah</v>
      </c>
      <c r="T79" s="2" t="str">
        <f t="shared" si="9"/>
        <v>Sangat Rendah</v>
      </c>
    </row>
    <row r="80" spans="1:20" ht="15.75" customHeight="1" x14ac:dyDescent="0.3">
      <c r="A80" s="4" t="s">
        <v>2283</v>
      </c>
      <c r="B80" s="3">
        <v>45902.448449074072</v>
      </c>
      <c r="C80" s="2" t="s">
        <v>258</v>
      </c>
      <c r="D80" s="2" t="s">
        <v>44</v>
      </c>
      <c r="E80" s="2" t="s">
        <v>45</v>
      </c>
      <c r="F80" s="2">
        <v>40000</v>
      </c>
      <c r="G80" s="2">
        <v>3</v>
      </c>
      <c r="H80" s="2">
        <v>0</v>
      </c>
      <c r="I80">
        <f t="shared" si="5"/>
        <v>120000</v>
      </c>
      <c r="J80">
        <f t="shared" si="6"/>
        <v>0</v>
      </c>
      <c r="K80" s="6">
        <f t="shared" si="7"/>
        <v>120000</v>
      </c>
      <c r="L80" s="2">
        <v>93000</v>
      </c>
      <c r="M80" s="6">
        <f>Table1[[#This Row],[Total Sales]]+Table1[[#This Row],[Shipping Fee]]</f>
        <v>213000</v>
      </c>
      <c r="N80" s="2" t="s">
        <v>63</v>
      </c>
      <c r="O80" t="str">
        <f>VLOOKUP(Table1[[#This Row],[Order ID]],Status!A:B, 2,FALSE)</f>
        <v>Shipped</v>
      </c>
      <c r="P80" s="2" t="s">
        <v>30</v>
      </c>
      <c r="Q80" s="2">
        <v>4</v>
      </c>
      <c r="R80" s="2" t="s">
        <v>24</v>
      </c>
      <c r="S80" s="11" t="str">
        <f t="shared" si="8"/>
        <v>Bagus</v>
      </c>
      <c r="T80" s="2" t="str">
        <f t="shared" si="9"/>
        <v>Sangat Rendah</v>
      </c>
    </row>
    <row r="81" spans="1:20" ht="15.75" customHeight="1" x14ac:dyDescent="0.3">
      <c r="A81" s="4" t="s">
        <v>2282</v>
      </c>
      <c r="B81" s="3">
        <v>45902.057638888888</v>
      </c>
      <c r="C81" s="2" t="s">
        <v>772</v>
      </c>
      <c r="D81" s="2" t="s">
        <v>113</v>
      </c>
      <c r="E81" s="2" t="s">
        <v>110</v>
      </c>
      <c r="F81" s="2">
        <v>6000</v>
      </c>
      <c r="G81" s="2">
        <v>4</v>
      </c>
      <c r="H81" s="2">
        <v>20</v>
      </c>
      <c r="I81">
        <f t="shared" si="5"/>
        <v>24000</v>
      </c>
      <c r="J81">
        <f t="shared" si="6"/>
        <v>4800</v>
      </c>
      <c r="K81" s="6">
        <f t="shared" si="7"/>
        <v>19200</v>
      </c>
      <c r="L81" s="2">
        <v>18000</v>
      </c>
      <c r="M81" s="6">
        <f>Table1[[#This Row],[Total Sales]]+Table1[[#This Row],[Shipping Fee]]</f>
        <v>37200</v>
      </c>
      <c r="N81" s="2" t="s">
        <v>29</v>
      </c>
      <c r="O81" t="str">
        <f>VLOOKUP(Table1[[#This Row],[Order ID]],Status!A:B, 2,FALSE)</f>
        <v>Completed</v>
      </c>
      <c r="P81" s="2" t="s">
        <v>82</v>
      </c>
      <c r="Q81" s="2">
        <v>4</v>
      </c>
      <c r="R81" s="2" t="s">
        <v>24</v>
      </c>
      <c r="S81" s="11" t="str">
        <f t="shared" si="8"/>
        <v>Bagus</v>
      </c>
      <c r="T81" s="2" t="str">
        <f t="shared" si="9"/>
        <v>Sangat Rendah</v>
      </c>
    </row>
    <row r="82" spans="1:20" ht="15.75" customHeight="1" x14ac:dyDescent="0.3">
      <c r="A82" s="4" t="s">
        <v>2281</v>
      </c>
      <c r="B82" s="3">
        <v>45901.962511574071</v>
      </c>
      <c r="C82" s="2" t="s">
        <v>287</v>
      </c>
      <c r="D82" s="2" t="s">
        <v>262</v>
      </c>
      <c r="E82" s="2" t="s">
        <v>123</v>
      </c>
      <c r="F82" s="2">
        <v>22000</v>
      </c>
      <c r="G82" s="2">
        <v>2</v>
      </c>
      <c r="H82" s="2">
        <v>20</v>
      </c>
      <c r="I82">
        <f t="shared" si="5"/>
        <v>44000</v>
      </c>
      <c r="J82">
        <f t="shared" si="6"/>
        <v>8800</v>
      </c>
      <c r="K82" s="6">
        <f t="shared" si="7"/>
        <v>35200</v>
      </c>
      <c r="L82" s="2">
        <v>18000</v>
      </c>
      <c r="M82" s="6">
        <f>Table1[[#This Row],[Total Sales]]+Table1[[#This Row],[Shipping Fee]]</f>
        <v>53200</v>
      </c>
      <c r="N82" s="2" t="s">
        <v>35</v>
      </c>
      <c r="O82" t="str">
        <f>VLOOKUP(Table1[[#This Row],[Order ID]],Status!A:B, 2,FALSE)</f>
        <v>Pending</v>
      </c>
      <c r="P82" s="2" t="s">
        <v>46</v>
      </c>
      <c r="Q82" s="2">
        <v>5</v>
      </c>
      <c r="R82" s="2" t="s">
        <v>24</v>
      </c>
      <c r="S82" s="11" t="str">
        <f t="shared" si="8"/>
        <v>Bagus</v>
      </c>
      <c r="T82" s="2" t="str">
        <f t="shared" si="9"/>
        <v>Rendah</v>
      </c>
    </row>
    <row r="83" spans="1:20" ht="15.75" customHeight="1" x14ac:dyDescent="0.3">
      <c r="A83" s="4" t="s">
        <v>2280</v>
      </c>
      <c r="B83" s="3">
        <v>45901.889374999999</v>
      </c>
      <c r="C83" s="2" t="s">
        <v>582</v>
      </c>
      <c r="D83" s="2" t="s">
        <v>435</v>
      </c>
      <c r="E83" s="2" t="s">
        <v>174</v>
      </c>
      <c r="F83" s="2">
        <v>10000</v>
      </c>
      <c r="G83" s="2">
        <v>1</v>
      </c>
      <c r="H83" s="2">
        <v>15</v>
      </c>
      <c r="I83">
        <f t="shared" si="5"/>
        <v>10000</v>
      </c>
      <c r="J83">
        <f t="shared" si="6"/>
        <v>1500</v>
      </c>
      <c r="K83" s="6">
        <f t="shared" si="7"/>
        <v>8500</v>
      </c>
      <c r="L83" s="2">
        <v>67000</v>
      </c>
      <c r="M83" s="6">
        <f>Table1[[#This Row],[Total Sales]]+Table1[[#This Row],[Shipping Fee]]</f>
        <v>75500</v>
      </c>
      <c r="N83" s="2" t="s">
        <v>29</v>
      </c>
      <c r="O83" t="str">
        <f>VLOOKUP(Table1[[#This Row],[Order ID]],Status!A:B, 2,FALSE)</f>
        <v>Cancelled</v>
      </c>
      <c r="P83" s="2" t="s">
        <v>82</v>
      </c>
      <c r="Q83" s="2">
        <v>3</v>
      </c>
      <c r="R83" s="2" t="s">
        <v>24</v>
      </c>
      <c r="S83" s="11" t="str">
        <f t="shared" si="8"/>
        <v>Standar</v>
      </c>
      <c r="T83" s="2" t="str">
        <f t="shared" si="9"/>
        <v>Sangat Rendah</v>
      </c>
    </row>
    <row r="84" spans="1:20" ht="15.75" customHeight="1" x14ac:dyDescent="0.3">
      <c r="A84" s="4" t="s">
        <v>2279</v>
      </c>
      <c r="B84" s="3">
        <v>45901.378113425933</v>
      </c>
      <c r="C84" s="2" t="s">
        <v>466</v>
      </c>
      <c r="D84" s="2" t="s">
        <v>131</v>
      </c>
      <c r="E84" s="2" t="s">
        <v>138</v>
      </c>
      <c r="F84" s="2">
        <v>17000</v>
      </c>
      <c r="G84" s="2">
        <v>4</v>
      </c>
      <c r="H84" s="2">
        <v>15</v>
      </c>
      <c r="I84">
        <f t="shared" si="5"/>
        <v>68000</v>
      </c>
      <c r="J84">
        <f t="shared" si="6"/>
        <v>10200</v>
      </c>
      <c r="K84" s="6">
        <f t="shared" si="7"/>
        <v>57800</v>
      </c>
      <c r="L84" s="2">
        <v>59000</v>
      </c>
      <c r="M84" s="6">
        <f>Table1[[#This Row],[Total Sales]]+Table1[[#This Row],[Shipping Fee]]</f>
        <v>116800</v>
      </c>
      <c r="N84" s="2" t="s">
        <v>29</v>
      </c>
      <c r="O84" t="str">
        <f>VLOOKUP(Table1[[#This Row],[Order ID]],Status!A:B, 2,FALSE)</f>
        <v>Pending</v>
      </c>
      <c r="P84" s="2" t="s">
        <v>82</v>
      </c>
      <c r="Q84" s="2">
        <v>3</v>
      </c>
      <c r="R84" s="2" t="s">
        <v>24</v>
      </c>
      <c r="S84" s="11" t="str">
        <f t="shared" si="8"/>
        <v>Standar</v>
      </c>
      <c r="T84" s="2" t="str">
        <f t="shared" si="9"/>
        <v>Normal</v>
      </c>
    </row>
    <row r="85" spans="1:20" ht="15.75" customHeight="1" x14ac:dyDescent="0.3">
      <c r="A85" s="4" t="s">
        <v>2278</v>
      </c>
      <c r="B85" s="3">
        <v>45901.214085648149</v>
      </c>
      <c r="C85" s="2" t="s">
        <v>1146</v>
      </c>
      <c r="D85" s="2" t="s">
        <v>116</v>
      </c>
      <c r="E85" s="2" t="s">
        <v>58</v>
      </c>
      <c r="F85" s="2">
        <v>16000</v>
      </c>
      <c r="G85" s="2">
        <v>1</v>
      </c>
      <c r="H85" s="2">
        <v>15</v>
      </c>
      <c r="I85">
        <f t="shared" si="5"/>
        <v>16000</v>
      </c>
      <c r="J85">
        <f t="shared" si="6"/>
        <v>2400</v>
      </c>
      <c r="K85" s="6">
        <f t="shared" si="7"/>
        <v>13600</v>
      </c>
      <c r="L85" s="2">
        <v>72000</v>
      </c>
      <c r="M85" s="6">
        <f>Table1[[#This Row],[Total Sales]]+Table1[[#This Row],[Shipping Fee]]</f>
        <v>85600</v>
      </c>
      <c r="N85" s="2" t="s">
        <v>35</v>
      </c>
      <c r="O85" t="str">
        <f>VLOOKUP(Table1[[#This Row],[Order ID]],Status!A:B, 2,FALSE)</f>
        <v>Cancelled</v>
      </c>
      <c r="P85" s="2" t="s">
        <v>23</v>
      </c>
      <c r="Q85" s="2">
        <v>4</v>
      </c>
      <c r="R85" s="2" t="s">
        <v>24</v>
      </c>
      <c r="S85" s="11" t="str">
        <f t="shared" si="8"/>
        <v>Bagus</v>
      </c>
      <c r="T85" s="2" t="str">
        <f t="shared" si="9"/>
        <v>Sangat Rendah</v>
      </c>
    </row>
    <row r="86" spans="1:20" ht="15.75" customHeight="1" x14ac:dyDescent="0.3">
      <c r="A86" s="4" t="s">
        <v>2277</v>
      </c>
      <c r="B86" s="3">
        <v>45901.210173611107</v>
      </c>
      <c r="C86" s="2" t="s">
        <v>150</v>
      </c>
      <c r="D86" s="2" t="s">
        <v>151</v>
      </c>
      <c r="E86" s="2" t="s">
        <v>62</v>
      </c>
      <c r="F86" s="2">
        <v>50000</v>
      </c>
      <c r="G86" s="2">
        <v>1</v>
      </c>
      <c r="H86" s="2">
        <v>20</v>
      </c>
      <c r="I86">
        <f t="shared" si="5"/>
        <v>50000</v>
      </c>
      <c r="J86">
        <f t="shared" si="6"/>
        <v>10000</v>
      </c>
      <c r="K86" s="6">
        <f t="shared" si="7"/>
        <v>40000</v>
      </c>
      <c r="L86" s="2">
        <v>55000</v>
      </c>
      <c r="M86" s="6">
        <f>Table1[[#This Row],[Total Sales]]+Table1[[#This Row],[Shipping Fee]]</f>
        <v>95000</v>
      </c>
      <c r="N86" s="2" t="s">
        <v>35</v>
      </c>
      <c r="O86" t="str">
        <f>VLOOKUP(Table1[[#This Row],[Order ID]],Status!A:B, 2,FALSE)</f>
        <v>Pending</v>
      </c>
      <c r="P86" s="2" t="s">
        <v>82</v>
      </c>
      <c r="Q86" s="2">
        <v>1</v>
      </c>
      <c r="R86" s="2" t="s">
        <v>37</v>
      </c>
      <c r="S86" s="11" t="str">
        <f t="shared" si="8"/>
        <v>Rendah</v>
      </c>
      <c r="T86" s="2" t="str">
        <f t="shared" si="9"/>
        <v>Rendah</v>
      </c>
    </row>
    <row r="87" spans="1:20" ht="15.75" customHeight="1" x14ac:dyDescent="0.3">
      <c r="A87" s="4" t="s">
        <v>2276</v>
      </c>
      <c r="B87" s="3">
        <v>45901.202060185176</v>
      </c>
      <c r="C87" s="2" t="s">
        <v>159</v>
      </c>
      <c r="D87" s="2" t="s">
        <v>160</v>
      </c>
      <c r="E87" s="2" t="s">
        <v>67</v>
      </c>
      <c r="F87" s="2">
        <v>15000</v>
      </c>
      <c r="G87" s="2">
        <v>3</v>
      </c>
      <c r="H87" s="2">
        <v>15</v>
      </c>
      <c r="I87">
        <f t="shared" si="5"/>
        <v>45000</v>
      </c>
      <c r="J87">
        <f t="shared" si="6"/>
        <v>6750</v>
      </c>
      <c r="K87" s="6">
        <f t="shared" si="7"/>
        <v>38250</v>
      </c>
      <c r="L87" s="2">
        <v>68000</v>
      </c>
      <c r="M87" s="6">
        <f>Table1[[#This Row],[Total Sales]]+Table1[[#This Row],[Shipping Fee]]</f>
        <v>106250</v>
      </c>
      <c r="N87" s="2" t="s">
        <v>29</v>
      </c>
      <c r="O87" t="str">
        <f>VLOOKUP(Table1[[#This Row],[Order ID]],Status!A:B, 2,FALSE)</f>
        <v>Completed</v>
      </c>
      <c r="P87" s="2" t="s">
        <v>30</v>
      </c>
      <c r="Q87" s="2">
        <v>2</v>
      </c>
      <c r="R87" s="2" t="s">
        <v>24</v>
      </c>
      <c r="S87" s="11" t="str">
        <f t="shared" si="8"/>
        <v>Rendah</v>
      </c>
      <c r="T87" s="2" t="str">
        <f t="shared" si="9"/>
        <v>Rendah</v>
      </c>
    </row>
    <row r="88" spans="1:20" ht="15.75" customHeight="1" x14ac:dyDescent="0.3">
      <c r="A88" s="4" t="s">
        <v>2275</v>
      </c>
      <c r="B88" s="3">
        <v>45901.198425925933</v>
      </c>
      <c r="C88" s="2" t="s">
        <v>459</v>
      </c>
      <c r="D88" s="2" t="s">
        <v>61</v>
      </c>
      <c r="E88" s="2" t="s">
        <v>93</v>
      </c>
      <c r="F88" s="2">
        <v>25000</v>
      </c>
      <c r="G88" s="2">
        <v>2</v>
      </c>
      <c r="H88" s="2">
        <v>10</v>
      </c>
      <c r="I88">
        <f t="shared" si="5"/>
        <v>50000</v>
      </c>
      <c r="J88">
        <f t="shared" si="6"/>
        <v>5000</v>
      </c>
      <c r="K88" s="6">
        <f t="shared" si="7"/>
        <v>45000</v>
      </c>
      <c r="L88" s="2">
        <v>26000</v>
      </c>
      <c r="M88" s="6">
        <f>Table1[[#This Row],[Total Sales]]+Table1[[#This Row],[Shipping Fee]]</f>
        <v>71000</v>
      </c>
      <c r="N88" s="2" t="s">
        <v>63</v>
      </c>
      <c r="O88" t="str">
        <f>VLOOKUP(Table1[[#This Row],[Order ID]],Status!A:B, 2,FALSE)</f>
        <v>Returned</v>
      </c>
      <c r="P88" s="2" t="s">
        <v>46</v>
      </c>
      <c r="Q88" s="2">
        <v>4</v>
      </c>
      <c r="R88" s="2" t="s">
        <v>24</v>
      </c>
      <c r="S88" s="11" t="str">
        <f t="shared" si="8"/>
        <v>Bagus</v>
      </c>
      <c r="T88" s="2" t="str">
        <f t="shared" si="9"/>
        <v>Sangat Rendah</v>
      </c>
    </row>
    <row r="89" spans="1:20" ht="15.75" customHeight="1" x14ac:dyDescent="0.3">
      <c r="A89" s="4" t="s">
        <v>2274</v>
      </c>
      <c r="B89" s="3">
        <v>45901.183159722219</v>
      </c>
      <c r="C89" s="2" t="s">
        <v>547</v>
      </c>
      <c r="D89" s="2" t="s">
        <v>119</v>
      </c>
      <c r="E89" s="2" t="s">
        <v>58</v>
      </c>
      <c r="F89" s="2">
        <v>16000</v>
      </c>
      <c r="G89" s="2">
        <v>3</v>
      </c>
      <c r="H89" s="2">
        <v>0</v>
      </c>
      <c r="I89">
        <f t="shared" si="5"/>
        <v>48000</v>
      </c>
      <c r="J89">
        <f t="shared" si="6"/>
        <v>0</v>
      </c>
      <c r="K89" s="6">
        <f t="shared" si="7"/>
        <v>48000</v>
      </c>
      <c r="L89" s="2">
        <v>0</v>
      </c>
      <c r="M89" s="6">
        <f>Table1[[#This Row],[Total Sales]]+Table1[[#This Row],[Shipping Fee]]</f>
        <v>48000</v>
      </c>
      <c r="N89" s="2" t="s">
        <v>29</v>
      </c>
      <c r="O89" t="str">
        <f>VLOOKUP(Table1[[#This Row],[Order ID]],Status!A:B, 2,FALSE)</f>
        <v>Shipped</v>
      </c>
      <c r="P89" s="2" t="s">
        <v>82</v>
      </c>
      <c r="Q89" s="2">
        <v>3</v>
      </c>
      <c r="R89" s="2" t="s">
        <v>37</v>
      </c>
      <c r="S89" s="11" t="str">
        <f t="shared" si="8"/>
        <v>Standar</v>
      </c>
      <c r="T89" s="2" t="str">
        <f t="shared" si="9"/>
        <v>Sangat Rendah</v>
      </c>
    </row>
    <row r="90" spans="1:20" ht="15.75" customHeight="1" x14ac:dyDescent="0.3">
      <c r="A90" s="4" t="s">
        <v>2273</v>
      </c>
      <c r="B90" s="3">
        <v>45901.082326388889</v>
      </c>
      <c r="C90" s="2" t="s">
        <v>711</v>
      </c>
      <c r="D90" s="2" t="s">
        <v>177</v>
      </c>
      <c r="E90" s="2" t="s">
        <v>45</v>
      </c>
      <c r="F90" s="2">
        <v>40000</v>
      </c>
      <c r="G90" s="2">
        <v>2</v>
      </c>
      <c r="H90" s="2">
        <v>15</v>
      </c>
      <c r="I90">
        <f t="shared" si="5"/>
        <v>80000</v>
      </c>
      <c r="J90">
        <f t="shared" si="6"/>
        <v>12000</v>
      </c>
      <c r="K90" s="6">
        <f t="shared" si="7"/>
        <v>68000</v>
      </c>
      <c r="L90" s="2">
        <v>56000</v>
      </c>
      <c r="M90" s="6">
        <f>Table1[[#This Row],[Total Sales]]+Table1[[#This Row],[Shipping Fee]]</f>
        <v>124000</v>
      </c>
      <c r="N90" s="2" t="s">
        <v>35</v>
      </c>
      <c r="O90" t="str">
        <f>VLOOKUP(Table1[[#This Row],[Order ID]],Status!A:B, 2,FALSE)</f>
        <v>Pending</v>
      </c>
      <c r="P90" s="2" t="s">
        <v>23</v>
      </c>
      <c r="Q90" s="2">
        <v>5</v>
      </c>
      <c r="R90" s="2" t="s">
        <v>24</v>
      </c>
      <c r="S90" s="11" t="str">
        <f t="shared" si="8"/>
        <v>Bagus</v>
      </c>
      <c r="T90" s="2" t="str">
        <f t="shared" si="9"/>
        <v>Normal</v>
      </c>
    </row>
    <row r="91" spans="1:20" ht="15.75" customHeight="1" x14ac:dyDescent="0.3">
      <c r="A91" s="4" t="s">
        <v>2272</v>
      </c>
      <c r="B91" s="3">
        <v>45900.417118055557</v>
      </c>
      <c r="C91" s="2" t="s">
        <v>726</v>
      </c>
      <c r="D91" s="2" t="s">
        <v>53</v>
      </c>
      <c r="E91" s="2" t="s">
        <v>41</v>
      </c>
      <c r="F91" s="2">
        <v>4000</v>
      </c>
      <c r="G91" s="2">
        <v>1</v>
      </c>
      <c r="H91" s="2">
        <v>5</v>
      </c>
      <c r="I91">
        <f t="shared" si="5"/>
        <v>4000</v>
      </c>
      <c r="J91">
        <f t="shared" si="6"/>
        <v>200</v>
      </c>
      <c r="K91" s="6">
        <f t="shared" si="7"/>
        <v>3800</v>
      </c>
      <c r="L91" s="2">
        <v>18000</v>
      </c>
      <c r="M91" s="6">
        <f>Table1[[#This Row],[Total Sales]]+Table1[[#This Row],[Shipping Fee]]</f>
        <v>21800</v>
      </c>
      <c r="N91" s="2" t="s">
        <v>63</v>
      </c>
      <c r="O91" t="str">
        <f>VLOOKUP(Table1[[#This Row],[Order ID]],Status!A:B, 2,FALSE)</f>
        <v>Pending</v>
      </c>
      <c r="P91" s="2" t="s">
        <v>23</v>
      </c>
      <c r="Q91" s="2">
        <v>4</v>
      </c>
      <c r="R91" s="2" t="s">
        <v>37</v>
      </c>
      <c r="S91" s="11" t="str">
        <f t="shared" si="8"/>
        <v>Bagus</v>
      </c>
      <c r="T91" s="2" t="str">
        <f t="shared" si="9"/>
        <v>Sangat Rendah</v>
      </c>
    </row>
    <row r="92" spans="1:20" ht="15.75" customHeight="1" x14ac:dyDescent="0.3">
      <c r="A92" s="4" t="s">
        <v>2271</v>
      </c>
      <c r="B92" s="3">
        <v>45900.304907407408</v>
      </c>
      <c r="C92" s="2" t="s">
        <v>115</v>
      </c>
      <c r="D92" s="2" t="s">
        <v>116</v>
      </c>
      <c r="E92" s="2" t="s">
        <v>110</v>
      </c>
      <c r="F92" s="2">
        <v>6000</v>
      </c>
      <c r="G92" s="2">
        <v>1</v>
      </c>
      <c r="H92" s="2">
        <v>15</v>
      </c>
      <c r="I92">
        <f t="shared" si="5"/>
        <v>6000</v>
      </c>
      <c r="J92">
        <f t="shared" si="6"/>
        <v>900</v>
      </c>
      <c r="K92" s="6">
        <f t="shared" si="7"/>
        <v>5100</v>
      </c>
      <c r="L92" s="2">
        <v>72000</v>
      </c>
      <c r="M92" s="6">
        <f>Table1[[#This Row],[Total Sales]]+Table1[[#This Row],[Shipping Fee]]</f>
        <v>77100</v>
      </c>
      <c r="N92" s="2" t="s">
        <v>63</v>
      </c>
      <c r="O92" t="str">
        <f>VLOOKUP(Table1[[#This Row],[Order ID]],Status!A:B, 2,FALSE)</f>
        <v>Pending</v>
      </c>
      <c r="P92" s="2" t="s">
        <v>82</v>
      </c>
      <c r="Q92" s="2">
        <v>4</v>
      </c>
      <c r="R92" s="2" t="s">
        <v>24</v>
      </c>
      <c r="S92" s="11" t="str">
        <f t="shared" si="8"/>
        <v>Bagus</v>
      </c>
      <c r="T92" s="2" t="str">
        <f t="shared" si="9"/>
        <v>Sangat Rendah</v>
      </c>
    </row>
    <row r="93" spans="1:20" ht="15.75" customHeight="1" x14ac:dyDescent="0.3">
      <c r="A93" s="4" t="s">
        <v>2270</v>
      </c>
      <c r="B93" s="3">
        <v>45899.436759259261</v>
      </c>
      <c r="C93" s="2" t="s">
        <v>368</v>
      </c>
      <c r="D93" s="2" t="s">
        <v>113</v>
      </c>
      <c r="E93" s="2" t="s">
        <v>81</v>
      </c>
      <c r="F93" s="2">
        <v>17000</v>
      </c>
      <c r="G93" s="2">
        <v>3</v>
      </c>
      <c r="H93" s="2">
        <v>0</v>
      </c>
      <c r="I93">
        <f t="shared" si="5"/>
        <v>51000</v>
      </c>
      <c r="J93">
        <f t="shared" si="6"/>
        <v>0</v>
      </c>
      <c r="K93" s="6">
        <f t="shared" si="7"/>
        <v>51000</v>
      </c>
      <c r="L93" s="2">
        <v>18000</v>
      </c>
      <c r="M93" s="6">
        <f>Table1[[#This Row],[Total Sales]]+Table1[[#This Row],[Shipping Fee]]</f>
        <v>69000</v>
      </c>
      <c r="N93" s="2" t="s">
        <v>29</v>
      </c>
      <c r="O93" t="str">
        <f>VLOOKUP(Table1[[#This Row],[Order ID]],Status!A:B, 2,FALSE)</f>
        <v>Pending</v>
      </c>
      <c r="P93" s="2" t="s">
        <v>23</v>
      </c>
      <c r="Q93" s="2">
        <v>1</v>
      </c>
      <c r="R93" s="2" t="s">
        <v>37</v>
      </c>
      <c r="S93" s="11" t="str">
        <f t="shared" si="8"/>
        <v>Rendah</v>
      </c>
      <c r="T93" s="2" t="str">
        <f t="shared" si="9"/>
        <v>Sangat Rendah</v>
      </c>
    </row>
    <row r="94" spans="1:20" ht="15.75" customHeight="1" x14ac:dyDescent="0.3">
      <c r="A94" s="4" t="s">
        <v>2269</v>
      </c>
      <c r="B94" s="3">
        <v>45899.281759259262</v>
      </c>
      <c r="C94" s="2" t="s">
        <v>1341</v>
      </c>
      <c r="D94" s="2" t="s">
        <v>107</v>
      </c>
      <c r="E94" s="2" t="s">
        <v>45</v>
      </c>
      <c r="F94" s="2">
        <v>40000</v>
      </c>
      <c r="G94" s="2">
        <v>4</v>
      </c>
      <c r="H94" s="2">
        <v>15</v>
      </c>
      <c r="I94">
        <f t="shared" si="5"/>
        <v>160000</v>
      </c>
      <c r="J94">
        <f t="shared" si="6"/>
        <v>24000</v>
      </c>
      <c r="K94" s="6">
        <f t="shared" si="7"/>
        <v>136000</v>
      </c>
      <c r="L94" s="2">
        <v>97000</v>
      </c>
      <c r="M94" s="6">
        <f>Table1[[#This Row],[Total Sales]]+Table1[[#This Row],[Shipping Fee]]</f>
        <v>233000</v>
      </c>
      <c r="N94" s="2" t="s">
        <v>22</v>
      </c>
      <c r="O94" t="str">
        <f>VLOOKUP(Table1[[#This Row],[Order ID]],Status!A:B, 2,FALSE)</f>
        <v>Shipped</v>
      </c>
      <c r="P94" s="2" t="s">
        <v>30</v>
      </c>
      <c r="Q94" s="2">
        <v>1</v>
      </c>
      <c r="R94" s="2" t="s">
        <v>37</v>
      </c>
      <c r="S94" s="11" t="str">
        <f t="shared" si="8"/>
        <v>Rendah</v>
      </c>
      <c r="T94" s="2" t="str">
        <f t="shared" si="9"/>
        <v>Tinggi</v>
      </c>
    </row>
    <row r="95" spans="1:20" ht="15.75" customHeight="1" x14ac:dyDescent="0.3">
      <c r="A95" s="4" t="s">
        <v>2268</v>
      </c>
      <c r="B95" s="3">
        <v>45899.208912037036</v>
      </c>
      <c r="C95" s="2" t="s">
        <v>285</v>
      </c>
      <c r="D95" s="2" t="s">
        <v>20</v>
      </c>
      <c r="E95" s="2" t="s">
        <v>88</v>
      </c>
      <c r="F95" s="2">
        <v>14000</v>
      </c>
      <c r="G95" s="2">
        <v>3</v>
      </c>
      <c r="H95" s="2">
        <v>20</v>
      </c>
      <c r="I95">
        <f t="shared" si="5"/>
        <v>42000</v>
      </c>
      <c r="J95">
        <f t="shared" si="6"/>
        <v>8400</v>
      </c>
      <c r="K95" s="6">
        <f t="shared" si="7"/>
        <v>33600</v>
      </c>
      <c r="L95" s="2">
        <v>15000</v>
      </c>
      <c r="M95" s="6">
        <f>Table1[[#This Row],[Total Sales]]+Table1[[#This Row],[Shipping Fee]]</f>
        <v>48600</v>
      </c>
      <c r="N95" s="2" t="s">
        <v>35</v>
      </c>
      <c r="O95" t="str">
        <f>VLOOKUP(Table1[[#This Row],[Order ID]],Status!A:B, 2,FALSE)</f>
        <v>Completed</v>
      </c>
      <c r="P95" s="2" t="s">
        <v>30</v>
      </c>
      <c r="Q95" s="2">
        <v>1</v>
      </c>
      <c r="R95" s="2" t="s">
        <v>37</v>
      </c>
      <c r="S95" s="11" t="str">
        <f t="shared" si="8"/>
        <v>Rendah</v>
      </c>
      <c r="T95" s="2" t="str">
        <f t="shared" si="9"/>
        <v>Rendah</v>
      </c>
    </row>
    <row r="96" spans="1:20" ht="15.75" customHeight="1" x14ac:dyDescent="0.3">
      <c r="A96" s="4" t="s">
        <v>2267</v>
      </c>
      <c r="B96" s="3">
        <v>45899.024247685193</v>
      </c>
      <c r="C96" s="2" t="s">
        <v>615</v>
      </c>
      <c r="D96" s="2" t="s">
        <v>92</v>
      </c>
      <c r="E96" s="2" t="s">
        <v>250</v>
      </c>
      <c r="F96" s="2">
        <v>18000</v>
      </c>
      <c r="G96" s="2">
        <v>5</v>
      </c>
      <c r="H96" s="2">
        <v>15</v>
      </c>
      <c r="I96">
        <f t="shared" si="5"/>
        <v>90000</v>
      </c>
      <c r="J96">
        <f t="shared" si="6"/>
        <v>13500</v>
      </c>
      <c r="K96" s="6">
        <f t="shared" si="7"/>
        <v>76500</v>
      </c>
      <c r="L96" s="2">
        <v>30000</v>
      </c>
      <c r="M96" s="6">
        <f>Table1[[#This Row],[Total Sales]]+Table1[[#This Row],[Shipping Fee]]</f>
        <v>106500</v>
      </c>
      <c r="N96" s="2" t="s">
        <v>63</v>
      </c>
      <c r="O96" t="str">
        <f>VLOOKUP(Table1[[#This Row],[Order ID]],Status!A:B, 2,FALSE)</f>
        <v>Completed</v>
      </c>
      <c r="P96" s="2" t="s">
        <v>82</v>
      </c>
      <c r="Q96" s="2">
        <v>3</v>
      </c>
      <c r="R96" s="2" t="s">
        <v>24</v>
      </c>
      <c r="S96" s="11" t="str">
        <f t="shared" si="8"/>
        <v>Standar</v>
      </c>
      <c r="T96" s="2" t="str">
        <f t="shared" si="9"/>
        <v>Normal</v>
      </c>
    </row>
    <row r="97" spans="1:20" ht="15.75" customHeight="1" x14ac:dyDescent="0.3">
      <c r="A97" s="4" t="s">
        <v>2266</v>
      </c>
      <c r="B97" s="3">
        <v>45898.97152777778</v>
      </c>
      <c r="C97" s="2" t="s">
        <v>52</v>
      </c>
      <c r="D97" s="2" t="s">
        <v>53</v>
      </c>
      <c r="E97" s="2" t="s">
        <v>136</v>
      </c>
      <c r="F97" s="2">
        <v>12000</v>
      </c>
      <c r="G97" s="2">
        <v>4</v>
      </c>
      <c r="H97" s="2">
        <v>0</v>
      </c>
      <c r="I97">
        <f t="shared" si="5"/>
        <v>48000</v>
      </c>
      <c r="J97">
        <f t="shared" si="6"/>
        <v>0</v>
      </c>
      <c r="K97" s="6">
        <f t="shared" si="7"/>
        <v>48000</v>
      </c>
      <c r="L97" s="2">
        <v>18000</v>
      </c>
      <c r="M97" s="6">
        <f>Table1[[#This Row],[Total Sales]]+Table1[[#This Row],[Shipping Fee]]</f>
        <v>66000</v>
      </c>
      <c r="N97" s="2" t="s">
        <v>22</v>
      </c>
      <c r="O97" t="str">
        <f>VLOOKUP(Table1[[#This Row],[Order ID]],Status!A:B, 2,FALSE)</f>
        <v>Completed</v>
      </c>
      <c r="P97" s="2" t="s">
        <v>30</v>
      </c>
      <c r="Q97" s="2">
        <v>5</v>
      </c>
      <c r="R97" s="2" t="s">
        <v>24</v>
      </c>
      <c r="S97" s="11" t="str">
        <f t="shared" si="8"/>
        <v>Bagus</v>
      </c>
      <c r="T97" s="2" t="str">
        <f t="shared" si="9"/>
        <v>Sangat Rendah</v>
      </c>
    </row>
    <row r="98" spans="1:20" ht="15.75" customHeight="1" x14ac:dyDescent="0.3">
      <c r="A98" s="4" t="s">
        <v>2265</v>
      </c>
      <c r="B98" s="3">
        <v>45898.705682870372</v>
      </c>
      <c r="C98" s="2" t="s">
        <v>1035</v>
      </c>
      <c r="D98" s="2" t="s">
        <v>66</v>
      </c>
      <c r="E98" s="2" t="s">
        <v>136</v>
      </c>
      <c r="F98" s="2">
        <v>12000</v>
      </c>
      <c r="G98" s="2">
        <v>5</v>
      </c>
      <c r="H98" s="2">
        <v>15</v>
      </c>
      <c r="I98">
        <f t="shared" si="5"/>
        <v>60000</v>
      </c>
      <c r="J98">
        <f t="shared" si="6"/>
        <v>9000</v>
      </c>
      <c r="K98" s="6">
        <f t="shared" si="7"/>
        <v>51000</v>
      </c>
      <c r="L98" s="2">
        <v>59000</v>
      </c>
      <c r="M98" s="6">
        <f>Table1[[#This Row],[Total Sales]]+Table1[[#This Row],[Shipping Fee]]</f>
        <v>110000</v>
      </c>
      <c r="N98" s="2" t="s">
        <v>22</v>
      </c>
      <c r="O98" t="str">
        <f>VLOOKUP(Table1[[#This Row],[Order ID]],Status!A:B, 2,FALSE)</f>
        <v>Pending</v>
      </c>
      <c r="P98" s="2" t="s">
        <v>46</v>
      </c>
      <c r="Q98" s="2">
        <v>2</v>
      </c>
      <c r="R98" s="2" t="s">
        <v>24</v>
      </c>
      <c r="S98" s="11" t="str">
        <f t="shared" si="8"/>
        <v>Rendah</v>
      </c>
      <c r="T98" s="2" t="str">
        <f t="shared" si="9"/>
        <v>Rendah</v>
      </c>
    </row>
    <row r="99" spans="1:20" ht="15.75" customHeight="1" x14ac:dyDescent="0.3">
      <c r="A99" s="4" t="s">
        <v>2264</v>
      </c>
      <c r="B99" s="3">
        <v>45898.584236111114</v>
      </c>
      <c r="C99" s="2" t="s">
        <v>222</v>
      </c>
      <c r="D99" s="2" t="s">
        <v>49</v>
      </c>
      <c r="E99" s="2" t="s">
        <v>45</v>
      </c>
      <c r="F99" s="2">
        <v>40000</v>
      </c>
      <c r="G99" s="2">
        <v>5</v>
      </c>
      <c r="H99" s="2">
        <v>0</v>
      </c>
      <c r="I99">
        <f t="shared" si="5"/>
        <v>200000</v>
      </c>
      <c r="J99">
        <f t="shared" si="6"/>
        <v>0</v>
      </c>
      <c r="K99" s="6">
        <f t="shared" si="7"/>
        <v>200000</v>
      </c>
      <c r="L99" s="2">
        <v>43000</v>
      </c>
      <c r="M99" s="6">
        <f>Table1[[#This Row],[Total Sales]]+Table1[[#This Row],[Shipping Fee]]</f>
        <v>243000</v>
      </c>
      <c r="N99" s="2" t="s">
        <v>22</v>
      </c>
      <c r="O99" t="str">
        <f>VLOOKUP(Table1[[#This Row],[Order ID]],Status!A:B, 2,FALSE)</f>
        <v>Pending</v>
      </c>
      <c r="P99" s="2" t="s">
        <v>46</v>
      </c>
      <c r="Q99" s="2">
        <v>2</v>
      </c>
      <c r="R99" s="2" t="s">
        <v>24</v>
      </c>
      <c r="S99" s="11" t="str">
        <f t="shared" si="8"/>
        <v>Rendah</v>
      </c>
      <c r="T99" s="2" t="str">
        <f t="shared" si="9"/>
        <v>Sangat Rendah</v>
      </c>
    </row>
    <row r="100" spans="1:20" ht="15.75" customHeight="1" x14ac:dyDescent="0.3">
      <c r="A100" s="4" t="s">
        <v>2263</v>
      </c>
      <c r="B100" s="3">
        <v>45898.353715277779</v>
      </c>
      <c r="C100" s="2" t="s">
        <v>192</v>
      </c>
      <c r="D100" s="2" t="s">
        <v>107</v>
      </c>
      <c r="E100" s="2" t="s">
        <v>58</v>
      </c>
      <c r="F100" s="2">
        <v>16000</v>
      </c>
      <c r="G100" s="2">
        <v>5</v>
      </c>
      <c r="H100" s="2">
        <v>5</v>
      </c>
      <c r="I100">
        <f t="shared" si="5"/>
        <v>80000</v>
      </c>
      <c r="J100">
        <f t="shared" si="6"/>
        <v>4000</v>
      </c>
      <c r="K100" s="6">
        <f t="shared" si="7"/>
        <v>76000</v>
      </c>
      <c r="L100" s="2">
        <v>0</v>
      </c>
      <c r="M100" s="6">
        <f>Table1[[#This Row],[Total Sales]]+Table1[[#This Row],[Shipping Fee]]</f>
        <v>76000</v>
      </c>
      <c r="N100" s="2" t="s">
        <v>29</v>
      </c>
      <c r="O100" t="str">
        <f>VLOOKUP(Table1[[#This Row],[Order ID]],Status!A:B, 2,FALSE)</f>
        <v>Completed</v>
      </c>
      <c r="P100" s="2" t="s">
        <v>36</v>
      </c>
      <c r="Q100" s="2">
        <v>1</v>
      </c>
      <c r="R100" s="2" t="s">
        <v>24</v>
      </c>
      <c r="S100" s="11" t="str">
        <f t="shared" si="8"/>
        <v>Rendah</v>
      </c>
      <c r="T100" s="2" t="str">
        <f t="shared" si="9"/>
        <v>Sangat Rendah</v>
      </c>
    </row>
    <row r="101" spans="1:20" ht="15.75" customHeight="1" x14ac:dyDescent="0.3">
      <c r="A101" s="4" t="s">
        <v>2263</v>
      </c>
      <c r="B101" s="3">
        <v>45898.353715277779</v>
      </c>
      <c r="C101" s="2" t="s">
        <v>192</v>
      </c>
      <c r="D101" s="2" t="s">
        <v>107</v>
      </c>
      <c r="E101" s="2" t="s">
        <v>190</v>
      </c>
      <c r="F101" s="2">
        <v>35000</v>
      </c>
      <c r="G101" s="2">
        <v>5</v>
      </c>
      <c r="H101" s="2">
        <v>20</v>
      </c>
      <c r="I101">
        <f t="shared" si="5"/>
        <v>175000</v>
      </c>
      <c r="J101">
        <f t="shared" si="6"/>
        <v>35000</v>
      </c>
      <c r="K101" s="6">
        <f t="shared" si="7"/>
        <v>140000</v>
      </c>
      <c r="L101" s="2">
        <v>97000</v>
      </c>
      <c r="M101" s="6">
        <f>Table1[[#This Row],[Total Sales]]+Table1[[#This Row],[Shipping Fee]]</f>
        <v>237000</v>
      </c>
      <c r="N101" s="2" t="s">
        <v>29</v>
      </c>
      <c r="O101" t="str">
        <f>VLOOKUP(Table1[[#This Row],[Order ID]],Status!A:B, 2,FALSE)</f>
        <v>Completed</v>
      </c>
      <c r="P101" s="2" t="s">
        <v>36</v>
      </c>
      <c r="Q101" s="2">
        <v>1</v>
      </c>
      <c r="R101" s="2" t="s">
        <v>24</v>
      </c>
      <c r="S101" s="11" t="str">
        <f t="shared" si="8"/>
        <v>Rendah</v>
      </c>
      <c r="T101" s="2" t="str">
        <f t="shared" si="9"/>
        <v>Tinggi</v>
      </c>
    </row>
    <row r="102" spans="1:20" ht="15.75" customHeight="1" x14ac:dyDescent="0.3">
      <c r="A102" s="4" t="s">
        <v>2262</v>
      </c>
      <c r="B102" s="3">
        <v>45898.353402777779</v>
      </c>
      <c r="C102" s="2" t="s">
        <v>425</v>
      </c>
      <c r="D102" s="2" t="s">
        <v>44</v>
      </c>
      <c r="E102" s="2" t="s">
        <v>104</v>
      </c>
      <c r="F102" s="2">
        <v>30000</v>
      </c>
      <c r="G102" s="2">
        <v>3</v>
      </c>
      <c r="H102" s="2">
        <v>0</v>
      </c>
      <c r="I102">
        <f t="shared" si="5"/>
        <v>90000</v>
      </c>
      <c r="J102">
        <f t="shared" si="6"/>
        <v>0</v>
      </c>
      <c r="K102" s="6">
        <f t="shared" si="7"/>
        <v>90000</v>
      </c>
      <c r="L102" s="2">
        <v>93000</v>
      </c>
      <c r="M102" s="6">
        <f>Table1[[#This Row],[Total Sales]]+Table1[[#This Row],[Shipping Fee]]</f>
        <v>183000</v>
      </c>
      <c r="N102" s="2" t="s">
        <v>29</v>
      </c>
      <c r="O102" t="str">
        <f>VLOOKUP(Table1[[#This Row],[Order ID]],Status!A:B, 2,FALSE)</f>
        <v>Completed</v>
      </c>
      <c r="P102" s="2" t="s">
        <v>82</v>
      </c>
      <c r="Q102" s="2">
        <v>1</v>
      </c>
      <c r="R102" s="2" t="s">
        <v>37</v>
      </c>
      <c r="S102" s="11" t="str">
        <f t="shared" si="8"/>
        <v>Rendah</v>
      </c>
      <c r="T102" s="2" t="str">
        <f t="shared" si="9"/>
        <v>Sangat Rendah</v>
      </c>
    </row>
    <row r="103" spans="1:20" ht="15.75" customHeight="1" x14ac:dyDescent="0.3">
      <c r="A103" s="4" t="s">
        <v>2261</v>
      </c>
      <c r="B103" s="3">
        <v>45898.346018518518</v>
      </c>
      <c r="C103" s="2" t="s">
        <v>985</v>
      </c>
      <c r="D103" s="2" t="s">
        <v>53</v>
      </c>
      <c r="E103" s="2" t="s">
        <v>81</v>
      </c>
      <c r="F103" s="2">
        <v>17000</v>
      </c>
      <c r="G103" s="2">
        <v>1</v>
      </c>
      <c r="H103" s="2">
        <v>5</v>
      </c>
      <c r="I103">
        <f t="shared" si="5"/>
        <v>17000</v>
      </c>
      <c r="J103">
        <f t="shared" si="6"/>
        <v>850</v>
      </c>
      <c r="K103" s="6">
        <f t="shared" si="7"/>
        <v>16150</v>
      </c>
      <c r="L103" s="2">
        <v>18000</v>
      </c>
      <c r="M103" s="6">
        <f>Table1[[#This Row],[Total Sales]]+Table1[[#This Row],[Shipping Fee]]</f>
        <v>34150</v>
      </c>
      <c r="N103" s="2" t="s">
        <v>29</v>
      </c>
      <c r="O103" t="str">
        <f>VLOOKUP(Table1[[#This Row],[Order ID]],Status!A:B, 2,FALSE)</f>
        <v>Cancelled</v>
      </c>
      <c r="P103" s="2" t="s">
        <v>23</v>
      </c>
      <c r="Q103" s="2">
        <v>1</v>
      </c>
      <c r="R103" s="2" t="s">
        <v>24</v>
      </c>
      <c r="S103" s="11" t="str">
        <f t="shared" si="8"/>
        <v>Rendah</v>
      </c>
      <c r="T103" s="2" t="str">
        <f t="shared" si="9"/>
        <v>Sangat Rendah</v>
      </c>
    </row>
    <row r="104" spans="1:20" ht="15.75" customHeight="1" x14ac:dyDescent="0.3">
      <c r="A104" s="4" t="s">
        <v>2260</v>
      </c>
      <c r="B104" s="3">
        <v>45898.28365740741</v>
      </c>
      <c r="C104" s="2" t="s">
        <v>394</v>
      </c>
      <c r="D104" s="2" t="s">
        <v>53</v>
      </c>
      <c r="E104" s="2" t="s">
        <v>136</v>
      </c>
      <c r="F104" s="2">
        <v>12000</v>
      </c>
      <c r="G104" s="2">
        <v>1</v>
      </c>
      <c r="H104" s="2">
        <v>0</v>
      </c>
      <c r="I104">
        <f t="shared" si="5"/>
        <v>12000</v>
      </c>
      <c r="J104">
        <f t="shared" si="6"/>
        <v>0</v>
      </c>
      <c r="K104" s="6">
        <f t="shared" si="7"/>
        <v>12000</v>
      </c>
      <c r="L104" s="2">
        <v>18000</v>
      </c>
      <c r="M104" s="6">
        <f>Table1[[#This Row],[Total Sales]]+Table1[[#This Row],[Shipping Fee]]</f>
        <v>30000</v>
      </c>
      <c r="N104" s="2" t="s">
        <v>35</v>
      </c>
      <c r="O104" t="str">
        <f>VLOOKUP(Table1[[#This Row],[Order ID]],Status!A:B, 2,FALSE)</f>
        <v>Completed</v>
      </c>
      <c r="P104" s="2" t="s">
        <v>82</v>
      </c>
      <c r="Q104" s="2">
        <v>3</v>
      </c>
      <c r="R104" s="2" t="s">
        <v>24</v>
      </c>
      <c r="S104" s="11" t="str">
        <f t="shared" si="8"/>
        <v>Standar</v>
      </c>
      <c r="T104" s="2" t="str">
        <f t="shared" si="9"/>
        <v>Sangat Rendah</v>
      </c>
    </row>
    <row r="105" spans="1:20" ht="15.75" customHeight="1" x14ac:dyDescent="0.3">
      <c r="A105" s="4" t="s">
        <v>2259</v>
      </c>
      <c r="B105" s="3">
        <v>45898.250937500001</v>
      </c>
      <c r="C105" s="2" t="s">
        <v>95</v>
      </c>
      <c r="D105" s="2" t="s">
        <v>96</v>
      </c>
      <c r="E105" s="2" t="s">
        <v>34</v>
      </c>
      <c r="F105" s="2">
        <v>16000</v>
      </c>
      <c r="G105" s="2">
        <v>3</v>
      </c>
      <c r="H105" s="2">
        <v>20</v>
      </c>
      <c r="I105">
        <f t="shared" si="5"/>
        <v>48000</v>
      </c>
      <c r="J105">
        <f t="shared" si="6"/>
        <v>9600</v>
      </c>
      <c r="K105" s="6">
        <f t="shared" si="7"/>
        <v>38400</v>
      </c>
      <c r="L105" s="2">
        <v>49000</v>
      </c>
      <c r="M105" s="6">
        <f>Table1[[#This Row],[Total Sales]]+Table1[[#This Row],[Shipping Fee]]</f>
        <v>87400</v>
      </c>
      <c r="N105" s="2" t="s">
        <v>29</v>
      </c>
      <c r="O105" t="str">
        <f>VLOOKUP(Table1[[#This Row],[Order ID]],Status!A:B, 2,FALSE)</f>
        <v>Pending</v>
      </c>
      <c r="P105" s="2" t="s">
        <v>46</v>
      </c>
      <c r="Q105" s="2">
        <v>2</v>
      </c>
      <c r="R105" s="2" t="s">
        <v>24</v>
      </c>
      <c r="S105" s="11" t="str">
        <f t="shared" si="8"/>
        <v>Rendah</v>
      </c>
      <c r="T105" s="2" t="str">
        <f t="shared" si="9"/>
        <v>Rendah</v>
      </c>
    </row>
    <row r="106" spans="1:20" ht="15.75" customHeight="1" x14ac:dyDescent="0.3">
      <c r="A106" s="4" t="s">
        <v>2258</v>
      </c>
      <c r="B106" s="3">
        <v>45898.221493055556</v>
      </c>
      <c r="C106" s="2" t="s">
        <v>1323</v>
      </c>
      <c r="D106" s="2" t="s">
        <v>74</v>
      </c>
      <c r="E106" s="2" t="s">
        <v>34</v>
      </c>
      <c r="F106" s="2">
        <v>16000</v>
      </c>
      <c r="G106" s="2">
        <v>4</v>
      </c>
      <c r="H106" s="2">
        <v>20</v>
      </c>
      <c r="I106">
        <f t="shared" si="5"/>
        <v>64000</v>
      </c>
      <c r="J106">
        <f t="shared" si="6"/>
        <v>12800</v>
      </c>
      <c r="K106" s="6">
        <f t="shared" si="7"/>
        <v>51200</v>
      </c>
      <c r="L106" s="2">
        <v>87000</v>
      </c>
      <c r="M106" s="6">
        <f>Table1[[#This Row],[Total Sales]]+Table1[[#This Row],[Shipping Fee]]</f>
        <v>138200</v>
      </c>
      <c r="N106" s="2" t="s">
        <v>29</v>
      </c>
      <c r="O106" t="str">
        <f>VLOOKUP(Table1[[#This Row],[Order ID]],Status!A:B, 2,FALSE)</f>
        <v>Shipped</v>
      </c>
      <c r="P106" s="2" t="s">
        <v>82</v>
      </c>
      <c r="Q106" s="2">
        <v>2</v>
      </c>
      <c r="R106" s="2" t="s">
        <v>24</v>
      </c>
      <c r="S106" s="11" t="str">
        <f t="shared" si="8"/>
        <v>Rendah</v>
      </c>
      <c r="T106" s="2" t="str">
        <f t="shared" si="9"/>
        <v>Normal</v>
      </c>
    </row>
    <row r="107" spans="1:20" ht="15.75" customHeight="1" x14ac:dyDescent="0.3">
      <c r="A107" s="4" t="s">
        <v>2257</v>
      </c>
      <c r="B107" s="3">
        <v>45898.097557870373</v>
      </c>
      <c r="C107" s="2" t="s">
        <v>510</v>
      </c>
      <c r="D107" s="2" t="s">
        <v>96</v>
      </c>
      <c r="E107" s="2" t="s">
        <v>110</v>
      </c>
      <c r="F107" s="2">
        <v>6000</v>
      </c>
      <c r="G107" s="2">
        <v>5</v>
      </c>
      <c r="H107" s="2">
        <v>10</v>
      </c>
      <c r="I107">
        <f t="shared" si="5"/>
        <v>30000</v>
      </c>
      <c r="J107">
        <f t="shared" si="6"/>
        <v>3000</v>
      </c>
      <c r="K107" s="6">
        <f t="shared" si="7"/>
        <v>27000</v>
      </c>
      <c r="L107" s="2">
        <v>49000</v>
      </c>
      <c r="M107" s="6">
        <f>Table1[[#This Row],[Total Sales]]+Table1[[#This Row],[Shipping Fee]]</f>
        <v>76000</v>
      </c>
      <c r="N107" s="2" t="s">
        <v>29</v>
      </c>
      <c r="O107" t="str">
        <f>VLOOKUP(Table1[[#This Row],[Order ID]],Status!A:B, 2,FALSE)</f>
        <v>Completed</v>
      </c>
      <c r="P107" s="2" t="s">
        <v>82</v>
      </c>
      <c r="Q107" s="2">
        <v>5</v>
      </c>
      <c r="R107" s="2" t="s">
        <v>24</v>
      </c>
      <c r="S107" s="11" t="str">
        <f t="shared" si="8"/>
        <v>Bagus</v>
      </c>
      <c r="T107" s="2" t="str">
        <f t="shared" si="9"/>
        <v>Sangat Rendah</v>
      </c>
    </row>
    <row r="108" spans="1:20" ht="15.75" customHeight="1" x14ac:dyDescent="0.3">
      <c r="A108" s="4" t="s">
        <v>2256</v>
      </c>
      <c r="B108" s="3">
        <v>45898.084236111114</v>
      </c>
      <c r="C108" s="2" t="s">
        <v>153</v>
      </c>
      <c r="D108" s="2" t="s">
        <v>103</v>
      </c>
      <c r="E108" s="2" t="s">
        <v>62</v>
      </c>
      <c r="F108" s="2">
        <v>50000</v>
      </c>
      <c r="G108" s="2">
        <v>4</v>
      </c>
      <c r="H108" s="2">
        <v>5</v>
      </c>
      <c r="I108">
        <f t="shared" si="5"/>
        <v>200000</v>
      </c>
      <c r="J108">
        <f t="shared" si="6"/>
        <v>10000</v>
      </c>
      <c r="K108" s="6">
        <f t="shared" si="7"/>
        <v>190000</v>
      </c>
      <c r="L108" s="2">
        <v>85000</v>
      </c>
      <c r="M108" s="6">
        <f>Table1[[#This Row],[Total Sales]]+Table1[[#This Row],[Shipping Fee]]</f>
        <v>275000</v>
      </c>
      <c r="N108" s="2" t="s">
        <v>35</v>
      </c>
      <c r="O108" t="str">
        <f>VLOOKUP(Table1[[#This Row],[Order ID]],Status!A:B, 2,FALSE)</f>
        <v>Pending</v>
      </c>
      <c r="P108" s="2" t="s">
        <v>30</v>
      </c>
      <c r="Q108" s="2">
        <v>4</v>
      </c>
      <c r="R108" s="2" t="s">
        <v>37</v>
      </c>
      <c r="S108" s="11" t="str">
        <f t="shared" si="8"/>
        <v>Bagus</v>
      </c>
      <c r="T108" s="2" t="str">
        <f t="shared" si="9"/>
        <v>Rendah</v>
      </c>
    </row>
    <row r="109" spans="1:20" ht="15.75" customHeight="1" x14ac:dyDescent="0.3">
      <c r="A109" s="4" t="s">
        <v>2255</v>
      </c>
      <c r="B109" s="3">
        <v>45897.733437499999</v>
      </c>
      <c r="C109" s="2" t="s">
        <v>1396</v>
      </c>
      <c r="D109" s="2" t="s">
        <v>435</v>
      </c>
      <c r="E109" s="2" t="s">
        <v>186</v>
      </c>
      <c r="F109" s="2">
        <v>45000</v>
      </c>
      <c r="G109" s="2">
        <v>2</v>
      </c>
      <c r="H109" s="2">
        <v>15</v>
      </c>
      <c r="I109">
        <f t="shared" si="5"/>
        <v>90000</v>
      </c>
      <c r="J109">
        <f t="shared" si="6"/>
        <v>13500</v>
      </c>
      <c r="K109" s="6">
        <f t="shared" si="7"/>
        <v>76500</v>
      </c>
      <c r="L109" s="2">
        <v>67000</v>
      </c>
      <c r="M109" s="6">
        <f>Table1[[#This Row],[Total Sales]]+Table1[[#This Row],[Shipping Fee]]</f>
        <v>143500</v>
      </c>
      <c r="N109" s="2" t="s">
        <v>63</v>
      </c>
      <c r="O109" t="str">
        <f>VLOOKUP(Table1[[#This Row],[Order ID]],Status!A:B, 2,FALSE)</f>
        <v>Completed</v>
      </c>
      <c r="P109" s="2" t="s">
        <v>23</v>
      </c>
      <c r="Q109" s="2">
        <v>3</v>
      </c>
      <c r="R109" s="2" t="s">
        <v>24</v>
      </c>
      <c r="S109" s="11" t="str">
        <f t="shared" si="8"/>
        <v>Standar</v>
      </c>
      <c r="T109" s="2" t="str">
        <f t="shared" si="9"/>
        <v>Normal</v>
      </c>
    </row>
    <row r="110" spans="1:20" ht="15.75" customHeight="1" x14ac:dyDescent="0.3">
      <c r="A110" s="4" t="s">
        <v>2254</v>
      </c>
      <c r="B110" s="3">
        <v>45897.537870370368</v>
      </c>
      <c r="C110" s="2" t="s">
        <v>321</v>
      </c>
      <c r="D110" s="2" t="s">
        <v>80</v>
      </c>
      <c r="E110" s="2" t="s">
        <v>21</v>
      </c>
      <c r="F110" s="2">
        <v>45000</v>
      </c>
      <c r="G110" s="2">
        <v>2</v>
      </c>
      <c r="H110" s="2">
        <v>5</v>
      </c>
      <c r="I110">
        <f t="shared" si="5"/>
        <v>90000</v>
      </c>
      <c r="J110">
        <f t="shared" si="6"/>
        <v>4500</v>
      </c>
      <c r="K110" s="6">
        <f t="shared" si="7"/>
        <v>85500</v>
      </c>
      <c r="L110" s="2">
        <v>74000</v>
      </c>
      <c r="M110" s="6">
        <f>Table1[[#This Row],[Total Sales]]+Table1[[#This Row],[Shipping Fee]]</f>
        <v>159500</v>
      </c>
      <c r="N110" s="2" t="s">
        <v>63</v>
      </c>
      <c r="O110" t="str">
        <f>VLOOKUP(Table1[[#This Row],[Order ID]],Status!A:B, 2,FALSE)</f>
        <v>Pending</v>
      </c>
      <c r="P110" s="2" t="s">
        <v>23</v>
      </c>
      <c r="Q110" s="2">
        <v>3</v>
      </c>
      <c r="R110" s="2" t="s">
        <v>24</v>
      </c>
      <c r="S110" s="11" t="str">
        <f t="shared" si="8"/>
        <v>Standar</v>
      </c>
      <c r="T110" s="2" t="str">
        <f t="shared" si="9"/>
        <v>Sangat Rendah</v>
      </c>
    </row>
    <row r="111" spans="1:20" ht="15.75" customHeight="1" x14ac:dyDescent="0.3">
      <c r="A111" s="4" t="s">
        <v>2253</v>
      </c>
      <c r="B111" s="3">
        <v>45897.186666666668</v>
      </c>
      <c r="C111" s="2" t="s">
        <v>184</v>
      </c>
      <c r="D111" s="2" t="s">
        <v>103</v>
      </c>
      <c r="E111" s="2" t="s">
        <v>41</v>
      </c>
      <c r="F111" s="2">
        <v>4000</v>
      </c>
      <c r="G111" s="2">
        <v>1</v>
      </c>
      <c r="H111" s="2">
        <v>10</v>
      </c>
      <c r="I111">
        <f t="shared" si="5"/>
        <v>4000</v>
      </c>
      <c r="J111">
        <f t="shared" si="6"/>
        <v>400</v>
      </c>
      <c r="K111" s="6">
        <f t="shared" si="7"/>
        <v>3600</v>
      </c>
      <c r="L111" s="2">
        <v>85000</v>
      </c>
      <c r="M111" s="6">
        <f>Table1[[#This Row],[Total Sales]]+Table1[[#This Row],[Shipping Fee]]</f>
        <v>88600</v>
      </c>
      <c r="N111" s="2" t="s">
        <v>29</v>
      </c>
      <c r="O111" t="str">
        <f>VLOOKUP(Table1[[#This Row],[Order ID]],Status!A:B, 2,FALSE)</f>
        <v>Pending</v>
      </c>
      <c r="P111" s="2" t="s">
        <v>82</v>
      </c>
      <c r="Q111" s="2">
        <v>1</v>
      </c>
      <c r="R111" s="2" t="s">
        <v>24</v>
      </c>
      <c r="S111" s="11" t="str">
        <f t="shared" si="8"/>
        <v>Rendah</v>
      </c>
      <c r="T111" s="2" t="str">
        <f t="shared" si="9"/>
        <v>Sangat Rendah</v>
      </c>
    </row>
    <row r="112" spans="1:20" ht="15.75" customHeight="1" x14ac:dyDescent="0.3">
      <c r="A112" s="4" t="s">
        <v>2252</v>
      </c>
      <c r="B112" s="3">
        <v>45897.089432870373</v>
      </c>
      <c r="C112" s="2" t="s">
        <v>549</v>
      </c>
      <c r="D112" s="2" t="s">
        <v>107</v>
      </c>
      <c r="E112" s="2" t="s">
        <v>174</v>
      </c>
      <c r="F112" s="2">
        <v>10000</v>
      </c>
      <c r="G112" s="2">
        <v>3</v>
      </c>
      <c r="H112" s="2">
        <v>5</v>
      </c>
      <c r="I112">
        <f t="shared" si="5"/>
        <v>30000</v>
      </c>
      <c r="J112">
        <f t="shared" si="6"/>
        <v>1500</v>
      </c>
      <c r="K112" s="6">
        <f t="shared" si="7"/>
        <v>28500</v>
      </c>
      <c r="L112" s="2">
        <v>97000</v>
      </c>
      <c r="M112" s="6">
        <f>Table1[[#This Row],[Total Sales]]+Table1[[#This Row],[Shipping Fee]]</f>
        <v>125500</v>
      </c>
      <c r="N112" s="2" t="s">
        <v>29</v>
      </c>
      <c r="O112" t="str">
        <f>VLOOKUP(Table1[[#This Row],[Order ID]],Status!A:B, 2,FALSE)</f>
        <v>Completed</v>
      </c>
      <c r="P112" s="2" t="s">
        <v>30</v>
      </c>
      <c r="Q112" s="2">
        <v>4</v>
      </c>
      <c r="R112" s="2" t="s">
        <v>24</v>
      </c>
      <c r="S112" s="11" t="str">
        <f t="shared" si="8"/>
        <v>Bagus</v>
      </c>
      <c r="T112" s="2" t="str">
        <f t="shared" si="9"/>
        <v>Sangat Rendah</v>
      </c>
    </row>
    <row r="113" spans="1:20" ht="15.75" customHeight="1" x14ac:dyDescent="0.3">
      <c r="A113" s="4" t="s">
        <v>2251</v>
      </c>
      <c r="B113" s="3">
        <v>45896.674687500003</v>
      </c>
      <c r="C113" s="2" t="s">
        <v>570</v>
      </c>
      <c r="D113" s="2" t="s">
        <v>80</v>
      </c>
      <c r="E113" s="2" t="s">
        <v>45</v>
      </c>
      <c r="F113" s="2">
        <v>40000</v>
      </c>
      <c r="G113" s="2">
        <v>5</v>
      </c>
      <c r="H113" s="2">
        <v>15</v>
      </c>
      <c r="I113">
        <f t="shared" si="5"/>
        <v>200000</v>
      </c>
      <c r="J113">
        <f t="shared" si="6"/>
        <v>30000</v>
      </c>
      <c r="K113" s="6">
        <f t="shared" si="7"/>
        <v>170000</v>
      </c>
      <c r="L113" s="2">
        <v>74000</v>
      </c>
      <c r="M113" s="6">
        <f>Table1[[#This Row],[Total Sales]]+Table1[[#This Row],[Shipping Fee]]</f>
        <v>244000</v>
      </c>
      <c r="N113" s="2" t="s">
        <v>29</v>
      </c>
      <c r="O113" t="str">
        <f>VLOOKUP(Table1[[#This Row],[Order ID]],Status!A:B, 2,FALSE)</f>
        <v>Pending</v>
      </c>
      <c r="P113" s="2" t="s">
        <v>36</v>
      </c>
      <c r="Q113" s="2">
        <v>1</v>
      </c>
      <c r="R113" s="2" t="s">
        <v>24</v>
      </c>
      <c r="S113" s="11" t="str">
        <f t="shared" si="8"/>
        <v>Rendah</v>
      </c>
      <c r="T113" s="2" t="str">
        <f t="shared" si="9"/>
        <v>Tinggi</v>
      </c>
    </row>
    <row r="114" spans="1:20" ht="15.75" customHeight="1" x14ac:dyDescent="0.3">
      <c r="A114" s="4" t="s">
        <v>2250</v>
      </c>
      <c r="B114" s="3">
        <v>45896.552581018521</v>
      </c>
      <c r="C114" s="2" t="s">
        <v>582</v>
      </c>
      <c r="D114" s="2" t="s">
        <v>435</v>
      </c>
      <c r="E114" s="2" t="s">
        <v>110</v>
      </c>
      <c r="F114" s="2">
        <v>6000</v>
      </c>
      <c r="G114" s="2">
        <v>4</v>
      </c>
      <c r="H114" s="2">
        <v>20</v>
      </c>
      <c r="I114">
        <f t="shared" si="5"/>
        <v>24000</v>
      </c>
      <c r="J114">
        <f t="shared" si="6"/>
        <v>4800</v>
      </c>
      <c r="K114" s="6">
        <f t="shared" si="7"/>
        <v>19200</v>
      </c>
      <c r="L114" s="2">
        <v>67000</v>
      </c>
      <c r="M114" s="6">
        <f>Table1[[#This Row],[Total Sales]]+Table1[[#This Row],[Shipping Fee]]</f>
        <v>86200</v>
      </c>
      <c r="N114" s="2" t="s">
        <v>63</v>
      </c>
      <c r="O114" t="str">
        <f>VLOOKUP(Table1[[#This Row],[Order ID]],Status!A:B, 2,FALSE)</f>
        <v>Shipped</v>
      </c>
      <c r="P114" s="2" t="s">
        <v>46</v>
      </c>
      <c r="Q114" s="2">
        <v>1</v>
      </c>
      <c r="R114" s="2" t="s">
        <v>24</v>
      </c>
      <c r="S114" s="11" t="str">
        <f t="shared" si="8"/>
        <v>Rendah</v>
      </c>
      <c r="T114" s="2" t="str">
        <f t="shared" si="9"/>
        <v>Sangat Rendah</v>
      </c>
    </row>
    <row r="115" spans="1:20" ht="15.75" customHeight="1" x14ac:dyDescent="0.3">
      <c r="A115" s="4" t="s">
        <v>2249</v>
      </c>
      <c r="B115" s="3">
        <v>45895.510891203703</v>
      </c>
      <c r="C115" s="2" t="s">
        <v>834</v>
      </c>
      <c r="D115" s="2" t="s">
        <v>177</v>
      </c>
      <c r="E115" s="2" t="s">
        <v>250</v>
      </c>
      <c r="F115" s="2">
        <v>18000</v>
      </c>
      <c r="G115" s="2">
        <v>1</v>
      </c>
      <c r="H115" s="2">
        <v>20</v>
      </c>
      <c r="I115">
        <f t="shared" si="5"/>
        <v>18000</v>
      </c>
      <c r="J115">
        <f t="shared" si="6"/>
        <v>3600</v>
      </c>
      <c r="K115" s="6">
        <f t="shared" si="7"/>
        <v>14400</v>
      </c>
      <c r="L115" s="2">
        <v>56000</v>
      </c>
      <c r="M115" s="6">
        <f>Table1[[#This Row],[Total Sales]]+Table1[[#This Row],[Shipping Fee]]</f>
        <v>70400</v>
      </c>
      <c r="N115" s="2" t="s">
        <v>35</v>
      </c>
      <c r="O115" t="str">
        <f>VLOOKUP(Table1[[#This Row],[Order ID]],Status!A:B, 2,FALSE)</f>
        <v>Shipped</v>
      </c>
      <c r="P115" s="2" t="s">
        <v>36</v>
      </c>
      <c r="Q115" s="2">
        <v>4</v>
      </c>
      <c r="R115" s="2" t="s">
        <v>37</v>
      </c>
      <c r="S115" s="11" t="str">
        <f t="shared" si="8"/>
        <v>Bagus</v>
      </c>
      <c r="T115" s="2" t="str">
        <f t="shared" si="9"/>
        <v>Sangat Rendah</v>
      </c>
    </row>
    <row r="116" spans="1:20" ht="15.75" customHeight="1" x14ac:dyDescent="0.3">
      <c r="A116" s="4" t="s">
        <v>2248</v>
      </c>
      <c r="B116" s="3">
        <v>45895.449733796297</v>
      </c>
      <c r="C116" s="2" t="s">
        <v>115</v>
      </c>
      <c r="D116" s="2" t="s">
        <v>116</v>
      </c>
      <c r="E116" s="2" t="s">
        <v>250</v>
      </c>
      <c r="F116" s="2">
        <v>18000</v>
      </c>
      <c r="G116" s="2">
        <v>1</v>
      </c>
      <c r="H116" s="2">
        <v>5</v>
      </c>
      <c r="I116">
        <f t="shared" si="5"/>
        <v>18000</v>
      </c>
      <c r="J116">
        <f t="shared" si="6"/>
        <v>900</v>
      </c>
      <c r="K116" s="6">
        <f t="shared" si="7"/>
        <v>17100</v>
      </c>
      <c r="L116" s="2">
        <v>72000</v>
      </c>
      <c r="M116" s="6">
        <f>Table1[[#This Row],[Total Sales]]+Table1[[#This Row],[Shipping Fee]]</f>
        <v>89100</v>
      </c>
      <c r="N116" s="2" t="s">
        <v>63</v>
      </c>
      <c r="O116" t="str">
        <f>VLOOKUP(Table1[[#This Row],[Order ID]],Status!A:B, 2,FALSE)</f>
        <v>Pending</v>
      </c>
      <c r="P116" s="2" t="s">
        <v>30</v>
      </c>
      <c r="Q116" s="2">
        <v>2</v>
      </c>
      <c r="R116" s="2" t="s">
        <v>24</v>
      </c>
      <c r="S116" s="11" t="str">
        <f t="shared" si="8"/>
        <v>Rendah</v>
      </c>
      <c r="T116" s="2" t="str">
        <f t="shared" si="9"/>
        <v>Sangat Rendah</v>
      </c>
    </row>
    <row r="117" spans="1:20" ht="15.75" customHeight="1" x14ac:dyDescent="0.3">
      <c r="A117" s="4" t="s">
        <v>2247</v>
      </c>
      <c r="B117" s="3">
        <v>45895.384351851862</v>
      </c>
      <c r="C117" s="2" t="s">
        <v>2210</v>
      </c>
      <c r="D117" s="2" t="s">
        <v>126</v>
      </c>
      <c r="E117" s="2" t="s">
        <v>75</v>
      </c>
      <c r="F117" s="2">
        <v>55000</v>
      </c>
      <c r="G117" s="2">
        <v>5</v>
      </c>
      <c r="H117" s="2">
        <v>15</v>
      </c>
      <c r="I117">
        <f t="shared" si="5"/>
        <v>275000</v>
      </c>
      <c r="J117">
        <f t="shared" si="6"/>
        <v>41250</v>
      </c>
      <c r="K117" s="6">
        <f t="shared" si="7"/>
        <v>233750</v>
      </c>
      <c r="L117" s="2">
        <v>84000</v>
      </c>
      <c r="M117" s="6">
        <f>Table1[[#This Row],[Total Sales]]+Table1[[#This Row],[Shipping Fee]]</f>
        <v>317750</v>
      </c>
      <c r="N117" s="2" t="s">
        <v>63</v>
      </c>
      <c r="O117" t="str">
        <f>VLOOKUP(Table1[[#This Row],[Order ID]],Status!A:B, 2,FALSE)</f>
        <v>Completed</v>
      </c>
      <c r="P117" s="2" t="s">
        <v>30</v>
      </c>
      <c r="Q117" s="2">
        <v>5</v>
      </c>
      <c r="R117" s="2" t="s">
        <v>24</v>
      </c>
      <c r="S117" s="11" t="str">
        <f t="shared" si="8"/>
        <v>Bagus</v>
      </c>
      <c r="T117" s="2" t="str">
        <f t="shared" si="9"/>
        <v>Sangat Tinggi</v>
      </c>
    </row>
    <row r="118" spans="1:20" ht="15.75" customHeight="1" x14ac:dyDescent="0.3">
      <c r="A118" s="4" t="s">
        <v>2246</v>
      </c>
      <c r="B118" s="3">
        <v>45895.244155092587</v>
      </c>
      <c r="C118" s="2" t="s">
        <v>381</v>
      </c>
      <c r="D118" s="2" t="s">
        <v>103</v>
      </c>
      <c r="E118" s="2" t="s">
        <v>50</v>
      </c>
      <c r="F118" s="2">
        <v>14000</v>
      </c>
      <c r="G118" s="2">
        <v>3</v>
      </c>
      <c r="H118" s="2">
        <v>0</v>
      </c>
      <c r="I118">
        <f t="shared" si="5"/>
        <v>42000</v>
      </c>
      <c r="J118">
        <f t="shared" si="6"/>
        <v>0</v>
      </c>
      <c r="K118" s="6">
        <f t="shared" si="7"/>
        <v>42000</v>
      </c>
      <c r="L118" s="2">
        <v>85000</v>
      </c>
      <c r="M118" s="6">
        <f>Table1[[#This Row],[Total Sales]]+Table1[[#This Row],[Shipping Fee]]</f>
        <v>127000</v>
      </c>
      <c r="N118" s="2" t="s">
        <v>35</v>
      </c>
      <c r="O118" t="str">
        <f>VLOOKUP(Table1[[#This Row],[Order ID]],Status!A:B, 2,FALSE)</f>
        <v>Completed</v>
      </c>
      <c r="P118" s="2" t="s">
        <v>82</v>
      </c>
      <c r="Q118" s="2">
        <v>3</v>
      </c>
      <c r="R118" s="2" t="s">
        <v>24</v>
      </c>
      <c r="S118" s="11" t="str">
        <f t="shared" si="8"/>
        <v>Standar</v>
      </c>
      <c r="T118" s="2" t="str">
        <f t="shared" si="9"/>
        <v>Sangat Rendah</v>
      </c>
    </row>
    <row r="119" spans="1:20" ht="15.75" customHeight="1" x14ac:dyDescent="0.3">
      <c r="A119" s="4" t="s">
        <v>2245</v>
      </c>
      <c r="B119" s="3">
        <v>45894.878587962958</v>
      </c>
      <c r="C119" s="2" t="s">
        <v>404</v>
      </c>
      <c r="D119" s="2" t="s">
        <v>177</v>
      </c>
      <c r="E119" s="2" t="s">
        <v>28</v>
      </c>
      <c r="F119" s="2">
        <v>5000</v>
      </c>
      <c r="G119" s="2">
        <v>1</v>
      </c>
      <c r="H119" s="2">
        <v>5</v>
      </c>
      <c r="I119">
        <f t="shared" si="5"/>
        <v>5000</v>
      </c>
      <c r="J119">
        <f t="shared" si="6"/>
        <v>250</v>
      </c>
      <c r="K119" s="6">
        <f t="shared" si="7"/>
        <v>4750</v>
      </c>
      <c r="L119" s="2">
        <v>56000</v>
      </c>
      <c r="M119" s="6">
        <f>Table1[[#This Row],[Total Sales]]+Table1[[#This Row],[Shipping Fee]]</f>
        <v>60750</v>
      </c>
      <c r="N119" s="2" t="s">
        <v>35</v>
      </c>
      <c r="O119" t="str">
        <f>VLOOKUP(Table1[[#This Row],[Order ID]],Status!A:B, 2,FALSE)</f>
        <v>Returned</v>
      </c>
      <c r="P119" s="2" t="s">
        <v>36</v>
      </c>
      <c r="Q119" s="2">
        <v>4</v>
      </c>
      <c r="R119" s="2" t="s">
        <v>37</v>
      </c>
      <c r="S119" s="11" t="str">
        <f t="shared" si="8"/>
        <v>Bagus</v>
      </c>
      <c r="T119" s="2" t="str">
        <f t="shared" si="9"/>
        <v>Sangat Rendah</v>
      </c>
    </row>
    <row r="120" spans="1:20" ht="15.75" customHeight="1" x14ac:dyDescent="0.3">
      <c r="A120" s="4" t="s">
        <v>2245</v>
      </c>
      <c r="B120" s="3">
        <v>45894.878587962958</v>
      </c>
      <c r="C120" s="2" t="s">
        <v>404</v>
      </c>
      <c r="D120" s="2" t="s">
        <v>177</v>
      </c>
      <c r="E120" s="2" t="s">
        <v>104</v>
      </c>
      <c r="F120" s="2">
        <v>30000</v>
      </c>
      <c r="G120" s="2">
        <v>5</v>
      </c>
      <c r="H120" s="2">
        <v>15</v>
      </c>
      <c r="I120">
        <f t="shared" si="5"/>
        <v>150000</v>
      </c>
      <c r="J120">
        <f t="shared" si="6"/>
        <v>22500</v>
      </c>
      <c r="K120" s="6">
        <f t="shared" si="7"/>
        <v>127500</v>
      </c>
      <c r="L120" s="2">
        <v>0</v>
      </c>
      <c r="M120" s="6">
        <f>Table1[[#This Row],[Total Sales]]+Table1[[#This Row],[Shipping Fee]]</f>
        <v>127500</v>
      </c>
      <c r="N120" s="2" t="s">
        <v>35</v>
      </c>
      <c r="O120" t="str">
        <f>VLOOKUP(Table1[[#This Row],[Order ID]],Status!A:B, 2,FALSE)</f>
        <v>Returned</v>
      </c>
      <c r="P120" s="2" t="s">
        <v>36</v>
      </c>
      <c r="Q120" s="2">
        <v>4</v>
      </c>
      <c r="R120" s="2" t="s">
        <v>37</v>
      </c>
      <c r="S120" s="11" t="str">
        <f t="shared" si="8"/>
        <v>Bagus</v>
      </c>
      <c r="T120" s="2" t="str">
        <f t="shared" si="9"/>
        <v>Tinggi</v>
      </c>
    </row>
    <row r="121" spans="1:20" ht="15.75" customHeight="1" x14ac:dyDescent="0.3">
      <c r="A121" s="4" t="s">
        <v>2244</v>
      </c>
      <c r="B121" s="3">
        <v>45894.400046296287</v>
      </c>
      <c r="C121" s="2" t="s">
        <v>302</v>
      </c>
      <c r="D121" s="2" t="s">
        <v>74</v>
      </c>
      <c r="E121" s="2" t="s">
        <v>45</v>
      </c>
      <c r="F121" s="2">
        <v>40000</v>
      </c>
      <c r="G121" s="2">
        <v>4</v>
      </c>
      <c r="H121" s="2">
        <v>5</v>
      </c>
      <c r="I121">
        <f t="shared" si="5"/>
        <v>160000</v>
      </c>
      <c r="J121">
        <f t="shared" si="6"/>
        <v>8000</v>
      </c>
      <c r="K121" s="6">
        <f t="shared" si="7"/>
        <v>152000</v>
      </c>
      <c r="L121" s="2">
        <v>87000</v>
      </c>
      <c r="M121" s="6">
        <f>Table1[[#This Row],[Total Sales]]+Table1[[#This Row],[Shipping Fee]]</f>
        <v>239000</v>
      </c>
      <c r="N121" s="2" t="s">
        <v>63</v>
      </c>
      <c r="O121" t="str">
        <f>VLOOKUP(Table1[[#This Row],[Order ID]],Status!A:B, 2,FALSE)</f>
        <v>Shipped</v>
      </c>
      <c r="P121" s="2" t="s">
        <v>23</v>
      </c>
      <c r="Q121" s="2">
        <v>2</v>
      </c>
      <c r="R121" s="2" t="s">
        <v>24</v>
      </c>
      <c r="S121" s="11" t="str">
        <f t="shared" si="8"/>
        <v>Rendah</v>
      </c>
      <c r="T121" s="2" t="str">
        <f t="shared" si="9"/>
        <v>Rendah</v>
      </c>
    </row>
    <row r="122" spans="1:20" ht="15.75" customHeight="1" x14ac:dyDescent="0.3">
      <c r="A122" s="4" t="s">
        <v>2243</v>
      </c>
      <c r="B122" s="3">
        <v>45894.355023148149</v>
      </c>
      <c r="C122" s="2" t="s">
        <v>1808</v>
      </c>
      <c r="D122" s="2" t="s">
        <v>80</v>
      </c>
      <c r="E122" s="2" t="s">
        <v>62</v>
      </c>
      <c r="F122" s="2">
        <v>50000</v>
      </c>
      <c r="G122" s="2">
        <v>5</v>
      </c>
      <c r="H122" s="2">
        <v>15</v>
      </c>
      <c r="I122">
        <f t="shared" si="5"/>
        <v>250000</v>
      </c>
      <c r="J122">
        <f t="shared" si="6"/>
        <v>37500</v>
      </c>
      <c r="K122" s="6">
        <f t="shared" si="7"/>
        <v>212500</v>
      </c>
      <c r="L122" s="2">
        <v>74000</v>
      </c>
      <c r="M122" s="6">
        <f>Table1[[#This Row],[Total Sales]]+Table1[[#This Row],[Shipping Fee]]</f>
        <v>286500</v>
      </c>
      <c r="N122" s="2" t="s">
        <v>35</v>
      </c>
      <c r="O122" t="str">
        <f>VLOOKUP(Table1[[#This Row],[Order ID]],Status!A:B, 2,FALSE)</f>
        <v>Shipped</v>
      </c>
      <c r="P122" s="2" t="s">
        <v>36</v>
      </c>
      <c r="Q122" s="2">
        <v>3</v>
      </c>
      <c r="R122" s="2" t="s">
        <v>24</v>
      </c>
      <c r="S122" s="11" t="str">
        <f t="shared" si="8"/>
        <v>Standar</v>
      </c>
      <c r="T122" s="2" t="str">
        <f t="shared" si="9"/>
        <v>Sangat Tinggi</v>
      </c>
    </row>
    <row r="123" spans="1:20" ht="15.75" customHeight="1" x14ac:dyDescent="0.3">
      <c r="A123" s="4" t="s">
        <v>2242</v>
      </c>
      <c r="B123" s="3">
        <v>45894.120173611111</v>
      </c>
      <c r="C123" s="2" t="s">
        <v>155</v>
      </c>
      <c r="D123" s="2" t="s">
        <v>92</v>
      </c>
      <c r="E123" s="2" t="s">
        <v>41</v>
      </c>
      <c r="F123" s="2">
        <v>4000</v>
      </c>
      <c r="G123" s="2">
        <v>2</v>
      </c>
      <c r="H123" s="2">
        <v>0</v>
      </c>
      <c r="I123">
        <f t="shared" si="5"/>
        <v>8000</v>
      </c>
      <c r="J123">
        <f t="shared" si="6"/>
        <v>0</v>
      </c>
      <c r="K123" s="6">
        <f t="shared" si="7"/>
        <v>8000</v>
      </c>
      <c r="L123" s="2">
        <v>30000</v>
      </c>
      <c r="M123" s="6">
        <f>Table1[[#This Row],[Total Sales]]+Table1[[#This Row],[Shipping Fee]]</f>
        <v>38000</v>
      </c>
      <c r="N123" s="2" t="s">
        <v>35</v>
      </c>
      <c r="O123" t="str">
        <f>VLOOKUP(Table1[[#This Row],[Order ID]],Status!A:B, 2,FALSE)</f>
        <v>Returned</v>
      </c>
      <c r="P123" s="2" t="s">
        <v>30</v>
      </c>
      <c r="Q123" s="2">
        <v>2</v>
      </c>
      <c r="R123" s="2" t="s">
        <v>24</v>
      </c>
      <c r="S123" s="11" t="str">
        <f t="shared" si="8"/>
        <v>Rendah</v>
      </c>
      <c r="T123" s="2" t="str">
        <f t="shared" si="9"/>
        <v>Sangat Rendah</v>
      </c>
    </row>
    <row r="124" spans="1:20" ht="15.75" customHeight="1" x14ac:dyDescent="0.3">
      <c r="A124" s="4" t="s">
        <v>2241</v>
      </c>
      <c r="B124" s="3">
        <v>45894.023888888893</v>
      </c>
      <c r="C124" s="2" t="s">
        <v>389</v>
      </c>
      <c r="D124" s="2" t="s">
        <v>182</v>
      </c>
      <c r="E124" s="2" t="s">
        <v>41</v>
      </c>
      <c r="F124" s="2">
        <v>4000</v>
      </c>
      <c r="G124" s="2">
        <v>4</v>
      </c>
      <c r="H124" s="2">
        <v>0</v>
      </c>
      <c r="I124">
        <f t="shared" si="5"/>
        <v>16000</v>
      </c>
      <c r="J124">
        <f t="shared" si="6"/>
        <v>0</v>
      </c>
      <c r="K124" s="6">
        <f t="shared" si="7"/>
        <v>16000</v>
      </c>
      <c r="L124" s="2">
        <v>48000</v>
      </c>
      <c r="M124" s="6">
        <f>Table1[[#This Row],[Total Sales]]+Table1[[#This Row],[Shipping Fee]]</f>
        <v>64000</v>
      </c>
      <c r="N124" s="2" t="s">
        <v>35</v>
      </c>
      <c r="O124" t="str">
        <f>VLOOKUP(Table1[[#This Row],[Order ID]],Status!A:B, 2,FALSE)</f>
        <v>Pending</v>
      </c>
      <c r="P124" s="2" t="s">
        <v>82</v>
      </c>
      <c r="Q124" s="2">
        <v>1</v>
      </c>
      <c r="R124" s="2" t="s">
        <v>24</v>
      </c>
      <c r="S124" s="11" t="str">
        <f t="shared" si="8"/>
        <v>Rendah</v>
      </c>
      <c r="T124" s="2" t="str">
        <f t="shared" si="9"/>
        <v>Sangat Rendah</v>
      </c>
    </row>
    <row r="125" spans="1:20" ht="15.75" customHeight="1" x14ac:dyDescent="0.3">
      <c r="A125" s="4" t="s">
        <v>2240</v>
      </c>
      <c r="B125" s="3">
        <v>45893.997604166667</v>
      </c>
      <c r="C125" s="2" t="s">
        <v>1179</v>
      </c>
      <c r="D125" s="2" t="s">
        <v>170</v>
      </c>
      <c r="E125" s="2" t="s">
        <v>34</v>
      </c>
      <c r="F125" s="2">
        <v>16000</v>
      </c>
      <c r="G125" s="2">
        <v>3</v>
      </c>
      <c r="H125" s="2">
        <v>20</v>
      </c>
      <c r="I125">
        <f t="shared" si="5"/>
        <v>48000</v>
      </c>
      <c r="J125">
        <f t="shared" si="6"/>
        <v>9600</v>
      </c>
      <c r="K125" s="6">
        <f t="shared" si="7"/>
        <v>38400</v>
      </c>
      <c r="L125" s="2">
        <v>46000</v>
      </c>
      <c r="M125" s="6">
        <f>Table1[[#This Row],[Total Sales]]+Table1[[#This Row],[Shipping Fee]]</f>
        <v>84400</v>
      </c>
      <c r="N125" s="2" t="s">
        <v>35</v>
      </c>
      <c r="O125" t="str">
        <f>VLOOKUP(Table1[[#This Row],[Order ID]],Status!A:B, 2,FALSE)</f>
        <v>Pending</v>
      </c>
      <c r="P125" s="2" t="s">
        <v>82</v>
      </c>
      <c r="Q125" s="2">
        <v>2</v>
      </c>
      <c r="R125" s="2" t="s">
        <v>24</v>
      </c>
      <c r="S125" s="11" t="str">
        <f t="shared" si="8"/>
        <v>Rendah</v>
      </c>
      <c r="T125" s="2" t="str">
        <f t="shared" si="9"/>
        <v>Rendah</v>
      </c>
    </row>
    <row r="126" spans="1:20" ht="15.75" customHeight="1" x14ac:dyDescent="0.3">
      <c r="A126" s="4" t="s">
        <v>2239</v>
      </c>
      <c r="B126" s="3">
        <v>45893.728634259263</v>
      </c>
      <c r="C126" s="2" t="s">
        <v>246</v>
      </c>
      <c r="D126" s="2" t="s">
        <v>238</v>
      </c>
      <c r="E126" s="2" t="s">
        <v>123</v>
      </c>
      <c r="F126" s="2">
        <v>22000</v>
      </c>
      <c r="G126" s="2">
        <v>5</v>
      </c>
      <c r="H126" s="2">
        <v>15</v>
      </c>
      <c r="I126">
        <f t="shared" si="5"/>
        <v>110000</v>
      </c>
      <c r="J126">
        <f t="shared" si="6"/>
        <v>16500</v>
      </c>
      <c r="K126" s="6">
        <f t="shared" si="7"/>
        <v>93500</v>
      </c>
      <c r="L126" s="2">
        <v>28000</v>
      </c>
      <c r="M126" s="6">
        <f>Table1[[#This Row],[Total Sales]]+Table1[[#This Row],[Shipping Fee]]</f>
        <v>121500</v>
      </c>
      <c r="N126" s="2" t="s">
        <v>29</v>
      </c>
      <c r="O126" t="str">
        <f>VLOOKUP(Table1[[#This Row],[Order ID]],Status!A:B, 2,FALSE)</f>
        <v>Completed</v>
      </c>
      <c r="P126" s="2" t="s">
        <v>36</v>
      </c>
      <c r="Q126" s="2">
        <v>2</v>
      </c>
      <c r="R126" s="2" t="s">
        <v>24</v>
      </c>
      <c r="S126" s="11" t="str">
        <f t="shared" si="8"/>
        <v>Rendah</v>
      </c>
      <c r="T126" s="2" t="str">
        <f t="shared" si="9"/>
        <v>Normal</v>
      </c>
    </row>
    <row r="127" spans="1:20" ht="15.75" customHeight="1" x14ac:dyDescent="0.3">
      <c r="A127" s="4" t="s">
        <v>2238</v>
      </c>
      <c r="B127" s="3">
        <v>45893.550451388888</v>
      </c>
      <c r="C127" s="2" t="s">
        <v>681</v>
      </c>
      <c r="D127" s="2" t="s">
        <v>262</v>
      </c>
      <c r="E127" s="2" t="s">
        <v>88</v>
      </c>
      <c r="F127" s="2">
        <v>14000</v>
      </c>
      <c r="G127" s="2">
        <v>3</v>
      </c>
      <c r="H127" s="2">
        <v>15</v>
      </c>
      <c r="I127">
        <f t="shared" si="5"/>
        <v>42000</v>
      </c>
      <c r="J127">
        <f t="shared" si="6"/>
        <v>6300</v>
      </c>
      <c r="K127" s="6">
        <f t="shared" si="7"/>
        <v>35700</v>
      </c>
      <c r="L127" s="2">
        <v>18000</v>
      </c>
      <c r="M127" s="6">
        <f>Table1[[#This Row],[Total Sales]]+Table1[[#This Row],[Shipping Fee]]</f>
        <v>53700</v>
      </c>
      <c r="N127" s="2" t="s">
        <v>63</v>
      </c>
      <c r="O127" t="str">
        <f>VLOOKUP(Table1[[#This Row],[Order ID]],Status!A:B, 2,FALSE)</f>
        <v>Pending</v>
      </c>
      <c r="P127" s="2" t="s">
        <v>23</v>
      </c>
      <c r="Q127" s="2">
        <v>1</v>
      </c>
      <c r="R127" s="2" t="s">
        <v>24</v>
      </c>
      <c r="S127" s="11" t="str">
        <f t="shared" si="8"/>
        <v>Rendah</v>
      </c>
      <c r="T127" s="2" t="str">
        <f t="shared" si="9"/>
        <v>Rendah</v>
      </c>
    </row>
    <row r="128" spans="1:20" ht="15.75" customHeight="1" x14ac:dyDescent="0.3">
      <c r="A128" s="4" t="s">
        <v>2237</v>
      </c>
      <c r="B128" s="3">
        <v>45893.148043981477</v>
      </c>
      <c r="C128" s="2" t="s">
        <v>243</v>
      </c>
      <c r="D128" s="2" t="s">
        <v>244</v>
      </c>
      <c r="E128" s="2" t="s">
        <v>67</v>
      </c>
      <c r="F128" s="2">
        <v>15000</v>
      </c>
      <c r="G128" s="2">
        <v>1</v>
      </c>
      <c r="H128" s="2">
        <v>20</v>
      </c>
      <c r="I128">
        <f t="shared" si="5"/>
        <v>15000</v>
      </c>
      <c r="J128">
        <f t="shared" si="6"/>
        <v>3000</v>
      </c>
      <c r="K128" s="6">
        <f t="shared" si="7"/>
        <v>12000</v>
      </c>
      <c r="L128" s="2">
        <v>80000</v>
      </c>
      <c r="M128" s="6">
        <f>Table1[[#This Row],[Total Sales]]+Table1[[#This Row],[Shipping Fee]]</f>
        <v>92000</v>
      </c>
      <c r="N128" s="2" t="s">
        <v>22</v>
      </c>
      <c r="O128" t="str">
        <f>VLOOKUP(Table1[[#This Row],[Order ID]],Status!A:B, 2,FALSE)</f>
        <v>Pending</v>
      </c>
      <c r="P128" s="2" t="s">
        <v>30</v>
      </c>
      <c r="Q128" s="2">
        <v>1</v>
      </c>
      <c r="R128" s="2" t="s">
        <v>37</v>
      </c>
      <c r="S128" s="11" t="str">
        <f t="shared" si="8"/>
        <v>Rendah</v>
      </c>
      <c r="T128" s="2" t="str">
        <f t="shared" si="9"/>
        <v>Sangat Rendah</v>
      </c>
    </row>
    <row r="129" spans="1:21" ht="15.75" customHeight="1" x14ac:dyDescent="0.3">
      <c r="A129" s="4" t="s">
        <v>2236</v>
      </c>
      <c r="B129" s="3">
        <v>45893.140682870369</v>
      </c>
      <c r="C129" s="2" t="s">
        <v>335</v>
      </c>
      <c r="D129" s="2" t="s">
        <v>80</v>
      </c>
      <c r="E129" s="2" t="s">
        <v>62</v>
      </c>
      <c r="F129" s="2">
        <v>50000</v>
      </c>
      <c r="G129" s="2">
        <v>1</v>
      </c>
      <c r="H129" s="2">
        <v>15</v>
      </c>
      <c r="I129">
        <f t="shared" si="5"/>
        <v>50000</v>
      </c>
      <c r="J129">
        <f t="shared" si="6"/>
        <v>7500</v>
      </c>
      <c r="K129" s="6">
        <f t="shared" si="7"/>
        <v>42500</v>
      </c>
      <c r="L129" s="2">
        <v>74000</v>
      </c>
      <c r="M129" s="6">
        <f>Table1[[#This Row],[Total Sales]]+Table1[[#This Row],[Shipping Fee]]</f>
        <v>116500</v>
      </c>
      <c r="N129" s="2" t="s">
        <v>29</v>
      </c>
      <c r="O129" t="str">
        <f>VLOOKUP(Table1[[#This Row],[Order ID]],Status!A:B, 2,FALSE)</f>
        <v>Completed</v>
      </c>
      <c r="P129" s="2" t="s">
        <v>82</v>
      </c>
      <c r="Q129" s="2">
        <v>1</v>
      </c>
      <c r="R129" s="2" t="s">
        <v>37</v>
      </c>
      <c r="S129" s="11" t="str">
        <f t="shared" si="8"/>
        <v>Rendah</v>
      </c>
      <c r="T129" s="2" t="str">
        <f t="shared" si="9"/>
        <v>Rendah</v>
      </c>
    </row>
    <row r="130" spans="1:21" ht="15.75" customHeight="1" x14ac:dyDescent="0.3">
      <c r="A130" s="4" t="s">
        <v>2235</v>
      </c>
      <c r="B130" s="3">
        <v>45893.044571759259</v>
      </c>
      <c r="C130" s="2" t="s">
        <v>19</v>
      </c>
      <c r="D130" s="2" t="s">
        <v>20</v>
      </c>
      <c r="E130" s="2" t="s">
        <v>104</v>
      </c>
      <c r="F130" s="2">
        <v>30000</v>
      </c>
      <c r="G130" s="2">
        <v>4</v>
      </c>
      <c r="H130" s="2">
        <v>0</v>
      </c>
      <c r="I130">
        <f t="shared" ref="I130:I193" si="10">F130*G130</f>
        <v>120000</v>
      </c>
      <c r="J130">
        <f t="shared" ref="J130:J193" si="11">I130*H130/100</f>
        <v>0</v>
      </c>
      <c r="K130" s="6">
        <f t="shared" ref="K130:K193" si="12">I130-J130</f>
        <v>120000</v>
      </c>
      <c r="L130" s="2">
        <v>15000</v>
      </c>
      <c r="M130" s="6">
        <f>Table1[[#This Row],[Total Sales]]+Table1[[#This Row],[Shipping Fee]]</f>
        <v>135000</v>
      </c>
      <c r="N130" s="2" t="s">
        <v>35</v>
      </c>
      <c r="O130" t="str">
        <f>VLOOKUP(Table1[[#This Row],[Order ID]],Status!A:B, 2,FALSE)</f>
        <v>Pending</v>
      </c>
      <c r="P130" s="2" t="s">
        <v>82</v>
      </c>
      <c r="Q130" s="2">
        <v>2</v>
      </c>
      <c r="R130" s="2" t="s">
        <v>24</v>
      </c>
      <c r="S130" s="11" t="str">
        <f t="shared" ref="S130:S193" si="13">_xlfn.IFS(Q130&gt;3,"Bagus",Q130=3,"Standar",Q130&lt;3,"Rendah")</f>
        <v>Rendah</v>
      </c>
      <c r="T130" s="2" t="str">
        <f t="shared" ref="T130:T193" si="14">_xlfn.IFS(J130&lt;=5000,"Sangat Rendah", J130&lt;=10000,"Rendah", J130&lt;=20000, "Normal", J130&lt;=35000, "Tinggi", J130&lt;= 50000, "Sangat Tinggi", J130&gt;50000, "Clearance")</f>
        <v>Sangat Rendah</v>
      </c>
    </row>
    <row r="131" spans="1:21" ht="15.75" customHeight="1" x14ac:dyDescent="0.3">
      <c r="A131" s="4" t="s">
        <v>2234</v>
      </c>
      <c r="B131" s="3">
        <v>45892.826863425929</v>
      </c>
      <c r="C131" s="2" t="s">
        <v>722</v>
      </c>
      <c r="D131" s="2" t="s">
        <v>57</v>
      </c>
      <c r="E131" s="2" t="s">
        <v>123</v>
      </c>
      <c r="F131" s="2">
        <v>22000</v>
      </c>
      <c r="G131" s="2">
        <v>5</v>
      </c>
      <c r="H131" s="2">
        <v>5</v>
      </c>
      <c r="I131">
        <f t="shared" si="10"/>
        <v>110000</v>
      </c>
      <c r="J131">
        <f t="shared" si="11"/>
        <v>5500</v>
      </c>
      <c r="K131" s="6">
        <f t="shared" si="12"/>
        <v>104500</v>
      </c>
      <c r="L131" s="2">
        <v>80000</v>
      </c>
      <c r="M131" s="6">
        <f>Table1[[#This Row],[Total Sales]]+Table1[[#This Row],[Shipping Fee]]</f>
        <v>184500</v>
      </c>
      <c r="N131" s="2" t="s">
        <v>35</v>
      </c>
      <c r="O131" t="str">
        <f>VLOOKUP(Table1[[#This Row],[Order ID]],Status!A:B, 2,FALSE)</f>
        <v>Shipped</v>
      </c>
      <c r="P131" s="2" t="s">
        <v>30</v>
      </c>
      <c r="Q131" s="2">
        <v>5</v>
      </c>
      <c r="R131" s="2" t="s">
        <v>24</v>
      </c>
      <c r="S131" s="11" t="str">
        <f t="shared" si="13"/>
        <v>Bagus</v>
      </c>
      <c r="T131" s="2" t="str">
        <f t="shared" si="14"/>
        <v>Rendah</v>
      </c>
    </row>
    <row r="132" spans="1:21" ht="15.75" customHeight="1" x14ac:dyDescent="0.3">
      <c r="A132" s="4" t="s">
        <v>2233</v>
      </c>
      <c r="B132" s="3">
        <v>45892.708252314813</v>
      </c>
      <c r="C132" s="2" t="s">
        <v>877</v>
      </c>
      <c r="D132" s="2" t="s">
        <v>107</v>
      </c>
      <c r="E132" s="2" t="s">
        <v>50</v>
      </c>
      <c r="F132" s="2">
        <v>14000</v>
      </c>
      <c r="G132" s="2">
        <v>3</v>
      </c>
      <c r="H132" s="2">
        <v>20</v>
      </c>
      <c r="I132">
        <f t="shared" si="10"/>
        <v>42000</v>
      </c>
      <c r="J132">
        <f t="shared" si="11"/>
        <v>8400</v>
      </c>
      <c r="K132" s="6">
        <f t="shared" si="12"/>
        <v>33600</v>
      </c>
      <c r="L132" s="2">
        <v>97000</v>
      </c>
      <c r="M132" s="6">
        <f>Table1[[#This Row],[Total Sales]]+Table1[[#This Row],[Shipping Fee]]</f>
        <v>130600</v>
      </c>
      <c r="N132" s="2" t="s">
        <v>63</v>
      </c>
      <c r="O132" t="str">
        <f>VLOOKUP(Table1[[#This Row],[Order ID]],Status!A:B, 2,FALSE)</f>
        <v>Completed</v>
      </c>
      <c r="P132" s="2" t="s">
        <v>30</v>
      </c>
      <c r="Q132" s="2">
        <v>3</v>
      </c>
      <c r="R132" s="2" t="s">
        <v>24</v>
      </c>
      <c r="S132" s="11" t="str">
        <f t="shared" si="13"/>
        <v>Standar</v>
      </c>
      <c r="T132" s="2" t="str">
        <f t="shared" si="14"/>
        <v>Rendah</v>
      </c>
    </row>
    <row r="133" spans="1:21" ht="15.75" customHeight="1" x14ac:dyDescent="0.3">
      <c r="A133" s="4" t="s">
        <v>2232</v>
      </c>
      <c r="B133" s="3">
        <v>45892.498379629629</v>
      </c>
      <c r="C133" s="2" t="s">
        <v>1122</v>
      </c>
      <c r="D133" s="2" t="s">
        <v>33</v>
      </c>
      <c r="E133" s="2" t="s">
        <v>186</v>
      </c>
      <c r="F133" s="2">
        <v>45000</v>
      </c>
      <c r="G133" s="2">
        <v>3</v>
      </c>
      <c r="H133" s="2">
        <v>20</v>
      </c>
      <c r="I133">
        <f t="shared" si="10"/>
        <v>135000</v>
      </c>
      <c r="J133">
        <f t="shared" si="11"/>
        <v>27000</v>
      </c>
      <c r="K133" s="6">
        <f t="shared" si="12"/>
        <v>108000</v>
      </c>
      <c r="L133" s="2">
        <v>76000</v>
      </c>
      <c r="M133" s="6">
        <f>Table1[[#This Row],[Total Sales]]+Table1[[#This Row],[Shipping Fee]]</f>
        <v>184000</v>
      </c>
      <c r="N133" s="2" t="s">
        <v>35</v>
      </c>
      <c r="O133" t="str">
        <f>VLOOKUP(Table1[[#This Row],[Order ID]],Status!A:B, 2,FALSE)</f>
        <v>Cancelled</v>
      </c>
      <c r="P133" s="2" t="s">
        <v>23</v>
      </c>
      <c r="Q133" s="2">
        <v>5</v>
      </c>
      <c r="R133" s="2" t="s">
        <v>24</v>
      </c>
      <c r="S133" s="11" t="str">
        <f t="shared" si="13"/>
        <v>Bagus</v>
      </c>
      <c r="T133" s="2" t="str">
        <f t="shared" si="14"/>
        <v>Tinggi</v>
      </c>
    </row>
    <row r="134" spans="1:21" ht="15.75" customHeight="1" x14ac:dyDescent="0.3">
      <c r="A134" s="4" t="s">
        <v>2231</v>
      </c>
      <c r="B134" s="3">
        <v>45892.069085648152</v>
      </c>
      <c r="C134" s="2" t="s">
        <v>635</v>
      </c>
      <c r="D134" s="2" t="s">
        <v>103</v>
      </c>
      <c r="E134" s="2" t="s">
        <v>62</v>
      </c>
      <c r="F134" s="2">
        <v>50000</v>
      </c>
      <c r="G134" s="2">
        <v>3</v>
      </c>
      <c r="H134" s="2">
        <v>15</v>
      </c>
      <c r="I134">
        <f t="shared" si="10"/>
        <v>150000</v>
      </c>
      <c r="J134">
        <f t="shared" si="11"/>
        <v>22500</v>
      </c>
      <c r="K134" s="6">
        <f t="shared" si="12"/>
        <v>127500</v>
      </c>
      <c r="L134" s="2">
        <v>85000</v>
      </c>
      <c r="M134" s="6">
        <f>Table1[[#This Row],[Total Sales]]+Table1[[#This Row],[Shipping Fee]]</f>
        <v>212500</v>
      </c>
      <c r="N134" s="2" t="s">
        <v>29</v>
      </c>
      <c r="O134" t="str">
        <f>VLOOKUP(Table1[[#This Row],[Order ID]],Status!A:B, 2,FALSE)</f>
        <v>Pending</v>
      </c>
      <c r="P134" s="2" t="s">
        <v>30</v>
      </c>
      <c r="Q134" s="2">
        <v>3</v>
      </c>
      <c r="R134" s="2" t="s">
        <v>24</v>
      </c>
      <c r="S134" s="11" t="str">
        <f t="shared" si="13"/>
        <v>Standar</v>
      </c>
      <c r="T134" s="2" t="str">
        <f t="shared" si="14"/>
        <v>Tinggi</v>
      </c>
    </row>
    <row r="135" spans="1:21" ht="15.75" customHeight="1" x14ac:dyDescent="0.3">
      <c r="A135" s="4" t="s">
        <v>2230</v>
      </c>
      <c r="B135" s="3">
        <v>45892.011446759258</v>
      </c>
      <c r="C135" s="2" t="s">
        <v>784</v>
      </c>
      <c r="D135" s="2" t="s">
        <v>116</v>
      </c>
      <c r="E135" s="2" t="s">
        <v>104</v>
      </c>
      <c r="F135" s="2">
        <v>30000</v>
      </c>
      <c r="G135" s="2">
        <v>2</v>
      </c>
      <c r="H135" s="2">
        <v>5</v>
      </c>
      <c r="I135">
        <f t="shared" si="10"/>
        <v>60000</v>
      </c>
      <c r="J135">
        <f t="shared" si="11"/>
        <v>3000</v>
      </c>
      <c r="K135" s="6">
        <f t="shared" si="12"/>
        <v>57000</v>
      </c>
      <c r="L135" s="2">
        <v>72000</v>
      </c>
      <c r="M135" s="6">
        <f>Table1[[#This Row],[Total Sales]]+Table1[[#This Row],[Shipping Fee]]</f>
        <v>129000</v>
      </c>
      <c r="N135" s="2" t="s">
        <v>29</v>
      </c>
      <c r="O135" t="str">
        <f>VLOOKUP(Table1[[#This Row],[Order ID]],Status!A:B, 2,FALSE)</f>
        <v>Shipped</v>
      </c>
      <c r="P135" s="2" t="s">
        <v>46</v>
      </c>
      <c r="Q135" s="2">
        <v>2</v>
      </c>
      <c r="R135" s="2" t="s">
        <v>24</v>
      </c>
      <c r="S135" s="11" t="str">
        <f t="shared" si="13"/>
        <v>Rendah</v>
      </c>
      <c r="T135" s="2" t="str">
        <f t="shared" si="14"/>
        <v>Sangat Rendah</v>
      </c>
    </row>
    <row r="136" spans="1:21" ht="15.75" customHeight="1" x14ac:dyDescent="0.3">
      <c r="A136" s="4" t="s">
        <v>2229</v>
      </c>
      <c r="B136" s="3">
        <v>45891.95076388889</v>
      </c>
      <c r="C136" s="2" t="s">
        <v>453</v>
      </c>
      <c r="D136" s="2" t="s">
        <v>27</v>
      </c>
      <c r="E136" s="2" t="s">
        <v>174</v>
      </c>
      <c r="F136" s="2">
        <v>10000</v>
      </c>
      <c r="G136" s="2">
        <v>1</v>
      </c>
      <c r="H136" s="2">
        <v>10</v>
      </c>
      <c r="I136">
        <f t="shared" si="10"/>
        <v>10000</v>
      </c>
      <c r="J136">
        <f t="shared" si="11"/>
        <v>1000</v>
      </c>
      <c r="K136" s="6">
        <f t="shared" si="12"/>
        <v>9000</v>
      </c>
      <c r="L136" s="2">
        <v>17000</v>
      </c>
      <c r="M136" s="6">
        <f>Table1[[#This Row],[Total Sales]]+Table1[[#This Row],[Shipping Fee]]</f>
        <v>26000</v>
      </c>
      <c r="N136" s="2" t="s">
        <v>35</v>
      </c>
      <c r="O136" t="str">
        <f>VLOOKUP(Table1[[#This Row],[Order ID]],Status!A:B, 2,FALSE)</f>
        <v>Shipped</v>
      </c>
      <c r="P136" s="2" t="s">
        <v>36</v>
      </c>
      <c r="Q136" s="2">
        <v>1</v>
      </c>
      <c r="R136" s="2" t="s">
        <v>37</v>
      </c>
      <c r="S136" s="11" t="str">
        <f t="shared" si="13"/>
        <v>Rendah</v>
      </c>
      <c r="T136" s="2" t="str">
        <f t="shared" si="14"/>
        <v>Sangat Rendah</v>
      </c>
    </row>
    <row r="137" spans="1:21" ht="15.75" customHeight="1" x14ac:dyDescent="0.3">
      <c r="A137" s="4" t="s">
        <v>2228</v>
      </c>
      <c r="B137" s="3">
        <v>45891.950671296298</v>
      </c>
      <c r="C137" s="2" t="s">
        <v>273</v>
      </c>
      <c r="D137" s="2" t="s">
        <v>195</v>
      </c>
      <c r="E137" s="2" t="s">
        <v>38</v>
      </c>
      <c r="F137" s="2">
        <v>28000</v>
      </c>
      <c r="G137" s="2">
        <v>2</v>
      </c>
      <c r="H137" s="2">
        <v>15</v>
      </c>
      <c r="I137">
        <f t="shared" si="10"/>
        <v>56000</v>
      </c>
      <c r="J137">
        <f t="shared" si="11"/>
        <v>8400</v>
      </c>
      <c r="K137" s="6">
        <f t="shared" si="12"/>
        <v>47600</v>
      </c>
      <c r="L137" s="2">
        <v>87000</v>
      </c>
      <c r="M137" s="6">
        <f>Table1[[#This Row],[Total Sales]]+Table1[[#This Row],[Shipping Fee]]</f>
        <v>134600</v>
      </c>
      <c r="N137" s="2" t="s">
        <v>35</v>
      </c>
      <c r="O137" t="str">
        <f>VLOOKUP(Table1[[#This Row],[Order ID]],Status!A:B, 2,FALSE)</f>
        <v>Completed</v>
      </c>
      <c r="P137" s="2" t="s">
        <v>30</v>
      </c>
      <c r="Q137" s="2">
        <v>5</v>
      </c>
      <c r="R137" s="2" t="s">
        <v>24</v>
      </c>
      <c r="S137" s="11" t="str">
        <f t="shared" si="13"/>
        <v>Bagus</v>
      </c>
      <c r="T137" s="2" t="str">
        <f t="shared" si="14"/>
        <v>Rendah</v>
      </c>
    </row>
    <row r="138" spans="1:21" ht="15.75" customHeight="1" x14ac:dyDescent="0.3">
      <c r="A138" s="4" t="s">
        <v>2227</v>
      </c>
      <c r="B138" s="3">
        <v>45891.908796296288</v>
      </c>
      <c r="C138" s="2" t="s">
        <v>1530</v>
      </c>
      <c r="D138" s="2" t="s">
        <v>122</v>
      </c>
      <c r="E138" s="2" t="s">
        <v>85</v>
      </c>
      <c r="F138" s="2">
        <v>35000</v>
      </c>
      <c r="G138" s="2">
        <v>3</v>
      </c>
      <c r="H138" s="2">
        <v>10</v>
      </c>
      <c r="I138">
        <f t="shared" si="10"/>
        <v>105000</v>
      </c>
      <c r="J138">
        <f t="shared" si="11"/>
        <v>10500</v>
      </c>
      <c r="K138" s="6">
        <f t="shared" si="12"/>
        <v>94500</v>
      </c>
      <c r="L138" s="2">
        <v>78000</v>
      </c>
      <c r="M138" s="6">
        <f>Table1[[#This Row],[Total Sales]]+Table1[[#This Row],[Shipping Fee]]</f>
        <v>172500</v>
      </c>
      <c r="N138" s="2" t="s">
        <v>22</v>
      </c>
      <c r="O138" t="str">
        <f>VLOOKUP(Table1[[#This Row],[Order ID]],Status!A:B, 2,FALSE)</f>
        <v>Completed</v>
      </c>
      <c r="P138" s="2" t="s">
        <v>36</v>
      </c>
      <c r="Q138" s="2">
        <v>3</v>
      </c>
      <c r="R138" s="2" t="s">
        <v>24</v>
      </c>
      <c r="S138" s="11" t="str">
        <f t="shared" si="13"/>
        <v>Standar</v>
      </c>
      <c r="T138" s="2" t="str">
        <f t="shared" si="14"/>
        <v>Normal</v>
      </c>
    </row>
    <row r="139" spans="1:21" ht="15.75" customHeight="1" x14ac:dyDescent="0.3">
      <c r="A139" s="4" t="s">
        <v>2226</v>
      </c>
      <c r="B139" s="3">
        <v>45891.725289351853</v>
      </c>
      <c r="C139" s="2" t="s">
        <v>333</v>
      </c>
      <c r="D139" s="2" t="s">
        <v>107</v>
      </c>
      <c r="E139" s="2" t="s">
        <v>21</v>
      </c>
      <c r="F139" s="2">
        <v>45000</v>
      </c>
      <c r="G139" s="2">
        <v>3</v>
      </c>
      <c r="H139" s="2">
        <v>5</v>
      </c>
      <c r="I139">
        <f t="shared" si="10"/>
        <v>135000</v>
      </c>
      <c r="J139">
        <f t="shared" si="11"/>
        <v>6750</v>
      </c>
      <c r="K139" s="6">
        <f t="shared" si="12"/>
        <v>128250</v>
      </c>
      <c r="L139" s="2">
        <v>97000</v>
      </c>
      <c r="M139" s="6">
        <f>Table1[[#This Row],[Total Sales]]+Table1[[#This Row],[Shipping Fee]]</f>
        <v>225250</v>
      </c>
      <c r="N139" s="2" t="s">
        <v>29</v>
      </c>
      <c r="O139" t="str">
        <f>VLOOKUP(Table1[[#This Row],[Order ID]],Status!A:B, 2,FALSE)</f>
        <v>Shipped</v>
      </c>
      <c r="P139" s="2" t="s">
        <v>30</v>
      </c>
      <c r="Q139" s="2">
        <v>4</v>
      </c>
      <c r="R139" s="2" t="s">
        <v>37</v>
      </c>
      <c r="S139" s="11" t="str">
        <f t="shared" si="13"/>
        <v>Bagus</v>
      </c>
      <c r="T139" s="2" t="str">
        <f t="shared" si="14"/>
        <v>Rendah</v>
      </c>
    </row>
    <row r="140" spans="1:21" ht="15.75" customHeight="1" x14ac:dyDescent="0.3">
      <c r="A140" s="4" t="s">
        <v>2225</v>
      </c>
      <c r="B140" s="3">
        <v>45891.520486111112</v>
      </c>
      <c r="C140" s="2" t="s">
        <v>73</v>
      </c>
      <c r="D140" s="2" t="s">
        <v>74</v>
      </c>
      <c r="E140" s="2" t="s">
        <v>186</v>
      </c>
      <c r="F140" s="2">
        <v>45000</v>
      </c>
      <c r="G140" s="2">
        <v>3</v>
      </c>
      <c r="H140" s="2">
        <v>10</v>
      </c>
      <c r="I140">
        <f t="shared" si="10"/>
        <v>135000</v>
      </c>
      <c r="J140">
        <f t="shared" si="11"/>
        <v>13500</v>
      </c>
      <c r="K140" s="6">
        <f t="shared" si="12"/>
        <v>121500</v>
      </c>
      <c r="L140" s="2">
        <v>87000</v>
      </c>
      <c r="M140" s="6">
        <f>Table1[[#This Row],[Total Sales]]+Table1[[#This Row],[Shipping Fee]]</f>
        <v>208500</v>
      </c>
      <c r="N140" s="2" t="s">
        <v>63</v>
      </c>
      <c r="O140" t="str">
        <f>VLOOKUP(Table1[[#This Row],[Order ID]],Status!A:B, 2,FALSE)</f>
        <v>Pending</v>
      </c>
      <c r="P140" s="2" t="s">
        <v>30</v>
      </c>
      <c r="Q140" s="2">
        <v>5</v>
      </c>
      <c r="R140" s="2" t="s">
        <v>24</v>
      </c>
      <c r="S140" s="11" t="str">
        <f t="shared" si="13"/>
        <v>Bagus</v>
      </c>
      <c r="T140" s="2" t="str">
        <f t="shared" si="14"/>
        <v>Normal</v>
      </c>
    </row>
    <row r="141" spans="1:21" ht="15.75" customHeight="1" x14ac:dyDescent="0.3">
      <c r="A141" s="4" t="s">
        <v>2224</v>
      </c>
      <c r="B141" s="3">
        <v>45891.445173611108</v>
      </c>
      <c r="C141" s="2" t="s">
        <v>1624</v>
      </c>
      <c r="D141" s="2" t="s">
        <v>33</v>
      </c>
      <c r="E141" s="2" t="s">
        <v>88</v>
      </c>
      <c r="F141" s="2">
        <v>14000</v>
      </c>
      <c r="G141" s="2">
        <v>4</v>
      </c>
      <c r="H141" s="2">
        <v>0</v>
      </c>
      <c r="I141">
        <f t="shared" si="10"/>
        <v>56000</v>
      </c>
      <c r="J141">
        <f t="shared" si="11"/>
        <v>0</v>
      </c>
      <c r="K141" s="6">
        <f t="shared" si="12"/>
        <v>56000</v>
      </c>
      <c r="L141" s="2">
        <v>76000</v>
      </c>
      <c r="M141" s="6">
        <f>Table1[[#This Row],[Total Sales]]+Table1[[#This Row],[Shipping Fee]]</f>
        <v>132000</v>
      </c>
      <c r="N141" s="2" t="s">
        <v>63</v>
      </c>
      <c r="O141" t="str">
        <f>VLOOKUP(Table1[[#This Row],[Order ID]],Status!A:B, 2,FALSE)</f>
        <v>Completed</v>
      </c>
      <c r="P141" s="2" t="s">
        <v>82</v>
      </c>
      <c r="Q141" s="2">
        <v>2</v>
      </c>
      <c r="R141" s="2" t="s">
        <v>24</v>
      </c>
      <c r="S141" s="11" t="str">
        <f t="shared" si="13"/>
        <v>Rendah</v>
      </c>
      <c r="T141" s="2" t="str">
        <f t="shared" si="14"/>
        <v>Sangat Rendah</v>
      </c>
      <c r="U141" t="s">
        <v>2361</v>
      </c>
    </row>
    <row r="142" spans="1:21" ht="15.75" customHeight="1" x14ac:dyDescent="0.3">
      <c r="A142" s="4" t="s">
        <v>2223</v>
      </c>
      <c r="B142" s="3">
        <v>45891.398877314823</v>
      </c>
      <c r="C142" s="2" t="s">
        <v>254</v>
      </c>
      <c r="D142" s="2" t="s">
        <v>61</v>
      </c>
      <c r="E142" s="2" t="s">
        <v>138</v>
      </c>
      <c r="F142" s="2">
        <v>17000</v>
      </c>
      <c r="G142" s="2">
        <v>4</v>
      </c>
      <c r="H142" s="2">
        <v>0</v>
      </c>
      <c r="I142">
        <f t="shared" si="10"/>
        <v>68000</v>
      </c>
      <c r="J142">
        <f t="shared" si="11"/>
        <v>0</v>
      </c>
      <c r="K142" s="6">
        <f t="shared" si="12"/>
        <v>68000</v>
      </c>
      <c r="L142" s="2">
        <v>26000</v>
      </c>
      <c r="M142" s="6">
        <f>Table1[[#This Row],[Total Sales]]+Table1[[#This Row],[Shipping Fee]]</f>
        <v>94000</v>
      </c>
      <c r="N142" s="2" t="s">
        <v>29</v>
      </c>
      <c r="O142" t="str">
        <f>VLOOKUP(Table1[[#This Row],[Order ID]],Status!A:B, 2,FALSE)</f>
        <v>Completed</v>
      </c>
      <c r="P142" s="2" t="s">
        <v>30</v>
      </c>
      <c r="Q142" s="2">
        <v>2</v>
      </c>
      <c r="R142" s="2" t="s">
        <v>24</v>
      </c>
      <c r="S142" s="11" t="str">
        <f t="shared" si="13"/>
        <v>Rendah</v>
      </c>
      <c r="T142" s="2" t="str">
        <f t="shared" si="14"/>
        <v>Sangat Rendah</v>
      </c>
    </row>
    <row r="143" spans="1:21" ht="15.75" customHeight="1" x14ac:dyDescent="0.3">
      <c r="A143" s="4" t="s">
        <v>2222</v>
      </c>
      <c r="B143" s="3">
        <v>45891.37023148148</v>
      </c>
      <c r="C143" s="2" t="s">
        <v>365</v>
      </c>
      <c r="D143" s="2" t="s">
        <v>61</v>
      </c>
      <c r="E143" s="2" t="s">
        <v>174</v>
      </c>
      <c r="F143" s="2">
        <v>10000</v>
      </c>
      <c r="G143" s="2">
        <v>1</v>
      </c>
      <c r="H143" s="2">
        <v>20</v>
      </c>
      <c r="I143">
        <f t="shared" si="10"/>
        <v>10000</v>
      </c>
      <c r="J143">
        <f t="shared" si="11"/>
        <v>2000</v>
      </c>
      <c r="K143" s="6">
        <f t="shared" si="12"/>
        <v>8000</v>
      </c>
      <c r="L143" s="2">
        <v>26000</v>
      </c>
      <c r="M143" s="6">
        <f>Table1[[#This Row],[Total Sales]]+Table1[[#This Row],[Shipping Fee]]</f>
        <v>34000</v>
      </c>
      <c r="N143" s="2" t="s">
        <v>22</v>
      </c>
      <c r="O143" t="str">
        <f>VLOOKUP(Table1[[#This Row],[Order ID]],Status!A:B, 2,FALSE)</f>
        <v>Pending</v>
      </c>
      <c r="P143" s="2" t="s">
        <v>36</v>
      </c>
      <c r="Q143" s="2">
        <v>2</v>
      </c>
      <c r="R143" s="2" t="s">
        <v>24</v>
      </c>
      <c r="S143" s="11" t="str">
        <f t="shared" si="13"/>
        <v>Rendah</v>
      </c>
      <c r="T143" s="2" t="str">
        <f t="shared" si="14"/>
        <v>Sangat Rendah</v>
      </c>
      <c r="U143" t="s">
        <v>2362</v>
      </c>
    </row>
    <row r="144" spans="1:21" ht="15.75" customHeight="1" x14ac:dyDescent="0.3">
      <c r="A144" s="4" t="s">
        <v>2221</v>
      </c>
      <c r="B144" s="3">
        <v>45891.30976851852</v>
      </c>
      <c r="C144" s="2" t="s">
        <v>464</v>
      </c>
      <c r="D144" s="2" t="s">
        <v>296</v>
      </c>
      <c r="E144" s="2" t="s">
        <v>250</v>
      </c>
      <c r="F144" s="2">
        <v>18000</v>
      </c>
      <c r="G144" s="2">
        <v>2</v>
      </c>
      <c r="H144" s="2">
        <v>15</v>
      </c>
      <c r="I144">
        <f t="shared" si="10"/>
        <v>36000</v>
      </c>
      <c r="J144">
        <f t="shared" si="11"/>
        <v>5400</v>
      </c>
      <c r="K144" s="6">
        <f t="shared" si="12"/>
        <v>30600</v>
      </c>
      <c r="L144" s="2">
        <v>79000</v>
      </c>
      <c r="M144" s="6">
        <f>Table1[[#This Row],[Total Sales]]+Table1[[#This Row],[Shipping Fee]]</f>
        <v>109600</v>
      </c>
      <c r="N144" s="2" t="s">
        <v>63</v>
      </c>
      <c r="O144" t="str">
        <f>VLOOKUP(Table1[[#This Row],[Order ID]],Status!A:B, 2,FALSE)</f>
        <v>Completed</v>
      </c>
      <c r="P144" s="2" t="s">
        <v>46</v>
      </c>
      <c r="Q144" s="2">
        <v>3</v>
      </c>
      <c r="R144" s="2" t="s">
        <v>37</v>
      </c>
      <c r="S144" s="11" t="str">
        <f t="shared" si="13"/>
        <v>Standar</v>
      </c>
      <c r="T144" s="2" t="str">
        <f t="shared" si="14"/>
        <v>Rendah</v>
      </c>
      <c r="U144" t="s">
        <v>2363</v>
      </c>
    </row>
    <row r="145" spans="1:21" ht="15.75" customHeight="1" x14ac:dyDescent="0.3">
      <c r="A145" s="4" t="s">
        <v>2220</v>
      </c>
      <c r="B145" s="3">
        <v>45891.207881944443</v>
      </c>
      <c r="C145" s="2" t="s">
        <v>537</v>
      </c>
      <c r="D145" s="2" t="s">
        <v>57</v>
      </c>
      <c r="E145" s="2" t="s">
        <v>41</v>
      </c>
      <c r="F145" s="2">
        <v>4000</v>
      </c>
      <c r="G145" s="2">
        <v>4</v>
      </c>
      <c r="H145" s="2">
        <v>0</v>
      </c>
      <c r="I145">
        <f t="shared" si="10"/>
        <v>16000</v>
      </c>
      <c r="J145">
        <f t="shared" si="11"/>
        <v>0</v>
      </c>
      <c r="K145" s="6">
        <f t="shared" si="12"/>
        <v>16000</v>
      </c>
      <c r="L145" s="2">
        <v>80000</v>
      </c>
      <c r="M145" s="6">
        <f>Table1[[#This Row],[Total Sales]]+Table1[[#This Row],[Shipping Fee]]</f>
        <v>96000</v>
      </c>
      <c r="N145" s="2" t="s">
        <v>35</v>
      </c>
      <c r="O145" t="str">
        <f>VLOOKUP(Table1[[#This Row],[Order ID]],Status!A:B, 2,FALSE)</f>
        <v>Cancelled</v>
      </c>
      <c r="P145" s="2" t="s">
        <v>30</v>
      </c>
      <c r="Q145" s="2">
        <v>2</v>
      </c>
      <c r="R145" s="2" t="s">
        <v>37</v>
      </c>
      <c r="S145" s="11" t="str">
        <f t="shared" si="13"/>
        <v>Rendah</v>
      </c>
      <c r="T145" s="2" t="str">
        <f t="shared" si="14"/>
        <v>Sangat Rendah</v>
      </c>
      <c r="U145" t="s">
        <v>2364</v>
      </c>
    </row>
    <row r="146" spans="1:21" ht="15.75" customHeight="1" x14ac:dyDescent="0.3">
      <c r="A146" s="4" t="s">
        <v>2219</v>
      </c>
      <c r="B146" s="3">
        <v>45891.173958333333</v>
      </c>
      <c r="C146" s="2" t="s">
        <v>128</v>
      </c>
      <c r="D146" s="2" t="s">
        <v>103</v>
      </c>
      <c r="E146" s="2" t="s">
        <v>41</v>
      </c>
      <c r="F146" s="2">
        <v>4000</v>
      </c>
      <c r="G146" s="2">
        <v>4</v>
      </c>
      <c r="H146" s="2">
        <v>0</v>
      </c>
      <c r="I146">
        <f t="shared" si="10"/>
        <v>16000</v>
      </c>
      <c r="J146">
        <f t="shared" si="11"/>
        <v>0</v>
      </c>
      <c r="K146" s="6">
        <f t="shared" si="12"/>
        <v>16000</v>
      </c>
      <c r="L146" s="2">
        <v>85000</v>
      </c>
      <c r="M146" s="6">
        <f>Table1[[#This Row],[Total Sales]]+Table1[[#This Row],[Shipping Fee]]</f>
        <v>101000</v>
      </c>
      <c r="N146" s="2" t="s">
        <v>29</v>
      </c>
      <c r="O146" t="str">
        <f>VLOOKUP(Table1[[#This Row],[Order ID]],Status!A:B, 2,FALSE)</f>
        <v>Completed</v>
      </c>
      <c r="P146" s="2" t="s">
        <v>23</v>
      </c>
      <c r="Q146" s="2">
        <v>4</v>
      </c>
      <c r="R146" s="2" t="s">
        <v>37</v>
      </c>
      <c r="S146" s="11" t="str">
        <f t="shared" si="13"/>
        <v>Bagus</v>
      </c>
      <c r="T146" s="2" t="str">
        <f t="shared" si="14"/>
        <v>Sangat Rendah</v>
      </c>
      <c r="U146" t="s">
        <v>2365</v>
      </c>
    </row>
    <row r="147" spans="1:21" ht="15.75" customHeight="1" x14ac:dyDescent="0.3">
      <c r="A147" s="4" t="s">
        <v>2219</v>
      </c>
      <c r="B147" s="3">
        <v>45891.173958333333</v>
      </c>
      <c r="C147" s="2" t="s">
        <v>128</v>
      </c>
      <c r="D147" s="2" t="s">
        <v>103</v>
      </c>
      <c r="E147" s="2" t="s">
        <v>190</v>
      </c>
      <c r="F147" s="2">
        <v>35000</v>
      </c>
      <c r="G147" s="2">
        <v>3</v>
      </c>
      <c r="H147" s="2">
        <v>20</v>
      </c>
      <c r="I147">
        <f t="shared" si="10"/>
        <v>105000</v>
      </c>
      <c r="J147">
        <f t="shared" si="11"/>
        <v>21000</v>
      </c>
      <c r="K147" s="6">
        <f t="shared" si="12"/>
        <v>84000</v>
      </c>
      <c r="L147" s="2">
        <v>0</v>
      </c>
      <c r="M147" s="6">
        <f>Table1[[#This Row],[Total Sales]]+Table1[[#This Row],[Shipping Fee]]</f>
        <v>84000</v>
      </c>
      <c r="N147" s="2" t="s">
        <v>29</v>
      </c>
      <c r="O147" t="str">
        <f>VLOOKUP(Table1[[#This Row],[Order ID]],Status!A:B, 2,FALSE)</f>
        <v>Completed</v>
      </c>
      <c r="P147" s="2" t="s">
        <v>23</v>
      </c>
      <c r="Q147" s="2">
        <v>4</v>
      </c>
      <c r="R147" s="2" t="s">
        <v>37</v>
      </c>
      <c r="S147" s="11" t="str">
        <f t="shared" si="13"/>
        <v>Bagus</v>
      </c>
      <c r="T147" s="2" t="str">
        <f t="shared" si="14"/>
        <v>Tinggi</v>
      </c>
      <c r="U147" t="s">
        <v>2366</v>
      </c>
    </row>
    <row r="148" spans="1:21" ht="15.75" customHeight="1" x14ac:dyDescent="0.3">
      <c r="A148" s="4" t="s">
        <v>2218</v>
      </c>
      <c r="B148" s="3">
        <v>45891.047812500001</v>
      </c>
      <c r="C148" s="2" t="s">
        <v>918</v>
      </c>
      <c r="D148" s="2" t="s">
        <v>296</v>
      </c>
      <c r="E148" s="2" t="s">
        <v>28</v>
      </c>
      <c r="F148" s="2">
        <v>5000</v>
      </c>
      <c r="G148" s="2">
        <v>3</v>
      </c>
      <c r="H148" s="2">
        <v>15</v>
      </c>
      <c r="I148">
        <f t="shared" si="10"/>
        <v>15000</v>
      </c>
      <c r="J148">
        <f t="shared" si="11"/>
        <v>2250</v>
      </c>
      <c r="K148" s="6">
        <f t="shared" si="12"/>
        <v>12750</v>
      </c>
      <c r="L148" s="2">
        <v>79000</v>
      </c>
      <c r="M148" s="6">
        <f>Table1[[#This Row],[Total Sales]]+Table1[[#This Row],[Shipping Fee]]</f>
        <v>91750</v>
      </c>
      <c r="N148" s="2" t="s">
        <v>22</v>
      </c>
      <c r="O148" t="str">
        <f>VLOOKUP(Table1[[#This Row],[Order ID]],Status!A:B, 2,FALSE)</f>
        <v>Completed</v>
      </c>
      <c r="P148" s="2" t="s">
        <v>30</v>
      </c>
      <c r="Q148" s="2">
        <v>4</v>
      </c>
      <c r="R148" s="2" t="s">
        <v>24</v>
      </c>
      <c r="S148" s="11" t="str">
        <f t="shared" si="13"/>
        <v>Bagus</v>
      </c>
      <c r="T148" s="2" t="str">
        <f t="shared" si="14"/>
        <v>Sangat Rendah</v>
      </c>
    </row>
    <row r="149" spans="1:21" ht="15.75" customHeight="1" x14ac:dyDescent="0.3">
      <c r="A149" s="4" t="s">
        <v>2217</v>
      </c>
      <c r="B149" s="3">
        <v>45890.834965277783</v>
      </c>
      <c r="C149" s="2" t="s">
        <v>1979</v>
      </c>
      <c r="D149" s="2" t="s">
        <v>103</v>
      </c>
      <c r="E149" s="2" t="s">
        <v>45</v>
      </c>
      <c r="F149" s="2">
        <v>40000</v>
      </c>
      <c r="G149" s="2">
        <v>2</v>
      </c>
      <c r="H149" s="2">
        <v>5</v>
      </c>
      <c r="I149">
        <f t="shared" si="10"/>
        <v>80000</v>
      </c>
      <c r="J149">
        <f t="shared" si="11"/>
        <v>4000</v>
      </c>
      <c r="K149" s="6">
        <f t="shared" si="12"/>
        <v>76000</v>
      </c>
      <c r="L149" s="2">
        <v>85000</v>
      </c>
      <c r="M149" s="6">
        <f>Table1[[#This Row],[Total Sales]]+Table1[[#This Row],[Shipping Fee]]</f>
        <v>161000</v>
      </c>
      <c r="N149" s="2" t="s">
        <v>29</v>
      </c>
      <c r="O149" t="str">
        <f>VLOOKUP(Table1[[#This Row],[Order ID]],Status!A:B, 2,FALSE)</f>
        <v>Pending</v>
      </c>
      <c r="P149" s="2" t="s">
        <v>46</v>
      </c>
      <c r="Q149" s="2">
        <v>5</v>
      </c>
      <c r="R149" s="2" t="s">
        <v>24</v>
      </c>
      <c r="S149" s="11" t="str">
        <f t="shared" si="13"/>
        <v>Bagus</v>
      </c>
      <c r="T149" s="2" t="str">
        <f t="shared" si="14"/>
        <v>Sangat Rendah</v>
      </c>
    </row>
    <row r="150" spans="1:21" ht="15.75" customHeight="1" x14ac:dyDescent="0.3">
      <c r="A150" s="4" t="s">
        <v>2216</v>
      </c>
      <c r="B150" s="3">
        <v>45890.546898148154</v>
      </c>
      <c r="C150" s="2" t="s">
        <v>184</v>
      </c>
      <c r="D150" s="2" t="s">
        <v>103</v>
      </c>
      <c r="E150" s="2" t="s">
        <v>136</v>
      </c>
      <c r="F150" s="2">
        <v>12000</v>
      </c>
      <c r="G150" s="2">
        <v>5</v>
      </c>
      <c r="H150" s="2">
        <v>10</v>
      </c>
      <c r="I150">
        <f t="shared" si="10"/>
        <v>60000</v>
      </c>
      <c r="J150">
        <f t="shared" si="11"/>
        <v>6000</v>
      </c>
      <c r="K150" s="6">
        <f t="shared" si="12"/>
        <v>54000</v>
      </c>
      <c r="L150" s="2">
        <v>85000</v>
      </c>
      <c r="M150" s="6">
        <f>Table1[[#This Row],[Total Sales]]+Table1[[#This Row],[Shipping Fee]]</f>
        <v>139000</v>
      </c>
      <c r="N150" s="2" t="s">
        <v>63</v>
      </c>
      <c r="O150" t="str">
        <f>VLOOKUP(Table1[[#This Row],[Order ID]],Status!A:B, 2,FALSE)</f>
        <v>Completed</v>
      </c>
      <c r="P150" s="2" t="s">
        <v>23</v>
      </c>
      <c r="Q150" s="2">
        <v>3</v>
      </c>
      <c r="R150" s="2" t="s">
        <v>24</v>
      </c>
      <c r="S150" s="11" t="str">
        <f t="shared" si="13"/>
        <v>Standar</v>
      </c>
      <c r="T150" s="2" t="str">
        <f t="shared" si="14"/>
        <v>Rendah</v>
      </c>
    </row>
    <row r="151" spans="1:21" ht="15.75" customHeight="1" x14ac:dyDescent="0.3">
      <c r="A151" s="4" t="s">
        <v>2215</v>
      </c>
      <c r="B151" s="3">
        <v>45890.516875000001</v>
      </c>
      <c r="C151" s="2" t="s">
        <v>729</v>
      </c>
      <c r="D151" s="2" t="s">
        <v>74</v>
      </c>
      <c r="E151" s="2" t="s">
        <v>41</v>
      </c>
      <c r="F151" s="2">
        <v>4000</v>
      </c>
      <c r="G151" s="2">
        <v>5</v>
      </c>
      <c r="H151" s="2">
        <v>20</v>
      </c>
      <c r="I151">
        <f t="shared" si="10"/>
        <v>20000</v>
      </c>
      <c r="J151">
        <f t="shared" si="11"/>
        <v>4000</v>
      </c>
      <c r="K151" s="6">
        <f t="shared" si="12"/>
        <v>16000</v>
      </c>
      <c r="L151" s="2">
        <v>87000</v>
      </c>
      <c r="M151" s="6">
        <f>Table1[[#This Row],[Total Sales]]+Table1[[#This Row],[Shipping Fee]]</f>
        <v>103000</v>
      </c>
      <c r="N151" s="2" t="s">
        <v>29</v>
      </c>
      <c r="O151" t="str">
        <f>VLOOKUP(Table1[[#This Row],[Order ID]],Status!A:B, 2,FALSE)</f>
        <v>Completed</v>
      </c>
      <c r="P151" s="2" t="s">
        <v>82</v>
      </c>
      <c r="Q151" s="2">
        <v>1</v>
      </c>
      <c r="R151" s="2" t="s">
        <v>24</v>
      </c>
      <c r="S151" s="11" t="str">
        <f t="shared" si="13"/>
        <v>Rendah</v>
      </c>
      <c r="T151" s="2" t="str">
        <f t="shared" si="14"/>
        <v>Sangat Rendah</v>
      </c>
    </row>
    <row r="152" spans="1:21" ht="15.75" customHeight="1" x14ac:dyDescent="0.3">
      <c r="A152" s="4" t="s">
        <v>2215</v>
      </c>
      <c r="B152" s="3">
        <v>45890.516875000001</v>
      </c>
      <c r="C152" s="2" t="s">
        <v>729</v>
      </c>
      <c r="D152" s="2" t="s">
        <v>74</v>
      </c>
      <c r="E152" s="2" t="s">
        <v>144</v>
      </c>
      <c r="F152" s="2">
        <v>18000</v>
      </c>
      <c r="G152" s="2">
        <v>1</v>
      </c>
      <c r="H152" s="2">
        <v>15</v>
      </c>
      <c r="I152">
        <f t="shared" si="10"/>
        <v>18000</v>
      </c>
      <c r="J152">
        <f t="shared" si="11"/>
        <v>2700</v>
      </c>
      <c r="K152" s="6">
        <f t="shared" si="12"/>
        <v>15300</v>
      </c>
      <c r="L152" s="2">
        <v>0</v>
      </c>
      <c r="M152" s="6">
        <f>Table1[[#This Row],[Total Sales]]+Table1[[#This Row],[Shipping Fee]]</f>
        <v>15300</v>
      </c>
      <c r="N152" s="2" t="s">
        <v>29</v>
      </c>
      <c r="O152" t="str">
        <f>VLOOKUP(Table1[[#This Row],[Order ID]],Status!A:B, 2,FALSE)</f>
        <v>Completed</v>
      </c>
      <c r="P152" s="2" t="s">
        <v>82</v>
      </c>
      <c r="Q152" s="2">
        <v>1</v>
      </c>
      <c r="R152" s="2" t="s">
        <v>24</v>
      </c>
      <c r="S152" s="11" t="str">
        <f t="shared" si="13"/>
        <v>Rendah</v>
      </c>
      <c r="T152" s="2" t="str">
        <f t="shared" si="14"/>
        <v>Sangat Rendah</v>
      </c>
    </row>
    <row r="153" spans="1:21" ht="15.75" customHeight="1" x14ac:dyDescent="0.3">
      <c r="A153" s="4" t="s">
        <v>2214</v>
      </c>
      <c r="B153" s="3">
        <v>45890.084027777782</v>
      </c>
      <c r="C153" s="2" t="s">
        <v>483</v>
      </c>
      <c r="D153" s="2" t="s">
        <v>170</v>
      </c>
      <c r="E153" s="2" t="s">
        <v>38</v>
      </c>
      <c r="F153" s="2">
        <v>28000</v>
      </c>
      <c r="G153" s="2">
        <v>5</v>
      </c>
      <c r="H153" s="2">
        <v>20</v>
      </c>
      <c r="I153">
        <f t="shared" si="10"/>
        <v>140000</v>
      </c>
      <c r="J153">
        <f t="shared" si="11"/>
        <v>28000</v>
      </c>
      <c r="K153" s="6">
        <f t="shared" si="12"/>
        <v>112000</v>
      </c>
      <c r="L153" s="2">
        <v>46000</v>
      </c>
      <c r="M153" s="6">
        <f>Table1[[#This Row],[Total Sales]]+Table1[[#This Row],[Shipping Fee]]</f>
        <v>158000</v>
      </c>
      <c r="N153" s="2" t="s">
        <v>35</v>
      </c>
      <c r="O153" t="str">
        <f>VLOOKUP(Table1[[#This Row],[Order ID]],Status!A:B, 2,FALSE)</f>
        <v>Completed</v>
      </c>
      <c r="P153" s="2" t="s">
        <v>30</v>
      </c>
      <c r="Q153" s="2">
        <v>5</v>
      </c>
      <c r="R153" s="2" t="s">
        <v>24</v>
      </c>
      <c r="S153" s="11" t="str">
        <f t="shared" si="13"/>
        <v>Bagus</v>
      </c>
      <c r="T153" s="2" t="str">
        <f t="shared" si="14"/>
        <v>Tinggi</v>
      </c>
    </row>
    <row r="154" spans="1:21" ht="15.75" customHeight="1" x14ac:dyDescent="0.3">
      <c r="A154" s="4" t="s">
        <v>2213</v>
      </c>
      <c r="B154" s="3">
        <v>45889.971701388888</v>
      </c>
      <c r="C154" s="2" t="s">
        <v>1293</v>
      </c>
      <c r="D154" s="2" t="s">
        <v>44</v>
      </c>
      <c r="E154" s="2" t="s">
        <v>58</v>
      </c>
      <c r="F154" s="2">
        <v>16000</v>
      </c>
      <c r="G154" s="2">
        <v>2</v>
      </c>
      <c r="H154" s="2">
        <v>0</v>
      </c>
      <c r="I154">
        <f t="shared" si="10"/>
        <v>32000</v>
      </c>
      <c r="J154">
        <f t="shared" si="11"/>
        <v>0</v>
      </c>
      <c r="K154" s="6">
        <f t="shared" si="12"/>
        <v>32000</v>
      </c>
      <c r="L154" s="2">
        <v>93000</v>
      </c>
      <c r="M154" s="6">
        <f>Table1[[#This Row],[Total Sales]]+Table1[[#This Row],[Shipping Fee]]</f>
        <v>125000</v>
      </c>
      <c r="N154" s="2" t="s">
        <v>29</v>
      </c>
      <c r="O154" t="str">
        <f>VLOOKUP(Table1[[#This Row],[Order ID]],Status!A:B, 2,FALSE)</f>
        <v>Completed</v>
      </c>
      <c r="P154" s="2" t="s">
        <v>36</v>
      </c>
      <c r="Q154" s="2">
        <v>5</v>
      </c>
      <c r="R154" s="2" t="s">
        <v>24</v>
      </c>
      <c r="S154" s="11" t="str">
        <f t="shared" si="13"/>
        <v>Bagus</v>
      </c>
      <c r="T154" s="2" t="str">
        <f t="shared" si="14"/>
        <v>Sangat Rendah</v>
      </c>
    </row>
    <row r="155" spans="1:21" ht="15.75" customHeight="1" x14ac:dyDescent="0.3">
      <c r="A155" s="4" t="s">
        <v>2212</v>
      </c>
      <c r="B155" s="3">
        <v>45889.908275462964</v>
      </c>
      <c r="C155" s="2" t="s">
        <v>323</v>
      </c>
      <c r="D155" s="2" t="s">
        <v>103</v>
      </c>
      <c r="E155" s="2" t="s">
        <v>62</v>
      </c>
      <c r="F155" s="2">
        <v>50000</v>
      </c>
      <c r="G155" s="2">
        <v>2</v>
      </c>
      <c r="H155" s="2">
        <v>10</v>
      </c>
      <c r="I155">
        <f t="shared" si="10"/>
        <v>100000</v>
      </c>
      <c r="J155">
        <f t="shared" si="11"/>
        <v>10000</v>
      </c>
      <c r="K155" s="6">
        <f t="shared" si="12"/>
        <v>90000</v>
      </c>
      <c r="L155" s="2">
        <v>85000</v>
      </c>
      <c r="M155" s="6">
        <f>Table1[[#This Row],[Total Sales]]+Table1[[#This Row],[Shipping Fee]]</f>
        <v>175000</v>
      </c>
      <c r="N155" s="2" t="s">
        <v>22</v>
      </c>
      <c r="O155" t="str">
        <f>VLOOKUP(Table1[[#This Row],[Order ID]],Status!A:B, 2,FALSE)</f>
        <v>Shipped</v>
      </c>
      <c r="P155" s="2" t="s">
        <v>23</v>
      </c>
      <c r="Q155" s="2">
        <v>2</v>
      </c>
      <c r="R155" s="2" t="s">
        <v>24</v>
      </c>
      <c r="S155" s="11" t="str">
        <f t="shared" si="13"/>
        <v>Rendah</v>
      </c>
      <c r="T155" s="2" t="str">
        <f t="shared" si="14"/>
        <v>Rendah</v>
      </c>
    </row>
    <row r="156" spans="1:21" ht="15.75" customHeight="1" x14ac:dyDescent="0.3">
      <c r="A156" s="4" t="s">
        <v>2211</v>
      </c>
      <c r="B156" s="3">
        <v>45889.630648148152</v>
      </c>
      <c r="C156" s="2" t="s">
        <v>100</v>
      </c>
      <c r="D156" s="2" t="s">
        <v>66</v>
      </c>
      <c r="E156" s="2" t="s">
        <v>174</v>
      </c>
      <c r="F156" s="2">
        <v>10000</v>
      </c>
      <c r="G156" s="2">
        <v>3</v>
      </c>
      <c r="H156" s="2">
        <v>0</v>
      </c>
      <c r="I156">
        <f t="shared" si="10"/>
        <v>30000</v>
      </c>
      <c r="J156">
        <f t="shared" si="11"/>
        <v>0</v>
      </c>
      <c r="K156" s="6">
        <f t="shared" si="12"/>
        <v>30000</v>
      </c>
      <c r="L156" s="2">
        <v>59000</v>
      </c>
      <c r="M156" s="6">
        <f>Table1[[#This Row],[Total Sales]]+Table1[[#This Row],[Shipping Fee]]</f>
        <v>89000</v>
      </c>
      <c r="N156" s="2" t="s">
        <v>35</v>
      </c>
      <c r="O156" t="str">
        <f>VLOOKUP(Table1[[#This Row],[Order ID]],Status!A:B, 2,FALSE)</f>
        <v>Pending</v>
      </c>
      <c r="P156" s="2" t="s">
        <v>23</v>
      </c>
      <c r="Q156" s="2">
        <v>1</v>
      </c>
      <c r="R156" s="2" t="s">
        <v>24</v>
      </c>
      <c r="S156" s="11" t="str">
        <f t="shared" si="13"/>
        <v>Rendah</v>
      </c>
      <c r="T156" s="2" t="str">
        <f t="shared" si="14"/>
        <v>Sangat Rendah</v>
      </c>
    </row>
    <row r="157" spans="1:21" ht="15.75" customHeight="1" x14ac:dyDescent="0.3">
      <c r="A157" s="4" t="s">
        <v>2209</v>
      </c>
      <c r="B157" s="3">
        <v>45889.622465277767</v>
      </c>
      <c r="C157" s="2" t="s">
        <v>2210</v>
      </c>
      <c r="D157" s="2" t="s">
        <v>126</v>
      </c>
      <c r="E157" s="2" t="s">
        <v>21</v>
      </c>
      <c r="F157" s="2">
        <v>45000</v>
      </c>
      <c r="G157" s="2">
        <v>4</v>
      </c>
      <c r="H157" s="2">
        <v>15</v>
      </c>
      <c r="I157">
        <f t="shared" si="10"/>
        <v>180000</v>
      </c>
      <c r="J157">
        <f t="shared" si="11"/>
        <v>27000</v>
      </c>
      <c r="K157" s="6">
        <f t="shared" si="12"/>
        <v>153000</v>
      </c>
      <c r="L157" s="2">
        <v>84000</v>
      </c>
      <c r="M157" s="6">
        <f>Table1[[#This Row],[Total Sales]]+Table1[[#This Row],[Shipping Fee]]</f>
        <v>237000</v>
      </c>
      <c r="N157" s="2" t="s">
        <v>22</v>
      </c>
      <c r="O157" t="str">
        <f>VLOOKUP(Table1[[#This Row],[Order ID]],Status!A:B, 2,FALSE)</f>
        <v>Completed</v>
      </c>
      <c r="P157" s="2" t="s">
        <v>46</v>
      </c>
      <c r="Q157" s="2">
        <v>1</v>
      </c>
      <c r="R157" s="2" t="s">
        <v>24</v>
      </c>
      <c r="S157" s="11" t="str">
        <f t="shared" si="13"/>
        <v>Rendah</v>
      </c>
      <c r="T157" s="2" t="str">
        <f t="shared" si="14"/>
        <v>Tinggi</v>
      </c>
    </row>
    <row r="158" spans="1:21" ht="15.75" customHeight="1" x14ac:dyDescent="0.3">
      <c r="A158" s="4" t="s">
        <v>2208</v>
      </c>
      <c r="B158" s="3">
        <v>45889.588425925933</v>
      </c>
      <c r="C158" s="2" t="s">
        <v>79</v>
      </c>
      <c r="D158" s="2" t="s">
        <v>80</v>
      </c>
      <c r="E158" s="2" t="s">
        <v>104</v>
      </c>
      <c r="F158" s="2">
        <v>30000</v>
      </c>
      <c r="G158" s="2">
        <v>1</v>
      </c>
      <c r="H158" s="2">
        <v>10</v>
      </c>
      <c r="I158">
        <f t="shared" si="10"/>
        <v>30000</v>
      </c>
      <c r="J158">
        <f t="shared" si="11"/>
        <v>3000</v>
      </c>
      <c r="K158" s="6">
        <f t="shared" si="12"/>
        <v>27000</v>
      </c>
      <c r="L158" s="2">
        <v>74000</v>
      </c>
      <c r="M158" s="6">
        <f>Table1[[#This Row],[Total Sales]]+Table1[[#This Row],[Shipping Fee]]</f>
        <v>101000</v>
      </c>
      <c r="N158" s="2" t="s">
        <v>22</v>
      </c>
      <c r="O158" t="str">
        <f>VLOOKUP(Table1[[#This Row],[Order ID]],Status!A:B, 2,FALSE)</f>
        <v>Shipped</v>
      </c>
      <c r="P158" s="2" t="s">
        <v>46</v>
      </c>
      <c r="Q158" s="2">
        <v>1</v>
      </c>
      <c r="R158" s="2" t="s">
        <v>24</v>
      </c>
      <c r="S158" s="11" t="str">
        <f t="shared" si="13"/>
        <v>Rendah</v>
      </c>
      <c r="T158" s="2" t="str">
        <f t="shared" si="14"/>
        <v>Sangat Rendah</v>
      </c>
    </row>
    <row r="159" spans="1:21" ht="15.75" customHeight="1" x14ac:dyDescent="0.3">
      <c r="A159" s="4" t="s">
        <v>2207</v>
      </c>
      <c r="B159" s="3">
        <v>45889.011504629627</v>
      </c>
      <c r="C159" s="2" t="s">
        <v>218</v>
      </c>
      <c r="D159" s="2" t="s">
        <v>170</v>
      </c>
      <c r="E159" s="2" t="s">
        <v>41</v>
      </c>
      <c r="F159" s="2">
        <v>4000</v>
      </c>
      <c r="G159" s="2">
        <v>4</v>
      </c>
      <c r="H159" s="2">
        <v>10</v>
      </c>
      <c r="I159">
        <f t="shared" si="10"/>
        <v>16000</v>
      </c>
      <c r="J159">
        <f t="shared" si="11"/>
        <v>1600</v>
      </c>
      <c r="K159" s="6">
        <f t="shared" si="12"/>
        <v>14400</v>
      </c>
      <c r="L159" s="2">
        <v>46000</v>
      </c>
      <c r="M159" s="6">
        <f>Table1[[#This Row],[Total Sales]]+Table1[[#This Row],[Shipping Fee]]</f>
        <v>60400</v>
      </c>
      <c r="N159" s="2" t="s">
        <v>22</v>
      </c>
      <c r="O159" t="str">
        <f>VLOOKUP(Table1[[#This Row],[Order ID]],Status!A:B, 2,FALSE)</f>
        <v>Completed</v>
      </c>
      <c r="P159" s="2" t="s">
        <v>46</v>
      </c>
      <c r="Q159" s="2">
        <v>5</v>
      </c>
      <c r="R159" s="2" t="s">
        <v>24</v>
      </c>
      <c r="S159" s="11" t="str">
        <f t="shared" si="13"/>
        <v>Bagus</v>
      </c>
      <c r="T159" s="2" t="str">
        <f t="shared" si="14"/>
        <v>Sangat Rendah</v>
      </c>
    </row>
    <row r="160" spans="1:21" ht="15.75" customHeight="1" x14ac:dyDescent="0.3">
      <c r="A160" s="4" t="s">
        <v>2206</v>
      </c>
      <c r="B160" s="3">
        <v>45888.770277777781</v>
      </c>
      <c r="C160" s="2" t="s">
        <v>155</v>
      </c>
      <c r="D160" s="2" t="s">
        <v>92</v>
      </c>
      <c r="E160" s="2" t="s">
        <v>50</v>
      </c>
      <c r="F160" s="2">
        <v>14000</v>
      </c>
      <c r="G160" s="2">
        <v>1</v>
      </c>
      <c r="H160" s="2">
        <v>10</v>
      </c>
      <c r="I160">
        <f t="shared" si="10"/>
        <v>14000</v>
      </c>
      <c r="J160">
        <f t="shared" si="11"/>
        <v>1400</v>
      </c>
      <c r="K160" s="6">
        <f t="shared" si="12"/>
        <v>12600</v>
      </c>
      <c r="L160" s="2">
        <v>30000</v>
      </c>
      <c r="M160" s="6">
        <f>Table1[[#This Row],[Total Sales]]+Table1[[#This Row],[Shipping Fee]]</f>
        <v>42600</v>
      </c>
      <c r="N160" s="2" t="s">
        <v>63</v>
      </c>
      <c r="O160" t="str">
        <f>VLOOKUP(Table1[[#This Row],[Order ID]],Status!A:B, 2,FALSE)</f>
        <v>Shipped</v>
      </c>
      <c r="P160" s="2" t="s">
        <v>36</v>
      </c>
      <c r="Q160" s="2">
        <v>5</v>
      </c>
      <c r="R160" s="2" t="s">
        <v>24</v>
      </c>
      <c r="S160" s="11" t="str">
        <f t="shared" si="13"/>
        <v>Bagus</v>
      </c>
      <c r="T160" s="2" t="str">
        <f t="shared" si="14"/>
        <v>Sangat Rendah</v>
      </c>
    </row>
    <row r="161" spans="1:20" ht="15.75" customHeight="1" x14ac:dyDescent="0.3">
      <c r="A161" s="4" t="s">
        <v>2205</v>
      </c>
      <c r="B161" s="3">
        <v>45888.760451388887</v>
      </c>
      <c r="C161" s="2" t="s">
        <v>1887</v>
      </c>
      <c r="D161" s="2" t="s">
        <v>238</v>
      </c>
      <c r="E161" s="2" t="s">
        <v>250</v>
      </c>
      <c r="F161" s="2">
        <v>18000</v>
      </c>
      <c r="G161" s="2">
        <v>2</v>
      </c>
      <c r="H161" s="2">
        <v>10</v>
      </c>
      <c r="I161">
        <f t="shared" si="10"/>
        <v>36000</v>
      </c>
      <c r="J161">
        <f t="shared" si="11"/>
        <v>3600</v>
      </c>
      <c r="K161" s="6">
        <f t="shared" si="12"/>
        <v>32400</v>
      </c>
      <c r="L161" s="2">
        <v>28000</v>
      </c>
      <c r="M161" s="6">
        <f>Table1[[#This Row],[Total Sales]]+Table1[[#This Row],[Shipping Fee]]</f>
        <v>60400</v>
      </c>
      <c r="N161" s="2" t="s">
        <v>22</v>
      </c>
      <c r="O161" t="str">
        <f>VLOOKUP(Table1[[#This Row],[Order ID]],Status!A:B, 2,FALSE)</f>
        <v>Completed</v>
      </c>
      <c r="P161" s="2" t="s">
        <v>30</v>
      </c>
      <c r="Q161" s="2">
        <v>1</v>
      </c>
      <c r="R161" s="2" t="s">
        <v>24</v>
      </c>
      <c r="S161" s="11" t="str">
        <f t="shared" si="13"/>
        <v>Rendah</v>
      </c>
      <c r="T161" s="2" t="str">
        <f t="shared" si="14"/>
        <v>Sangat Rendah</v>
      </c>
    </row>
    <row r="162" spans="1:20" ht="15.75" customHeight="1" x14ac:dyDescent="0.3">
      <c r="A162" s="4" t="s">
        <v>2204</v>
      </c>
      <c r="B162" s="3">
        <v>45888.621793981481</v>
      </c>
      <c r="C162" s="2" t="s">
        <v>26</v>
      </c>
      <c r="D162" s="2" t="s">
        <v>27</v>
      </c>
      <c r="E162" s="2" t="s">
        <v>93</v>
      </c>
      <c r="F162" s="2">
        <v>25000</v>
      </c>
      <c r="G162" s="2">
        <v>4</v>
      </c>
      <c r="H162" s="2">
        <v>5</v>
      </c>
      <c r="I162">
        <f t="shared" si="10"/>
        <v>100000</v>
      </c>
      <c r="J162">
        <f t="shared" si="11"/>
        <v>5000</v>
      </c>
      <c r="K162" s="6">
        <f t="shared" si="12"/>
        <v>95000</v>
      </c>
      <c r="L162" s="2">
        <v>17000</v>
      </c>
      <c r="M162" s="6">
        <f>Table1[[#This Row],[Total Sales]]+Table1[[#This Row],[Shipping Fee]]</f>
        <v>112000</v>
      </c>
      <c r="N162" s="2" t="s">
        <v>63</v>
      </c>
      <c r="O162" t="str">
        <f>VLOOKUP(Table1[[#This Row],[Order ID]],Status!A:B, 2,FALSE)</f>
        <v>Completed</v>
      </c>
      <c r="P162" s="2" t="s">
        <v>23</v>
      </c>
      <c r="Q162" s="2">
        <v>5</v>
      </c>
      <c r="R162" s="2" t="s">
        <v>24</v>
      </c>
      <c r="S162" s="11" t="str">
        <f t="shared" si="13"/>
        <v>Bagus</v>
      </c>
      <c r="T162" s="2" t="str">
        <f t="shared" si="14"/>
        <v>Sangat Rendah</v>
      </c>
    </row>
    <row r="163" spans="1:20" ht="15.75" customHeight="1" x14ac:dyDescent="0.3">
      <c r="A163" s="4" t="s">
        <v>2203</v>
      </c>
      <c r="B163" s="3">
        <v>45888.334062499998</v>
      </c>
      <c r="C163" s="2" t="s">
        <v>311</v>
      </c>
      <c r="D163" s="2" t="s">
        <v>116</v>
      </c>
      <c r="E163" s="2" t="s">
        <v>136</v>
      </c>
      <c r="F163" s="2">
        <v>12000</v>
      </c>
      <c r="G163" s="2">
        <v>2</v>
      </c>
      <c r="H163" s="2">
        <v>20</v>
      </c>
      <c r="I163">
        <f t="shared" si="10"/>
        <v>24000</v>
      </c>
      <c r="J163">
        <f t="shared" si="11"/>
        <v>4800</v>
      </c>
      <c r="K163" s="6">
        <f t="shared" si="12"/>
        <v>19200</v>
      </c>
      <c r="L163" s="2">
        <v>72000</v>
      </c>
      <c r="M163" s="6">
        <f>Table1[[#This Row],[Total Sales]]+Table1[[#This Row],[Shipping Fee]]</f>
        <v>91200</v>
      </c>
      <c r="N163" s="2" t="s">
        <v>63</v>
      </c>
      <c r="O163" t="str">
        <f>VLOOKUP(Table1[[#This Row],[Order ID]],Status!A:B, 2,FALSE)</f>
        <v>Completed</v>
      </c>
      <c r="P163" s="2" t="s">
        <v>30</v>
      </c>
      <c r="Q163" s="2">
        <v>1</v>
      </c>
      <c r="R163" s="2" t="s">
        <v>24</v>
      </c>
      <c r="S163" s="11" t="str">
        <f t="shared" si="13"/>
        <v>Rendah</v>
      </c>
      <c r="T163" s="2" t="str">
        <f t="shared" si="14"/>
        <v>Sangat Rendah</v>
      </c>
    </row>
    <row r="164" spans="1:20" ht="15.75" customHeight="1" x14ac:dyDescent="0.3">
      <c r="A164" s="4" t="s">
        <v>2202</v>
      </c>
      <c r="B164" s="3">
        <v>45888.12636574074</v>
      </c>
      <c r="C164" s="2" t="s">
        <v>856</v>
      </c>
      <c r="D164" s="2" t="s">
        <v>244</v>
      </c>
      <c r="E164" s="2" t="s">
        <v>136</v>
      </c>
      <c r="F164" s="2">
        <v>12000</v>
      </c>
      <c r="G164" s="2">
        <v>1</v>
      </c>
      <c r="H164" s="2">
        <v>10</v>
      </c>
      <c r="I164">
        <f t="shared" si="10"/>
        <v>12000</v>
      </c>
      <c r="J164">
        <f t="shared" si="11"/>
        <v>1200</v>
      </c>
      <c r="K164" s="6">
        <f t="shared" si="12"/>
        <v>10800</v>
      </c>
      <c r="L164" s="2">
        <v>80000</v>
      </c>
      <c r="M164" s="6">
        <f>Table1[[#This Row],[Total Sales]]+Table1[[#This Row],[Shipping Fee]]</f>
        <v>90800</v>
      </c>
      <c r="N164" s="2" t="s">
        <v>35</v>
      </c>
      <c r="O164" t="str">
        <f>VLOOKUP(Table1[[#This Row],[Order ID]],Status!A:B, 2,FALSE)</f>
        <v>Completed</v>
      </c>
      <c r="P164" s="2" t="s">
        <v>82</v>
      </c>
      <c r="Q164" s="2">
        <v>4</v>
      </c>
      <c r="R164" s="2" t="s">
        <v>24</v>
      </c>
      <c r="S164" s="11" t="str">
        <f t="shared" si="13"/>
        <v>Bagus</v>
      </c>
      <c r="T164" s="2" t="str">
        <f t="shared" si="14"/>
        <v>Sangat Rendah</v>
      </c>
    </row>
    <row r="165" spans="1:20" ht="15.75" customHeight="1" x14ac:dyDescent="0.3">
      <c r="A165" s="4" t="s">
        <v>2202</v>
      </c>
      <c r="B165" s="3">
        <v>45888.12636574074</v>
      </c>
      <c r="C165" s="2" t="s">
        <v>856</v>
      </c>
      <c r="D165" s="2" t="s">
        <v>244</v>
      </c>
      <c r="E165" s="2" t="s">
        <v>110</v>
      </c>
      <c r="F165" s="2">
        <v>6000</v>
      </c>
      <c r="G165" s="2">
        <v>4</v>
      </c>
      <c r="H165" s="2">
        <v>5</v>
      </c>
      <c r="I165">
        <f t="shared" si="10"/>
        <v>24000</v>
      </c>
      <c r="J165">
        <f t="shared" si="11"/>
        <v>1200</v>
      </c>
      <c r="K165" s="6">
        <f t="shared" si="12"/>
        <v>22800</v>
      </c>
      <c r="L165" s="2">
        <v>0</v>
      </c>
      <c r="M165" s="6">
        <f>Table1[[#This Row],[Total Sales]]+Table1[[#This Row],[Shipping Fee]]</f>
        <v>22800</v>
      </c>
      <c r="N165" s="2" t="s">
        <v>35</v>
      </c>
      <c r="O165" t="str">
        <f>VLOOKUP(Table1[[#This Row],[Order ID]],Status!A:B, 2,FALSE)</f>
        <v>Completed</v>
      </c>
      <c r="P165" s="2" t="s">
        <v>82</v>
      </c>
      <c r="Q165" s="2">
        <v>4</v>
      </c>
      <c r="R165" s="2" t="s">
        <v>24</v>
      </c>
      <c r="S165" s="11" t="str">
        <f t="shared" si="13"/>
        <v>Bagus</v>
      </c>
      <c r="T165" s="2" t="str">
        <f t="shared" si="14"/>
        <v>Sangat Rendah</v>
      </c>
    </row>
    <row r="166" spans="1:20" ht="15.75" customHeight="1" x14ac:dyDescent="0.3">
      <c r="A166" s="4" t="s">
        <v>2201</v>
      </c>
      <c r="B166" s="3">
        <v>45888.047418981478</v>
      </c>
      <c r="C166" s="2" t="s">
        <v>1757</v>
      </c>
      <c r="D166" s="2" t="s">
        <v>74</v>
      </c>
      <c r="E166" s="2" t="s">
        <v>190</v>
      </c>
      <c r="F166" s="2">
        <v>35000</v>
      </c>
      <c r="G166" s="2">
        <v>5</v>
      </c>
      <c r="H166" s="2">
        <v>0</v>
      </c>
      <c r="I166">
        <f t="shared" si="10"/>
        <v>175000</v>
      </c>
      <c r="J166">
        <f t="shared" si="11"/>
        <v>0</v>
      </c>
      <c r="K166" s="6">
        <f t="shared" si="12"/>
        <v>175000</v>
      </c>
      <c r="L166" s="2">
        <v>87000</v>
      </c>
      <c r="M166" s="6">
        <f>Table1[[#This Row],[Total Sales]]+Table1[[#This Row],[Shipping Fee]]</f>
        <v>262000</v>
      </c>
      <c r="N166" s="2" t="s">
        <v>63</v>
      </c>
      <c r="O166" t="str">
        <f>VLOOKUP(Table1[[#This Row],[Order ID]],Status!A:B, 2,FALSE)</f>
        <v>Shipped</v>
      </c>
      <c r="P166" s="2" t="s">
        <v>23</v>
      </c>
      <c r="Q166" s="2">
        <v>4</v>
      </c>
      <c r="R166" s="2" t="s">
        <v>37</v>
      </c>
      <c r="S166" s="11" t="str">
        <f t="shared" si="13"/>
        <v>Bagus</v>
      </c>
      <c r="T166" s="2" t="str">
        <f t="shared" si="14"/>
        <v>Sangat Rendah</v>
      </c>
    </row>
    <row r="167" spans="1:20" ht="15.75" customHeight="1" x14ac:dyDescent="0.3">
      <c r="A167" s="4" t="s">
        <v>2200</v>
      </c>
      <c r="B167" s="3">
        <v>45887.850115740737</v>
      </c>
      <c r="C167" s="2" t="s">
        <v>985</v>
      </c>
      <c r="D167" s="2" t="s">
        <v>53</v>
      </c>
      <c r="E167" s="2" t="s">
        <v>50</v>
      </c>
      <c r="F167" s="2">
        <v>14000</v>
      </c>
      <c r="G167" s="2">
        <v>2</v>
      </c>
      <c r="H167" s="2">
        <v>10</v>
      </c>
      <c r="I167">
        <f t="shared" si="10"/>
        <v>28000</v>
      </c>
      <c r="J167">
        <f t="shared" si="11"/>
        <v>2800</v>
      </c>
      <c r="K167" s="6">
        <f t="shared" si="12"/>
        <v>25200</v>
      </c>
      <c r="L167" s="2">
        <v>18000</v>
      </c>
      <c r="M167" s="6">
        <f>Table1[[#This Row],[Total Sales]]+Table1[[#This Row],[Shipping Fee]]</f>
        <v>43200</v>
      </c>
      <c r="N167" s="2" t="s">
        <v>29</v>
      </c>
      <c r="O167" t="str">
        <f>VLOOKUP(Table1[[#This Row],[Order ID]],Status!A:B, 2,FALSE)</f>
        <v>Shipped</v>
      </c>
      <c r="P167" s="2" t="s">
        <v>46</v>
      </c>
      <c r="Q167" s="2">
        <v>2</v>
      </c>
      <c r="R167" s="2" t="s">
        <v>24</v>
      </c>
      <c r="S167" s="11" t="str">
        <f t="shared" si="13"/>
        <v>Rendah</v>
      </c>
      <c r="T167" s="2" t="str">
        <f t="shared" si="14"/>
        <v>Sangat Rendah</v>
      </c>
    </row>
    <row r="168" spans="1:20" ht="15.75" customHeight="1" x14ac:dyDescent="0.3">
      <c r="A168" s="4" t="s">
        <v>2199</v>
      </c>
      <c r="B168" s="3">
        <v>45887.642928240741</v>
      </c>
      <c r="C168" s="2" t="s">
        <v>468</v>
      </c>
      <c r="D168" s="2" t="s">
        <v>163</v>
      </c>
      <c r="E168" s="2" t="s">
        <v>93</v>
      </c>
      <c r="F168" s="2">
        <v>25000</v>
      </c>
      <c r="G168" s="2">
        <v>4</v>
      </c>
      <c r="H168" s="2">
        <v>20</v>
      </c>
      <c r="I168">
        <f t="shared" si="10"/>
        <v>100000</v>
      </c>
      <c r="J168">
        <f t="shared" si="11"/>
        <v>20000</v>
      </c>
      <c r="K168" s="6">
        <f t="shared" si="12"/>
        <v>80000</v>
      </c>
      <c r="L168" s="2">
        <v>50000</v>
      </c>
      <c r="M168" s="6">
        <f>Table1[[#This Row],[Total Sales]]+Table1[[#This Row],[Shipping Fee]]</f>
        <v>130000</v>
      </c>
      <c r="N168" s="2" t="s">
        <v>63</v>
      </c>
      <c r="O168" t="str">
        <f>VLOOKUP(Table1[[#This Row],[Order ID]],Status!A:B, 2,FALSE)</f>
        <v>Shipped</v>
      </c>
      <c r="P168" s="2" t="s">
        <v>30</v>
      </c>
      <c r="Q168" s="2">
        <v>5</v>
      </c>
      <c r="R168" s="2" t="s">
        <v>24</v>
      </c>
      <c r="S168" s="11" t="str">
        <f t="shared" si="13"/>
        <v>Bagus</v>
      </c>
      <c r="T168" s="2" t="str">
        <f t="shared" si="14"/>
        <v>Normal</v>
      </c>
    </row>
    <row r="169" spans="1:20" ht="15.75" customHeight="1" x14ac:dyDescent="0.3">
      <c r="A169" s="4" t="s">
        <v>2198</v>
      </c>
      <c r="B169" s="3">
        <v>45887.619583333333</v>
      </c>
      <c r="C169" s="2" t="s">
        <v>451</v>
      </c>
      <c r="D169" s="2" t="s">
        <v>116</v>
      </c>
      <c r="E169" s="2" t="s">
        <v>75</v>
      </c>
      <c r="F169" s="2">
        <v>55000</v>
      </c>
      <c r="G169" s="2">
        <v>5</v>
      </c>
      <c r="H169" s="2">
        <v>10</v>
      </c>
      <c r="I169">
        <f t="shared" si="10"/>
        <v>275000</v>
      </c>
      <c r="J169">
        <f t="shared" si="11"/>
        <v>27500</v>
      </c>
      <c r="K169" s="6">
        <f t="shared" si="12"/>
        <v>247500</v>
      </c>
      <c r="L169" s="2">
        <v>72000</v>
      </c>
      <c r="M169" s="6">
        <f>Table1[[#This Row],[Total Sales]]+Table1[[#This Row],[Shipping Fee]]</f>
        <v>319500</v>
      </c>
      <c r="N169" s="2" t="s">
        <v>29</v>
      </c>
      <c r="O169" t="str">
        <f>VLOOKUP(Table1[[#This Row],[Order ID]],Status!A:B, 2,FALSE)</f>
        <v>Completed</v>
      </c>
      <c r="P169" s="2" t="s">
        <v>46</v>
      </c>
      <c r="Q169" s="2">
        <v>4</v>
      </c>
      <c r="R169" s="2" t="s">
        <v>24</v>
      </c>
      <c r="S169" s="11" t="str">
        <f t="shared" si="13"/>
        <v>Bagus</v>
      </c>
      <c r="T169" s="2" t="str">
        <f t="shared" si="14"/>
        <v>Tinggi</v>
      </c>
    </row>
    <row r="170" spans="1:20" ht="15.75" customHeight="1" x14ac:dyDescent="0.3">
      <c r="A170" s="4" t="s">
        <v>2197</v>
      </c>
      <c r="B170" s="3">
        <v>45887.460578703707</v>
      </c>
      <c r="C170" s="2" t="s">
        <v>331</v>
      </c>
      <c r="D170" s="2" t="s">
        <v>20</v>
      </c>
      <c r="E170" s="2" t="s">
        <v>186</v>
      </c>
      <c r="F170" s="2">
        <v>45000</v>
      </c>
      <c r="G170" s="2">
        <v>2</v>
      </c>
      <c r="H170" s="2">
        <v>10</v>
      </c>
      <c r="I170">
        <f t="shared" si="10"/>
        <v>90000</v>
      </c>
      <c r="J170">
        <f t="shared" si="11"/>
        <v>9000</v>
      </c>
      <c r="K170" s="6">
        <f t="shared" si="12"/>
        <v>81000</v>
      </c>
      <c r="L170" s="2">
        <v>15000</v>
      </c>
      <c r="M170" s="6">
        <f>Table1[[#This Row],[Total Sales]]+Table1[[#This Row],[Shipping Fee]]</f>
        <v>96000</v>
      </c>
      <c r="N170" s="2" t="s">
        <v>35</v>
      </c>
      <c r="O170" t="str">
        <f>VLOOKUP(Table1[[#This Row],[Order ID]],Status!A:B, 2,FALSE)</f>
        <v>Completed</v>
      </c>
      <c r="P170" s="2" t="s">
        <v>36</v>
      </c>
      <c r="Q170" s="2">
        <v>5</v>
      </c>
      <c r="R170" s="2" t="s">
        <v>37</v>
      </c>
      <c r="S170" s="11" t="str">
        <f t="shared" si="13"/>
        <v>Bagus</v>
      </c>
      <c r="T170" s="2" t="str">
        <f t="shared" si="14"/>
        <v>Rendah</v>
      </c>
    </row>
    <row r="171" spans="1:20" ht="15.75" customHeight="1" x14ac:dyDescent="0.3">
      <c r="A171" s="4" t="s">
        <v>2196</v>
      </c>
      <c r="B171" s="3">
        <v>45887.202337962961</v>
      </c>
      <c r="C171" s="2" t="s">
        <v>194</v>
      </c>
      <c r="D171" s="2" t="s">
        <v>195</v>
      </c>
      <c r="E171" s="2" t="s">
        <v>34</v>
      </c>
      <c r="F171" s="2">
        <v>16000</v>
      </c>
      <c r="G171" s="2">
        <v>4</v>
      </c>
      <c r="H171" s="2">
        <v>5</v>
      </c>
      <c r="I171">
        <f t="shared" si="10"/>
        <v>64000</v>
      </c>
      <c r="J171">
        <f t="shared" si="11"/>
        <v>3200</v>
      </c>
      <c r="K171" s="6">
        <f t="shared" si="12"/>
        <v>60800</v>
      </c>
      <c r="L171" s="2">
        <v>87000</v>
      </c>
      <c r="M171" s="6">
        <f>Table1[[#This Row],[Total Sales]]+Table1[[#This Row],[Shipping Fee]]</f>
        <v>147800</v>
      </c>
      <c r="N171" s="2" t="s">
        <v>29</v>
      </c>
      <c r="O171" t="str">
        <f>VLOOKUP(Table1[[#This Row],[Order ID]],Status!A:B, 2,FALSE)</f>
        <v>Pending</v>
      </c>
      <c r="P171" s="2" t="s">
        <v>23</v>
      </c>
      <c r="Q171" s="2">
        <v>4</v>
      </c>
      <c r="R171" s="2" t="s">
        <v>24</v>
      </c>
      <c r="S171" s="11" t="str">
        <f t="shared" si="13"/>
        <v>Bagus</v>
      </c>
      <c r="T171" s="2" t="str">
        <f t="shared" si="14"/>
        <v>Sangat Rendah</v>
      </c>
    </row>
    <row r="172" spans="1:20" ht="15.75" customHeight="1" x14ac:dyDescent="0.3">
      <c r="A172" s="4" t="s">
        <v>2194</v>
      </c>
      <c r="B172" s="3">
        <v>45886.835694444453</v>
      </c>
      <c r="C172" s="2" t="s">
        <v>2195</v>
      </c>
      <c r="D172" s="2" t="s">
        <v>238</v>
      </c>
      <c r="E172" s="2" t="s">
        <v>41</v>
      </c>
      <c r="F172" s="2">
        <v>4000</v>
      </c>
      <c r="G172" s="2">
        <v>5</v>
      </c>
      <c r="H172" s="2">
        <v>5</v>
      </c>
      <c r="I172">
        <f t="shared" si="10"/>
        <v>20000</v>
      </c>
      <c r="J172">
        <f t="shared" si="11"/>
        <v>1000</v>
      </c>
      <c r="K172" s="6">
        <f t="shared" si="12"/>
        <v>19000</v>
      </c>
      <c r="L172" s="2">
        <v>28000</v>
      </c>
      <c r="M172" s="6">
        <f>Table1[[#This Row],[Total Sales]]+Table1[[#This Row],[Shipping Fee]]</f>
        <v>47000</v>
      </c>
      <c r="N172" s="2" t="s">
        <v>29</v>
      </c>
      <c r="O172" t="str">
        <f>VLOOKUP(Table1[[#This Row],[Order ID]],Status!A:B, 2,FALSE)</f>
        <v>Pending</v>
      </c>
      <c r="P172" s="2" t="s">
        <v>23</v>
      </c>
      <c r="Q172" s="2">
        <v>1</v>
      </c>
      <c r="R172" s="2" t="s">
        <v>24</v>
      </c>
      <c r="S172" s="11" t="str">
        <f t="shared" si="13"/>
        <v>Rendah</v>
      </c>
      <c r="T172" s="2" t="str">
        <f t="shared" si="14"/>
        <v>Sangat Rendah</v>
      </c>
    </row>
    <row r="173" spans="1:20" ht="15.75" customHeight="1" x14ac:dyDescent="0.3">
      <c r="A173" s="4" t="s">
        <v>2193</v>
      </c>
      <c r="B173" s="3">
        <v>45886.809108796297</v>
      </c>
      <c r="C173" s="2" t="s">
        <v>218</v>
      </c>
      <c r="D173" s="2" t="s">
        <v>170</v>
      </c>
      <c r="E173" s="2" t="s">
        <v>62</v>
      </c>
      <c r="F173" s="2">
        <v>50000</v>
      </c>
      <c r="G173" s="2">
        <v>3</v>
      </c>
      <c r="H173" s="2">
        <v>15</v>
      </c>
      <c r="I173">
        <f t="shared" si="10"/>
        <v>150000</v>
      </c>
      <c r="J173">
        <f t="shared" si="11"/>
        <v>22500</v>
      </c>
      <c r="K173" s="6">
        <f t="shared" si="12"/>
        <v>127500</v>
      </c>
      <c r="L173" s="2">
        <v>46000</v>
      </c>
      <c r="M173" s="6">
        <f>Table1[[#This Row],[Total Sales]]+Table1[[#This Row],[Shipping Fee]]</f>
        <v>173500</v>
      </c>
      <c r="N173" s="2" t="s">
        <v>22</v>
      </c>
      <c r="O173" t="str">
        <f>VLOOKUP(Table1[[#This Row],[Order ID]],Status!A:B, 2,FALSE)</f>
        <v>Completed</v>
      </c>
      <c r="P173" s="2" t="s">
        <v>30</v>
      </c>
      <c r="Q173" s="2">
        <v>2</v>
      </c>
      <c r="R173" s="2" t="s">
        <v>24</v>
      </c>
      <c r="S173" s="11" t="str">
        <f t="shared" si="13"/>
        <v>Rendah</v>
      </c>
      <c r="T173" s="2" t="str">
        <f t="shared" si="14"/>
        <v>Tinggi</v>
      </c>
    </row>
    <row r="174" spans="1:20" ht="15.75" customHeight="1" x14ac:dyDescent="0.3">
      <c r="A174" s="4" t="s">
        <v>2192</v>
      </c>
      <c r="B174" s="3">
        <v>45886.649131944447</v>
      </c>
      <c r="C174" s="2" t="s">
        <v>441</v>
      </c>
      <c r="D174" s="2" t="s">
        <v>116</v>
      </c>
      <c r="E174" s="2" t="s">
        <v>110</v>
      </c>
      <c r="F174" s="2">
        <v>6000</v>
      </c>
      <c r="G174" s="2">
        <v>5</v>
      </c>
      <c r="H174" s="2">
        <v>0</v>
      </c>
      <c r="I174">
        <f t="shared" si="10"/>
        <v>30000</v>
      </c>
      <c r="J174">
        <f t="shared" si="11"/>
        <v>0</v>
      </c>
      <c r="K174" s="6">
        <f t="shared" si="12"/>
        <v>30000</v>
      </c>
      <c r="L174" s="2">
        <v>72000</v>
      </c>
      <c r="M174" s="6">
        <f>Table1[[#This Row],[Total Sales]]+Table1[[#This Row],[Shipping Fee]]</f>
        <v>102000</v>
      </c>
      <c r="N174" s="2" t="s">
        <v>22</v>
      </c>
      <c r="O174" t="str">
        <f>VLOOKUP(Table1[[#This Row],[Order ID]],Status!A:B, 2,FALSE)</f>
        <v>Pending</v>
      </c>
      <c r="P174" s="2" t="s">
        <v>82</v>
      </c>
      <c r="Q174" s="2">
        <v>2</v>
      </c>
      <c r="R174" s="2" t="s">
        <v>37</v>
      </c>
      <c r="S174" s="11" t="str">
        <f t="shared" si="13"/>
        <v>Rendah</v>
      </c>
      <c r="T174" s="2" t="str">
        <f t="shared" si="14"/>
        <v>Sangat Rendah</v>
      </c>
    </row>
    <row r="175" spans="1:20" ht="15.75" customHeight="1" x14ac:dyDescent="0.3">
      <c r="A175" s="4" t="s">
        <v>2191</v>
      </c>
      <c r="B175" s="3">
        <v>45886.488275462973</v>
      </c>
      <c r="C175" s="2" t="s">
        <v>1066</v>
      </c>
      <c r="D175" s="2" t="s">
        <v>113</v>
      </c>
      <c r="E175" s="2" t="s">
        <v>110</v>
      </c>
      <c r="F175" s="2">
        <v>6000</v>
      </c>
      <c r="G175" s="2">
        <v>3</v>
      </c>
      <c r="H175" s="2">
        <v>15</v>
      </c>
      <c r="I175">
        <f t="shared" si="10"/>
        <v>18000</v>
      </c>
      <c r="J175">
        <f t="shared" si="11"/>
        <v>2700</v>
      </c>
      <c r="K175" s="6">
        <f t="shared" si="12"/>
        <v>15300</v>
      </c>
      <c r="L175" s="2">
        <v>18000</v>
      </c>
      <c r="M175" s="6">
        <f>Table1[[#This Row],[Total Sales]]+Table1[[#This Row],[Shipping Fee]]</f>
        <v>33300</v>
      </c>
      <c r="N175" s="2" t="s">
        <v>22</v>
      </c>
      <c r="O175" t="str">
        <f>VLOOKUP(Table1[[#This Row],[Order ID]],Status!A:B, 2,FALSE)</f>
        <v>Shipped</v>
      </c>
      <c r="P175" s="2" t="s">
        <v>82</v>
      </c>
      <c r="Q175" s="2">
        <v>4</v>
      </c>
      <c r="R175" s="2" t="s">
        <v>24</v>
      </c>
      <c r="S175" s="11" t="str">
        <f t="shared" si="13"/>
        <v>Bagus</v>
      </c>
      <c r="T175" s="2" t="str">
        <f t="shared" si="14"/>
        <v>Sangat Rendah</v>
      </c>
    </row>
    <row r="176" spans="1:20" ht="15.75" customHeight="1" x14ac:dyDescent="0.3">
      <c r="A176" s="4" t="s">
        <v>2190</v>
      </c>
      <c r="B176" s="3">
        <v>45886.373888888891</v>
      </c>
      <c r="C176" s="2" t="s">
        <v>1098</v>
      </c>
      <c r="D176" s="2" t="s">
        <v>126</v>
      </c>
      <c r="E176" s="2" t="s">
        <v>174</v>
      </c>
      <c r="F176" s="2">
        <v>10000</v>
      </c>
      <c r="G176" s="2">
        <v>4</v>
      </c>
      <c r="H176" s="2">
        <v>20</v>
      </c>
      <c r="I176">
        <f t="shared" si="10"/>
        <v>40000</v>
      </c>
      <c r="J176">
        <f t="shared" si="11"/>
        <v>8000</v>
      </c>
      <c r="K176" s="6">
        <f t="shared" si="12"/>
        <v>32000</v>
      </c>
      <c r="L176" s="2">
        <v>84000</v>
      </c>
      <c r="M176" s="6">
        <f>Table1[[#This Row],[Total Sales]]+Table1[[#This Row],[Shipping Fee]]</f>
        <v>116000</v>
      </c>
      <c r="N176" s="2" t="s">
        <v>35</v>
      </c>
      <c r="O176" t="str">
        <f>VLOOKUP(Table1[[#This Row],[Order ID]],Status!A:B, 2,FALSE)</f>
        <v>Completed</v>
      </c>
      <c r="P176" s="2" t="s">
        <v>30</v>
      </c>
      <c r="Q176" s="2">
        <v>1</v>
      </c>
      <c r="R176" s="2" t="s">
        <v>37</v>
      </c>
      <c r="S176" s="11" t="str">
        <f t="shared" si="13"/>
        <v>Rendah</v>
      </c>
      <c r="T176" s="2" t="str">
        <f t="shared" si="14"/>
        <v>Rendah</v>
      </c>
    </row>
    <row r="177" spans="1:20" ht="15.75" customHeight="1" x14ac:dyDescent="0.3">
      <c r="A177" s="4" t="s">
        <v>2189</v>
      </c>
      <c r="B177" s="3">
        <v>45886.232314814813</v>
      </c>
      <c r="C177" s="2" t="s">
        <v>774</v>
      </c>
      <c r="D177" s="2" t="s">
        <v>262</v>
      </c>
      <c r="E177" s="2" t="s">
        <v>50</v>
      </c>
      <c r="F177" s="2">
        <v>14000</v>
      </c>
      <c r="G177" s="2">
        <v>3</v>
      </c>
      <c r="H177" s="2">
        <v>0</v>
      </c>
      <c r="I177">
        <f t="shared" si="10"/>
        <v>42000</v>
      </c>
      <c r="J177">
        <f t="shared" si="11"/>
        <v>0</v>
      </c>
      <c r="K177" s="6">
        <f t="shared" si="12"/>
        <v>42000</v>
      </c>
      <c r="L177" s="2">
        <v>18000</v>
      </c>
      <c r="M177" s="6">
        <f>Table1[[#This Row],[Total Sales]]+Table1[[#This Row],[Shipping Fee]]</f>
        <v>60000</v>
      </c>
      <c r="N177" s="2" t="s">
        <v>22</v>
      </c>
      <c r="O177" t="str">
        <f>VLOOKUP(Table1[[#This Row],[Order ID]],Status!A:B, 2,FALSE)</f>
        <v>Completed</v>
      </c>
      <c r="P177" s="2" t="s">
        <v>36</v>
      </c>
      <c r="Q177" s="2">
        <v>5</v>
      </c>
      <c r="R177" s="2" t="s">
        <v>24</v>
      </c>
      <c r="S177" s="11" t="str">
        <f t="shared" si="13"/>
        <v>Bagus</v>
      </c>
      <c r="T177" s="2" t="str">
        <f t="shared" si="14"/>
        <v>Sangat Rendah</v>
      </c>
    </row>
    <row r="178" spans="1:20" ht="15.75" customHeight="1" x14ac:dyDescent="0.3">
      <c r="A178" s="4" t="s">
        <v>2188</v>
      </c>
      <c r="B178" s="3">
        <v>45886.194131944438</v>
      </c>
      <c r="C178" s="2" t="s">
        <v>283</v>
      </c>
      <c r="D178" s="2" t="s">
        <v>92</v>
      </c>
      <c r="E178" s="2" t="s">
        <v>174</v>
      </c>
      <c r="F178" s="2">
        <v>10000</v>
      </c>
      <c r="G178" s="2">
        <v>2</v>
      </c>
      <c r="H178" s="2">
        <v>5</v>
      </c>
      <c r="I178">
        <f t="shared" si="10"/>
        <v>20000</v>
      </c>
      <c r="J178">
        <f t="shared" si="11"/>
        <v>1000</v>
      </c>
      <c r="K178" s="6">
        <f t="shared" si="12"/>
        <v>19000</v>
      </c>
      <c r="L178" s="2">
        <v>30000</v>
      </c>
      <c r="M178" s="6">
        <f>Table1[[#This Row],[Total Sales]]+Table1[[#This Row],[Shipping Fee]]</f>
        <v>49000</v>
      </c>
      <c r="N178" s="2" t="s">
        <v>63</v>
      </c>
      <c r="O178" t="str">
        <f>VLOOKUP(Table1[[#This Row],[Order ID]],Status!A:B, 2,FALSE)</f>
        <v>Cancelled</v>
      </c>
      <c r="P178" s="2" t="s">
        <v>36</v>
      </c>
      <c r="Q178" s="2">
        <v>5</v>
      </c>
      <c r="R178" s="2" t="s">
        <v>24</v>
      </c>
      <c r="S178" s="11" t="str">
        <f t="shared" si="13"/>
        <v>Bagus</v>
      </c>
      <c r="T178" s="2" t="str">
        <f t="shared" si="14"/>
        <v>Sangat Rendah</v>
      </c>
    </row>
    <row r="179" spans="1:20" ht="15.75" customHeight="1" x14ac:dyDescent="0.3">
      <c r="A179" s="4" t="s">
        <v>2188</v>
      </c>
      <c r="B179" s="3">
        <v>45886.194131944438</v>
      </c>
      <c r="C179" s="2" t="s">
        <v>283</v>
      </c>
      <c r="D179" s="2" t="s">
        <v>92</v>
      </c>
      <c r="E179" s="2" t="s">
        <v>38</v>
      </c>
      <c r="F179" s="2">
        <v>28000</v>
      </c>
      <c r="G179" s="2">
        <v>2</v>
      </c>
      <c r="H179" s="2">
        <v>0</v>
      </c>
      <c r="I179">
        <f t="shared" si="10"/>
        <v>56000</v>
      </c>
      <c r="J179">
        <f t="shared" si="11"/>
        <v>0</v>
      </c>
      <c r="K179" s="6">
        <f t="shared" si="12"/>
        <v>56000</v>
      </c>
      <c r="L179" s="2">
        <v>0</v>
      </c>
      <c r="M179" s="6">
        <f>Table1[[#This Row],[Total Sales]]+Table1[[#This Row],[Shipping Fee]]</f>
        <v>56000</v>
      </c>
      <c r="N179" s="2" t="s">
        <v>63</v>
      </c>
      <c r="O179" t="str">
        <f>VLOOKUP(Table1[[#This Row],[Order ID]],Status!A:B, 2,FALSE)</f>
        <v>Cancelled</v>
      </c>
      <c r="P179" s="2" t="s">
        <v>36</v>
      </c>
      <c r="Q179" s="2">
        <v>5</v>
      </c>
      <c r="R179" s="2" t="s">
        <v>24</v>
      </c>
      <c r="S179" s="11" t="str">
        <f t="shared" si="13"/>
        <v>Bagus</v>
      </c>
      <c r="T179" s="2" t="str">
        <f t="shared" si="14"/>
        <v>Sangat Rendah</v>
      </c>
    </row>
    <row r="180" spans="1:20" ht="15.75" customHeight="1" x14ac:dyDescent="0.3">
      <c r="A180" s="4" t="s">
        <v>2187</v>
      </c>
      <c r="B180" s="3">
        <v>45886.046724537038</v>
      </c>
      <c r="C180" s="2" t="s">
        <v>464</v>
      </c>
      <c r="D180" s="2" t="s">
        <v>296</v>
      </c>
      <c r="E180" s="2" t="s">
        <v>38</v>
      </c>
      <c r="F180" s="2">
        <v>28000</v>
      </c>
      <c r="G180" s="2">
        <v>3</v>
      </c>
      <c r="H180" s="2">
        <v>0</v>
      </c>
      <c r="I180">
        <f t="shared" si="10"/>
        <v>84000</v>
      </c>
      <c r="J180">
        <f t="shared" si="11"/>
        <v>0</v>
      </c>
      <c r="K180" s="6">
        <f t="shared" si="12"/>
        <v>84000</v>
      </c>
      <c r="L180" s="2">
        <v>79000</v>
      </c>
      <c r="M180" s="6">
        <f>Table1[[#This Row],[Total Sales]]+Table1[[#This Row],[Shipping Fee]]</f>
        <v>163000</v>
      </c>
      <c r="N180" s="2" t="s">
        <v>29</v>
      </c>
      <c r="O180" t="str">
        <f>VLOOKUP(Table1[[#This Row],[Order ID]],Status!A:B, 2,FALSE)</f>
        <v>Returned</v>
      </c>
      <c r="P180" s="2" t="s">
        <v>46</v>
      </c>
      <c r="Q180" s="2">
        <v>4</v>
      </c>
      <c r="R180" s="2" t="s">
        <v>37</v>
      </c>
      <c r="S180" s="11" t="str">
        <f t="shared" si="13"/>
        <v>Bagus</v>
      </c>
      <c r="T180" s="2" t="str">
        <f t="shared" si="14"/>
        <v>Sangat Rendah</v>
      </c>
    </row>
    <row r="181" spans="1:20" ht="15.75" customHeight="1" x14ac:dyDescent="0.3">
      <c r="A181" s="4" t="s">
        <v>2186</v>
      </c>
      <c r="B181" s="3">
        <v>45886.045578703714</v>
      </c>
      <c r="C181" s="2" t="s">
        <v>443</v>
      </c>
      <c r="D181" s="2" t="s">
        <v>53</v>
      </c>
      <c r="E181" s="2" t="s">
        <v>71</v>
      </c>
      <c r="F181" s="2">
        <v>40000</v>
      </c>
      <c r="G181" s="2">
        <v>2</v>
      </c>
      <c r="H181" s="2">
        <v>15</v>
      </c>
      <c r="I181">
        <f t="shared" si="10"/>
        <v>80000</v>
      </c>
      <c r="J181">
        <f t="shared" si="11"/>
        <v>12000</v>
      </c>
      <c r="K181" s="6">
        <f t="shared" si="12"/>
        <v>68000</v>
      </c>
      <c r="L181" s="2">
        <v>18000</v>
      </c>
      <c r="M181" s="6">
        <f>Table1[[#This Row],[Total Sales]]+Table1[[#This Row],[Shipping Fee]]</f>
        <v>86000</v>
      </c>
      <c r="N181" s="2" t="s">
        <v>29</v>
      </c>
      <c r="O181" t="str">
        <f>VLOOKUP(Table1[[#This Row],[Order ID]],Status!A:B, 2,FALSE)</f>
        <v>Shipped</v>
      </c>
      <c r="P181" s="2" t="s">
        <v>30</v>
      </c>
      <c r="Q181" s="2">
        <v>1</v>
      </c>
      <c r="R181" s="2" t="s">
        <v>24</v>
      </c>
      <c r="S181" s="11" t="str">
        <f t="shared" si="13"/>
        <v>Rendah</v>
      </c>
      <c r="T181" s="2" t="str">
        <f t="shared" si="14"/>
        <v>Normal</v>
      </c>
    </row>
    <row r="182" spans="1:20" ht="15.75" customHeight="1" x14ac:dyDescent="0.3">
      <c r="A182" s="4" t="s">
        <v>2185</v>
      </c>
      <c r="B182" s="3">
        <v>45885.877523148149</v>
      </c>
      <c r="C182" s="2" t="s">
        <v>2080</v>
      </c>
      <c r="D182" s="2" t="s">
        <v>262</v>
      </c>
      <c r="E182" s="2" t="s">
        <v>110</v>
      </c>
      <c r="F182" s="2">
        <v>6000</v>
      </c>
      <c r="G182" s="2">
        <v>4</v>
      </c>
      <c r="H182" s="2">
        <v>20</v>
      </c>
      <c r="I182">
        <f t="shared" si="10"/>
        <v>24000</v>
      </c>
      <c r="J182">
        <f t="shared" si="11"/>
        <v>4800</v>
      </c>
      <c r="K182" s="6">
        <f t="shared" si="12"/>
        <v>19200</v>
      </c>
      <c r="L182" s="2">
        <v>18000</v>
      </c>
      <c r="M182" s="6">
        <f>Table1[[#This Row],[Total Sales]]+Table1[[#This Row],[Shipping Fee]]</f>
        <v>37200</v>
      </c>
      <c r="N182" s="2" t="s">
        <v>22</v>
      </c>
      <c r="O182" t="str">
        <f>VLOOKUP(Table1[[#This Row],[Order ID]],Status!A:B, 2,FALSE)</f>
        <v>Cancelled</v>
      </c>
      <c r="P182" s="2" t="s">
        <v>46</v>
      </c>
      <c r="Q182" s="2">
        <v>1</v>
      </c>
      <c r="R182" s="2" t="s">
        <v>24</v>
      </c>
      <c r="S182" s="11" t="str">
        <f t="shared" si="13"/>
        <v>Rendah</v>
      </c>
      <c r="T182" s="2" t="str">
        <f t="shared" si="14"/>
        <v>Sangat Rendah</v>
      </c>
    </row>
    <row r="183" spans="1:20" ht="15.75" customHeight="1" x14ac:dyDescent="0.3">
      <c r="A183" s="4" t="s">
        <v>2184</v>
      </c>
      <c r="B183" s="3">
        <v>45885.823240740741</v>
      </c>
      <c r="C183" s="2" t="s">
        <v>233</v>
      </c>
      <c r="D183" s="2" t="s">
        <v>113</v>
      </c>
      <c r="E183" s="2" t="s">
        <v>21</v>
      </c>
      <c r="F183" s="2">
        <v>45000</v>
      </c>
      <c r="G183" s="2">
        <v>3</v>
      </c>
      <c r="H183" s="2">
        <v>0</v>
      </c>
      <c r="I183">
        <f t="shared" si="10"/>
        <v>135000</v>
      </c>
      <c r="J183">
        <f t="shared" si="11"/>
        <v>0</v>
      </c>
      <c r="K183" s="6">
        <f t="shared" si="12"/>
        <v>135000</v>
      </c>
      <c r="L183" s="2">
        <v>18000</v>
      </c>
      <c r="M183" s="6">
        <f>Table1[[#This Row],[Total Sales]]+Table1[[#This Row],[Shipping Fee]]</f>
        <v>153000</v>
      </c>
      <c r="N183" s="2" t="s">
        <v>63</v>
      </c>
      <c r="O183" t="str">
        <f>VLOOKUP(Table1[[#This Row],[Order ID]],Status!A:B, 2,FALSE)</f>
        <v>Pending</v>
      </c>
      <c r="P183" s="2" t="s">
        <v>30</v>
      </c>
      <c r="Q183" s="2">
        <v>3</v>
      </c>
      <c r="R183" s="2" t="s">
        <v>37</v>
      </c>
      <c r="S183" s="11" t="str">
        <f t="shared" si="13"/>
        <v>Standar</v>
      </c>
      <c r="T183" s="2" t="str">
        <f t="shared" si="14"/>
        <v>Sangat Rendah</v>
      </c>
    </row>
    <row r="184" spans="1:20" ht="15.75" customHeight="1" x14ac:dyDescent="0.3">
      <c r="A184" s="4" t="s">
        <v>2183</v>
      </c>
      <c r="B184" s="3">
        <v>45885.71199074074</v>
      </c>
      <c r="C184" s="2" t="s">
        <v>1087</v>
      </c>
      <c r="D184" s="2" t="s">
        <v>143</v>
      </c>
      <c r="E184" s="2" t="s">
        <v>28</v>
      </c>
      <c r="F184" s="2">
        <v>5000</v>
      </c>
      <c r="G184" s="2">
        <v>2</v>
      </c>
      <c r="H184" s="2">
        <v>15</v>
      </c>
      <c r="I184">
        <f t="shared" si="10"/>
        <v>10000</v>
      </c>
      <c r="J184">
        <f t="shared" si="11"/>
        <v>1500</v>
      </c>
      <c r="K184" s="6">
        <f t="shared" si="12"/>
        <v>8500</v>
      </c>
      <c r="L184" s="2">
        <v>50000</v>
      </c>
      <c r="M184" s="6">
        <f>Table1[[#This Row],[Total Sales]]+Table1[[#This Row],[Shipping Fee]]</f>
        <v>58500</v>
      </c>
      <c r="N184" s="2" t="s">
        <v>35</v>
      </c>
      <c r="O184" t="str">
        <f>VLOOKUP(Table1[[#This Row],[Order ID]],Status!A:B, 2,FALSE)</f>
        <v>Completed</v>
      </c>
      <c r="P184" s="2" t="s">
        <v>30</v>
      </c>
      <c r="Q184" s="2">
        <v>5</v>
      </c>
      <c r="R184" s="2" t="s">
        <v>24</v>
      </c>
      <c r="S184" s="11" t="str">
        <f t="shared" si="13"/>
        <v>Bagus</v>
      </c>
      <c r="T184" s="2" t="str">
        <f t="shared" si="14"/>
        <v>Sangat Rendah</v>
      </c>
    </row>
    <row r="185" spans="1:20" ht="15.75" customHeight="1" x14ac:dyDescent="0.3">
      <c r="A185" s="4" t="s">
        <v>2182</v>
      </c>
      <c r="B185" s="3">
        <v>45885.601134259261</v>
      </c>
      <c r="C185" s="2" t="s">
        <v>499</v>
      </c>
      <c r="D185" s="2" t="s">
        <v>131</v>
      </c>
      <c r="E185" s="2" t="s">
        <v>190</v>
      </c>
      <c r="F185" s="2">
        <v>35000</v>
      </c>
      <c r="G185" s="2">
        <v>4</v>
      </c>
      <c r="H185" s="2">
        <v>0</v>
      </c>
      <c r="I185">
        <f t="shared" si="10"/>
        <v>140000</v>
      </c>
      <c r="J185">
        <f t="shared" si="11"/>
        <v>0</v>
      </c>
      <c r="K185" s="6">
        <f t="shared" si="12"/>
        <v>140000</v>
      </c>
      <c r="L185" s="2">
        <v>59000</v>
      </c>
      <c r="M185" s="6">
        <f>Table1[[#This Row],[Total Sales]]+Table1[[#This Row],[Shipping Fee]]</f>
        <v>199000</v>
      </c>
      <c r="N185" s="2" t="s">
        <v>35</v>
      </c>
      <c r="O185" t="str">
        <f>VLOOKUP(Table1[[#This Row],[Order ID]],Status!A:B, 2,FALSE)</f>
        <v>Completed</v>
      </c>
      <c r="P185" s="2" t="s">
        <v>30</v>
      </c>
      <c r="Q185" s="2">
        <v>1</v>
      </c>
      <c r="R185" s="2" t="s">
        <v>24</v>
      </c>
      <c r="S185" s="11" t="str">
        <f t="shared" si="13"/>
        <v>Rendah</v>
      </c>
      <c r="T185" s="2" t="str">
        <f t="shared" si="14"/>
        <v>Sangat Rendah</v>
      </c>
    </row>
    <row r="186" spans="1:20" ht="15.75" customHeight="1" x14ac:dyDescent="0.3">
      <c r="A186" s="4" t="s">
        <v>2181</v>
      </c>
      <c r="B186" s="3">
        <v>45885.577060185176</v>
      </c>
      <c r="C186" s="2" t="s">
        <v>486</v>
      </c>
      <c r="D186" s="2" t="s">
        <v>182</v>
      </c>
      <c r="E186" s="2" t="s">
        <v>45</v>
      </c>
      <c r="F186" s="2">
        <v>40000</v>
      </c>
      <c r="G186" s="2">
        <v>2</v>
      </c>
      <c r="H186" s="2">
        <v>15</v>
      </c>
      <c r="I186">
        <f t="shared" si="10"/>
        <v>80000</v>
      </c>
      <c r="J186">
        <f t="shared" si="11"/>
        <v>12000</v>
      </c>
      <c r="K186" s="6">
        <f t="shared" si="12"/>
        <v>68000</v>
      </c>
      <c r="L186" s="2">
        <v>48000</v>
      </c>
      <c r="M186" s="6">
        <f>Table1[[#This Row],[Total Sales]]+Table1[[#This Row],[Shipping Fee]]</f>
        <v>116000</v>
      </c>
      <c r="N186" s="2" t="s">
        <v>63</v>
      </c>
      <c r="O186" t="str">
        <f>VLOOKUP(Table1[[#This Row],[Order ID]],Status!A:B, 2,FALSE)</f>
        <v>Pending</v>
      </c>
      <c r="P186" s="2" t="s">
        <v>46</v>
      </c>
      <c r="Q186" s="2">
        <v>3</v>
      </c>
      <c r="R186" s="2" t="s">
        <v>24</v>
      </c>
      <c r="S186" s="11" t="str">
        <f t="shared" si="13"/>
        <v>Standar</v>
      </c>
      <c r="T186" s="2" t="str">
        <f t="shared" si="14"/>
        <v>Normal</v>
      </c>
    </row>
    <row r="187" spans="1:20" ht="15.75" customHeight="1" x14ac:dyDescent="0.3">
      <c r="A187" s="4" t="s">
        <v>2180</v>
      </c>
      <c r="B187" s="3">
        <v>45885.09584490741</v>
      </c>
      <c r="C187" s="2" t="s">
        <v>1270</v>
      </c>
      <c r="D187" s="2" t="s">
        <v>182</v>
      </c>
      <c r="E187" s="2" t="s">
        <v>85</v>
      </c>
      <c r="F187" s="2">
        <v>35000</v>
      </c>
      <c r="G187" s="2">
        <v>3</v>
      </c>
      <c r="H187" s="2">
        <v>15</v>
      </c>
      <c r="I187">
        <f t="shared" si="10"/>
        <v>105000</v>
      </c>
      <c r="J187">
        <f t="shared" si="11"/>
        <v>15750</v>
      </c>
      <c r="K187" s="6">
        <f t="shared" si="12"/>
        <v>89250</v>
      </c>
      <c r="L187" s="2">
        <v>48000</v>
      </c>
      <c r="M187" s="6">
        <f>Table1[[#This Row],[Total Sales]]+Table1[[#This Row],[Shipping Fee]]</f>
        <v>137250</v>
      </c>
      <c r="N187" s="2" t="s">
        <v>63</v>
      </c>
      <c r="O187" t="str">
        <f>VLOOKUP(Table1[[#This Row],[Order ID]],Status!A:B, 2,FALSE)</f>
        <v>Pending</v>
      </c>
      <c r="P187" s="2" t="s">
        <v>82</v>
      </c>
      <c r="Q187" s="2">
        <v>5</v>
      </c>
      <c r="R187" s="2" t="s">
        <v>24</v>
      </c>
      <c r="S187" s="11" t="str">
        <f t="shared" si="13"/>
        <v>Bagus</v>
      </c>
      <c r="T187" s="2" t="str">
        <f t="shared" si="14"/>
        <v>Normal</v>
      </c>
    </row>
    <row r="188" spans="1:20" ht="15.75" customHeight="1" x14ac:dyDescent="0.3">
      <c r="A188" s="4" t="s">
        <v>2179</v>
      </c>
      <c r="B188" s="3">
        <v>45885.059756944444</v>
      </c>
      <c r="C188" s="2" t="s">
        <v>1130</v>
      </c>
      <c r="D188" s="2" t="s">
        <v>122</v>
      </c>
      <c r="E188" s="2" t="s">
        <v>123</v>
      </c>
      <c r="F188" s="2">
        <v>22000</v>
      </c>
      <c r="G188" s="2">
        <v>5</v>
      </c>
      <c r="H188" s="2">
        <v>0</v>
      </c>
      <c r="I188">
        <f t="shared" si="10"/>
        <v>110000</v>
      </c>
      <c r="J188">
        <f t="shared" si="11"/>
        <v>0</v>
      </c>
      <c r="K188" s="6">
        <f t="shared" si="12"/>
        <v>110000</v>
      </c>
      <c r="L188" s="2">
        <v>78000</v>
      </c>
      <c r="M188" s="6">
        <f>Table1[[#This Row],[Total Sales]]+Table1[[#This Row],[Shipping Fee]]</f>
        <v>188000</v>
      </c>
      <c r="N188" s="2" t="s">
        <v>22</v>
      </c>
      <c r="O188" t="str">
        <f>VLOOKUP(Table1[[#This Row],[Order ID]],Status!A:B, 2,FALSE)</f>
        <v>Shipped</v>
      </c>
      <c r="P188" s="2" t="s">
        <v>23</v>
      </c>
      <c r="Q188" s="2">
        <v>2</v>
      </c>
      <c r="R188" s="2" t="s">
        <v>24</v>
      </c>
      <c r="S188" s="11" t="str">
        <f t="shared" si="13"/>
        <v>Rendah</v>
      </c>
      <c r="T188" s="2" t="str">
        <f t="shared" si="14"/>
        <v>Sangat Rendah</v>
      </c>
    </row>
    <row r="189" spans="1:20" ht="15.75" customHeight="1" x14ac:dyDescent="0.3">
      <c r="A189" s="4" t="s">
        <v>2178</v>
      </c>
      <c r="B189" s="3">
        <v>45884.947256944448</v>
      </c>
      <c r="C189" s="2" t="s">
        <v>1741</v>
      </c>
      <c r="D189" s="2" t="s">
        <v>44</v>
      </c>
      <c r="E189" s="2" t="s">
        <v>81</v>
      </c>
      <c r="F189" s="2">
        <v>17000</v>
      </c>
      <c r="G189" s="2">
        <v>2</v>
      </c>
      <c r="H189" s="2">
        <v>0</v>
      </c>
      <c r="I189">
        <f t="shared" si="10"/>
        <v>34000</v>
      </c>
      <c r="J189">
        <f t="shared" si="11"/>
        <v>0</v>
      </c>
      <c r="K189" s="6">
        <f t="shared" si="12"/>
        <v>34000</v>
      </c>
      <c r="L189" s="2">
        <v>93000</v>
      </c>
      <c r="M189" s="6">
        <f>Table1[[#This Row],[Total Sales]]+Table1[[#This Row],[Shipping Fee]]</f>
        <v>127000</v>
      </c>
      <c r="N189" s="2" t="s">
        <v>63</v>
      </c>
      <c r="O189" t="str">
        <f>VLOOKUP(Table1[[#This Row],[Order ID]],Status!A:B, 2,FALSE)</f>
        <v>Shipped</v>
      </c>
      <c r="P189" s="2" t="s">
        <v>82</v>
      </c>
      <c r="Q189" s="2">
        <v>2</v>
      </c>
      <c r="R189" s="2" t="s">
        <v>24</v>
      </c>
      <c r="S189" s="11" t="str">
        <f t="shared" si="13"/>
        <v>Rendah</v>
      </c>
      <c r="T189" s="2" t="str">
        <f t="shared" si="14"/>
        <v>Sangat Rendah</v>
      </c>
    </row>
    <row r="190" spans="1:20" ht="15.75" customHeight="1" x14ac:dyDescent="0.3">
      <c r="A190" s="4" t="s">
        <v>2177</v>
      </c>
      <c r="B190" s="3">
        <v>45884.830428240741</v>
      </c>
      <c r="C190" s="2" t="s">
        <v>609</v>
      </c>
      <c r="D190" s="2" t="s">
        <v>80</v>
      </c>
      <c r="E190" s="2" t="s">
        <v>250</v>
      </c>
      <c r="F190" s="2">
        <v>18000</v>
      </c>
      <c r="G190" s="2">
        <v>1</v>
      </c>
      <c r="H190" s="2">
        <v>0</v>
      </c>
      <c r="I190">
        <f t="shared" si="10"/>
        <v>18000</v>
      </c>
      <c r="J190">
        <f t="shared" si="11"/>
        <v>0</v>
      </c>
      <c r="K190" s="6">
        <f t="shared" si="12"/>
        <v>18000</v>
      </c>
      <c r="L190" s="2">
        <v>74000</v>
      </c>
      <c r="M190" s="6">
        <f>Table1[[#This Row],[Total Sales]]+Table1[[#This Row],[Shipping Fee]]</f>
        <v>92000</v>
      </c>
      <c r="N190" s="2" t="s">
        <v>29</v>
      </c>
      <c r="O190" t="str">
        <f>VLOOKUP(Table1[[#This Row],[Order ID]],Status!A:B, 2,FALSE)</f>
        <v>Cancelled</v>
      </c>
      <c r="P190" s="2" t="s">
        <v>46</v>
      </c>
      <c r="Q190" s="2">
        <v>5</v>
      </c>
      <c r="R190" s="2" t="s">
        <v>24</v>
      </c>
      <c r="S190" s="11" t="str">
        <f t="shared" si="13"/>
        <v>Bagus</v>
      </c>
      <c r="T190" s="2" t="str">
        <f t="shared" si="14"/>
        <v>Sangat Rendah</v>
      </c>
    </row>
    <row r="191" spans="1:20" ht="15.75" customHeight="1" x14ac:dyDescent="0.3">
      <c r="A191" s="4" t="s">
        <v>2176</v>
      </c>
      <c r="B191" s="3">
        <v>45884.779317129629</v>
      </c>
      <c r="C191" s="2" t="s">
        <v>954</v>
      </c>
      <c r="D191" s="2" t="s">
        <v>44</v>
      </c>
      <c r="E191" s="2" t="s">
        <v>88</v>
      </c>
      <c r="F191" s="2">
        <v>14000</v>
      </c>
      <c r="G191" s="2">
        <v>4</v>
      </c>
      <c r="H191" s="2">
        <v>0</v>
      </c>
      <c r="I191">
        <f t="shared" si="10"/>
        <v>56000</v>
      </c>
      <c r="J191">
        <f t="shared" si="11"/>
        <v>0</v>
      </c>
      <c r="K191" s="6">
        <f t="shared" si="12"/>
        <v>56000</v>
      </c>
      <c r="L191" s="2">
        <v>93000</v>
      </c>
      <c r="M191" s="6">
        <f>Table1[[#This Row],[Total Sales]]+Table1[[#This Row],[Shipping Fee]]</f>
        <v>149000</v>
      </c>
      <c r="N191" s="2" t="s">
        <v>29</v>
      </c>
      <c r="O191" t="str">
        <f>VLOOKUP(Table1[[#This Row],[Order ID]],Status!A:B, 2,FALSE)</f>
        <v>Completed</v>
      </c>
      <c r="P191" s="2" t="s">
        <v>36</v>
      </c>
      <c r="Q191" s="2">
        <v>1</v>
      </c>
      <c r="R191" s="2" t="s">
        <v>24</v>
      </c>
      <c r="S191" s="11" t="str">
        <f t="shared" si="13"/>
        <v>Rendah</v>
      </c>
      <c r="T191" s="2" t="str">
        <f t="shared" si="14"/>
        <v>Sangat Rendah</v>
      </c>
    </row>
    <row r="192" spans="1:20" ht="15.75" customHeight="1" x14ac:dyDescent="0.3">
      <c r="A192" s="4" t="s">
        <v>2175</v>
      </c>
      <c r="B192" s="3">
        <v>45884.454189814824</v>
      </c>
      <c r="C192" s="2" t="s">
        <v>661</v>
      </c>
      <c r="D192" s="2" t="s">
        <v>49</v>
      </c>
      <c r="E192" s="2" t="s">
        <v>28</v>
      </c>
      <c r="F192" s="2">
        <v>5000</v>
      </c>
      <c r="G192" s="2">
        <v>1</v>
      </c>
      <c r="H192" s="2">
        <v>15</v>
      </c>
      <c r="I192">
        <f t="shared" si="10"/>
        <v>5000</v>
      </c>
      <c r="J192">
        <f t="shared" si="11"/>
        <v>750</v>
      </c>
      <c r="K192" s="6">
        <f t="shared" si="12"/>
        <v>4250</v>
      </c>
      <c r="L192" s="2">
        <v>43000</v>
      </c>
      <c r="M192" s="6">
        <f>Table1[[#This Row],[Total Sales]]+Table1[[#This Row],[Shipping Fee]]</f>
        <v>47250</v>
      </c>
      <c r="N192" s="2" t="s">
        <v>35</v>
      </c>
      <c r="O192" t="str">
        <f>VLOOKUP(Table1[[#This Row],[Order ID]],Status!A:B, 2,FALSE)</f>
        <v>Completed</v>
      </c>
      <c r="P192" s="2" t="s">
        <v>82</v>
      </c>
      <c r="Q192" s="2">
        <v>4</v>
      </c>
      <c r="R192" s="2" t="s">
        <v>24</v>
      </c>
      <c r="S192" s="11" t="str">
        <f t="shared" si="13"/>
        <v>Bagus</v>
      </c>
      <c r="T192" s="2" t="str">
        <f t="shared" si="14"/>
        <v>Sangat Rendah</v>
      </c>
    </row>
    <row r="193" spans="1:20" ht="15.75" customHeight="1" x14ac:dyDescent="0.3">
      <c r="A193" s="4" t="s">
        <v>2174</v>
      </c>
      <c r="B193" s="3">
        <v>45883.929212962961</v>
      </c>
      <c r="C193" s="2" t="s">
        <v>557</v>
      </c>
      <c r="D193" s="2" t="s">
        <v>173</v>
      </c>
      <c r="E193" s="2" t="s">
        <v>88</v>
      </c>
      <c r="F193" s="2">
        <v>14000</v>
      </c>
      <c r="G193" s="2">
        <v>5</v>
      </c>
      <c r="H193" s="2">
        <v>15</v>
      </c>
      <c r="I193">
        <f t="shared" si="10"/>
        <v>70000</v>
      </c>
      <c r="J193">
        <f t="shared" si="11"/>
        <v>10500</v>
      </c>
      <c r="K193" s="6">
        <f t="shared" si="12"/>
        <v>59500</v>
      </c>
      <c r="L193" s="2">
        <v>49000</v>
      </c>
      <c r="M193" s="6">
        <f>Table1[[#This Row],[Total Sales]]+Table1[[#This Row],[Shipping Fee]]</f>
        <v>108500</v>
      </c>
      <c r="N193" s="2" t="s">
        <v>35</v>
      </c>
      <c r="O193" t="str">
        <f>VLOOKUP(Table1[[#This Row],[Order ID]],Status!A:B, 2,FALSE)</f>
        <v>Shipped</v>
      </c>
      <c r="P193" s="2" t="s">
        <v>30</v>
      </c>
      <c r="Q193" s="2">
        <v>2</v>
      </c>
      <c r="R193" s="2" t="s">
        <v>24</v>
      </c>
      <c r="S193" s="11" t="str">
        <f t="shared" si="13"/>
        <v>Rendah</v>
      </c>
      <c r="T193" s="2" t="str">
        <f t="shared" si="14"/>
        <v>Normal</v>
      </c>
    </row>
    <row r="194" spans="1:20" ht="15.75" customHeight="1" x14ac:dyDescent="0.3">
      <c r="A194" s="4" t="s">
        <v>2173</v>
      </c>
      <c r="B194" s="3">
        <v>45883.829699074071</v>
      </c>
      <c r="C194" s="2" t="s">
        <v>603</v>
      </c>
      <c r="D194" s="2" t="s">
        <v>53</v>
      </c>
      <c r="E194" s="2" t="s">
        <v>85</v>
      </c>
      <c r="F194" s="2">
        <v>35000</v>
      </c>
      <c r="G194" s="2">
        <v>3</v>
      </c>
      <c r="H194" s="2">
        <v>20</v>
      </c>
      <c r="I194">
        <f t="shared" ref="I194:I257" si="15">F194*G194</f>
        <v>105000</v>
      </c>
      <c r="J194">
        <f t="shared" ref="J194:J257" si="16">I194*H194/100</f>
        <v>21000</v>
      </c>
      <c r="K194" s="6">
        <f t="shared" ref="K194:K257" si="17">I194-J194</f>
        <v>84000</v>
      </c>
      <c r="L194" s="2">
        <v>18000</v>
      </c>
      <c r="M194" s="6">
        <f>Table1[[#This Row],[Total Sales]]+Table1[[#This Row],[Shipping Fee]]</f>
        <v>102000</v>
      </c>
      <c r="N194" s="2" t="s">
        <v>22</v>
      </c>
      <c r="O194" t="str">
        <f>VLOOKUP(Table1[[#This Row],[Order ID]],Status!A:B, 2,FALSE)</f>
        <v>Shipped</v>
      </c>
      <c r="P194" s="2" t="s">
        <v>46</v>
      </c>
      <c r="Q194" s="2">
        <v>4</v>
      </c>
      <c r="R194" s="2" t="s">
        <v>24</v>
      </c>
      <c r="S194" s="11" t="str">
        <f t="shared" ref="S194:S257" si="18">_xlfn.IFS(Q194&gt;3,"Bagus",Q194=3,"Standar",Q194&lt;3,"Rendah")</f>
        <v>Bagus</v>
      </c>
      <c r="T194" s="2" t="str">
        <f t="shared" ref="T194:T257" si="19">_xlfn.IFS(J194&lt;=5000,"Sangat Rendah", J194&lt;=10000,"Rendah", J194&lt;=20000, "Normal", J194&lt;=35000, "Tinggi", J194&lt;= 50000, "Sangat Tinggi", J194&gt;50000, "Clearance")</f>
        <v>Tinggi</v>
      </c>
    </row>
    <row r="195" spans="1:20" ht="15.75" customHeight="1" x14ac:dyDescent="0.3">
      <c r="A195" s="4" t="s">
        <v>2172</v>
      </c>
      <c r="B195" s="3">
        <v>45883.39135416667</v>
      </c>
      <c r="C195" s="2" t="s">
        <v>429</v>
      </c>
      <c r="D195" s="2" t="s">
        <v>177</v>
      </c>
      <c r="E195" s="2" t="s">
        <v>104</v>
      </c>
      <c r="F195" s="2">
        <v>30000</v>
      </c>
      <c r="G195" s="2">
        <v>5</v>
      </c>
      <c r="H195" s="2">
        <v>5</v>
      </c>
      <c r="I195">
        <f t="shared" si="15"/>
        <v>150000</v>
      </c>
      <c r="J195">
        <f t="shared" si="16"/>
        <v>7500</v>
      </c>
      <c r="K195" s="6">
        <f t="shared" si="17"/>
        <v>142500</v>
      </c>
      <c r="L195" s="2">
        <v>56000</v>
      </c>
      <c r="M195" s="6">
        <f>Table1[[#This Row],[Total Sales]]+Table1[[#This Row],[Shipping Fee]]</f>
        <v>198500</v>
      </c>
      <c r="N195" s="2" t="s">
        <v>35</v>
      </c>
      <c r="O195" t="str">
        <f>VLOOKUP(Table1[[#This Row],[Order ID]],Status!A:B, 2,FALSE)</f>
        <v>Pending</v>
      </c>
      <c r="P195" s="2" t="s">
        <v>30</v>
      </c>
      <c r="Q195" s="2">
        <v>5</v>
      </c>
      <c r="R195" s="2" t="s">
        <v>37</v>
      </c>
      <c r="S195" s="11" t="str">
        <f t="shared" si="18"/>
        <v>Bagus</v>
      </c>
      <c r="T195" s="2" t="str">
        <f t="shared" si="19"/>
        <v>Rendah</v>
      </c>
    </row>
    <row r="196" spans="1:20" ht="15.75" customHeight="1" x14ac:dyDescent="0.3">
      <c r="A196" s="4" t="s">
        <v>2171</v>
      </c>
      <c r="B196" s="3">
        <v>45883.342638888891</v>
      </c>
      <c r="C196" s="2" t="s">
        <v>557</v>
      </c>
      <c r="D196" s="2" t="s">
        <v>173</v>
      </c>
      <c r="E196" s="2" t="s">
        <v>136</v>
      </c>
      <c r="F196" s="2">
        <v>12000</v>
      </c>
      <c r="G196" s="2">
        <v>1</v>
      </c>
      <c r="H196" s="2">
        <v>15</v>
      </c>
      <c r="I196">
        <f t="shared" si="15"/>
        <v>12000</v>
      </c>
      <c r="J196">
        <f t="shared" si="16"/>
        <v>1800</v>
      </c>
      <c r="K196" s="6">
        <f t="shared" si="17"/>
        <v>10200</v>
      </c>
      <c r="L196" s="2">
        <v>49000</v>
      </c>
      <c r="M196" s="6">
        <f>Table1[[#This Row],[Total Sales]]+Table1[[#This Row],[Shipping Fee]]</f>
        <v>59200</v>
      </c>
      <c r="N196" s="2" t="s">
        <v>29</v>
      </c>
      <c r="O196" t="str">
        <f>VLOOKUP(Table1[[#This Row],[Order ID]],Status!A:B, 2,FALSE)</f>
        <v>Pending</v>
      </c>
      <c r="P196" s="2" t="s">
        <v>36</v>
      </c>
      <c r="Q196" s="2">
        <v>2</v>
      </c>
      <c r="R196" s="2" t="s">
        <v>24</v>
      </c>
      <c r="S196" s="11" t="str">
        <f t="shared" si="18"/>
        <v>Rendah</v>
      </c>
      <c r="T196" s="2" t="str">
        <f t="shared" si="19"/>
        <v>Sangat Rendah</v>
      </c>
    </row>
    <row r="197" spans="1:20" ht="15.75" customHeight="1" x14ac:dyDescent="0.3">
      <c r="A197" s="4" t="s">
        <v>2170</v>
      </c>
      <c r="B197" s="3">
        <v>45882.316493055558</v>
      </c>
      <c r="C197" s="2" t="s">
        <v>157</v>
      </c>
      <c r="D197" s="2" t="s">
        <v>20</v>
      </c>
      <c r="E197" s="2" t="s">
        <v>93</v>
      </c>
      <c r="F197" s="2">
        <v>25000</v>
      </c>
      <c r="G197" s="2">
        <v>4</v>
      </c>
      <c r="H197" s="2">
        <v>20</v>
      </c>
      <c r="I197">
        <f t="shared" si="15"/>
        <v>100000</v>
      </c>
      <c r="J197">
        <f t="shared" si="16"/>
        <v>20000</v>
      </c>
      <c r="K197" s="6">
        <f t="shared" si="17"/>
        <v>80000</v>
      </c>
      <c r="L197" s="2">
        <v>15000</v>
      </c>
      <c r="M197" s="6">
        <f>Table1[[#This Row],[Total Sales]]+Table1[[#This Row],[Shipping Fee]]</f>
        <v>95000</v>
      </c>
      <c r="N197" s="2" t="s">
        <v>22</v>
      </c>
      <c r="O197" t="str">
        <f>VLOOKUP(Table1[[#This Row],[Order ID]],Status!A:B, 2,FALSE)</f>
        <v>Completed</v>
      </c>
      <c r="P197" s="2" t="s">
        <v>36</v>
      </c>
      <c r="Q197" s="2">
        <v>4</v>
      </c>
      <c r="R197" s="2" t="s">
        <v>24</v>
      </c>
      <c r="S197" s="11" t="str">
        <f t="shared" si="18"/>
        <v>Bagus</v>
      </c>
      <c r="T197" s="2" t="str">
        <f t="shared" si="19"/>
        <v>Normal</v>
      </c>
    </row>
    <row r="198" spans="1:20" ht="15.75" customHeight="1" x14ac:dyDescent="0.3">
      <c r="A198" s="4" t="s">
        <v>2169</v>
      </c>
      <c r="B198" s="3">
        <v>45881.384444444448</v>
      </c>
      <c r="C198" s="2" t="s">
        <v>121</v>
      </c>
      <c r="D198" s="2" t="s">
        <v>122</v>
      </c>
      <c r="E198" s="2" t="s">
        <v>123</v>
      </c>
      <c r="F198" s="2">
        <v>22000</v>
      </c>
      <c r="G198" s="2">
        <v>1</v>
      </c>
      <c r="H198" s="2">
        <v>15</v>
      </c>
      <c r="I198">
        <f t="shared" si="15"/>
        <v>22000</v>
      </c>
      <c r="J198">
        <f t="shared" si="16"/>
        <v>3300</v>
      </c>
      <c r="K198" s="6">
        <f t="shared" si="17"/>
        <v>18700</v>
      </c>
      <c r="L198" s="2">
        <v>78000</v>
      </c>
      <c r="M198" s="6">
        <f>Table1[[#This Row],[Total Sales]]+Table1[[#This Row],[Shipping Fee]]</f>
        <v>96700</v>
      </c>
      <c r="N198" s="2" t="s">
        <v>35</v>
      </c>
      <c r="O198" t="str">
        <f>VLOOKUP(Table1[[#This Row],[Order ID]],Status!A:B, 2,FALSE)</f>
        <v>Shipped</v>
      </c>
      <c r="P198" s="2" t="s">
        <v>36</v>
      </c>
      <c r="Q198" s="2">
        <v>2</v>
      </c>
      <c r="R198" s="2" t="s">
        <v>24</v>
      </c>
      <c r="S198" s="11" t="str">
        <f t="shared" si="18"/>
        <v>Rendah</v>
      </c>
      <c r="T198" s="2" t="str">
        <f t="shared" si="19"/>
        <v>Sangat Rendah</v>
      </c>
    </row>
    <row r="199" spans="1:20" ht="15.75" customHeight="1" x14ac:dyDescent="0.3">
      <c r="A199" s="4" t="s">
        <v>2168</v>
      </c>
      <c r="B199" s="3">
        <v>45881.182939814818</v>
      </c>
      <c r="C199" s="2" t="s">
        <v>739</v>
      </c>
      <c r="D199" s="2" t="s">
        <v>177</v>
      </c>
      <c r="E199" s="2" t="s">
        <v>144</v>
      </c>
      <c r="F199" s="2">
        <v>18000</v>
      </c>
      <c r="G199" s="2">
        <v>5</v>
      </c>
      <c r="H199" s="2">
        <v>15</v>
      </c>
      <c r="I199">
        <f t="shared" si="15"/>
        <v>90000</v>
      </c>
      <c r="J199">
        <f t="shared" si="16"/>
        <v>13500</v>
      </c>
      <c r="K199" s="6">
        <f t="shared" si="17"/>
        <v>76500</v>
      </c>
      <c r="L199" s="2">
        <v>56000</v>
      </c>
      <c r="M199" s="6">
        <f>Table1[[#This Row],[Total Sales]]+Table1[[#This Row],[Shipping Fee]]</f>
        <v>132500</v>
      </c>
      <c r="N199" s="2" t="s">
        <v>29</v>
      </c>
      <c r="O199" t="str">
        <f>VLOOKUP(Table1[[#This Row],[Order ID]],Status!A:B, 2,FALSE)</f>
        <v>Completed</v>
      </c>
      <c r="P199" s="2" t="s">
        <v>23</v>
      </c>
      <c r="Q199" s="2">
        <v>3</v>
      </c>
      <c r="R199" s="2" t="s">
        <v>24</v>
      </c>
      <c r="S199" s="11" t="str">
        <f t="shared" si="18"/>
        <v>Standar</v>
      </c>
      <c r="T199" s="2" t="str">
        <f t="shared" si="19"/>
        <v>Normal</v>
      </c>
    </row>
    <row r="200" spans="1:20" ht="15.75" customHeight="1" x14ac:dyDescent="0.3">
      <c r="A200" s="4" t="s">
        <v>2167</v>
      </c>
      <c r="B200" s="3">
        <v>45881.002187500002</v>
      </c>
      <c r="C200" s="2" t="s">
        <v>784</v>
      </c>
      <c r="D200" s="2" t="s">
        <v>116</v>
      </c>
      <c r="E200" s="2" t="s">
        <v>88</v>
      </c>
      <c r="F200" s="2">
        <v>14000</v>
      </c>
      <c r="G200" s="2">
        <v>3</v>
      </c>
      <c r="H200" s="2">
        <v>10</v>
      </c>
      <c r="I200">
        <f t="shared" si="15"/>
        <v>42000</v>
      </c>
      <c r="J200">
        <f t="shared" si="16"/>
        <v>4200</v>
      </c>
      <c r="K200" s="6">
        <f t="shared" si="17"/>
        <v>37800</v>
      </c>
      <c r="L200" s="2">
        <v>72000</v>
      </c>
      <c r="M200" s="6">
        <f>Table1[[#This Row],[Total Sales]]+Table1[[#This Row],[Shipping Fee]]</f>
        <v>109800</v>
      </c>
      <c r="N200" s="2" t="s">
        <v>22</v>
      </c>
      <c r="O200" t="str">
        <f>VLOOKUP(Table1[[#This Row],[Order ID]],Status!A:B, 2,FALSE)</f>
        <v>Completed</v>
      </c>
      <c r="P200" s="2" t="s">
        <v>36</v>
      </c>
      <c r="Q200" s="2">
        <v>4</v>
      </c>
      <c r="R200" s="2" t="s">
        <v>24</v>
      </c>
      <c r="S200" s="11" t="str">
        <f t="shared" si="18"/>
        <v>Bagus</v>
      </c>
      <c r="T200" s="2" t="str">
        <f t="shared" si="19"/>
        <v>Sangat Rendah</v>
      </c>
    </row>
    <row r="201" spans="1:20" ht="15.75" customHeight="1" x14ac:dyDescent="0.3">
      <c r="A201" s="4" t="s">
        <v>2166</v>
      </c>
      <c r="B201" s="3">
        <v>45880.303738425922</v>
      </c>
      <c r="C201" s="2" t="s">
        <v>40</v>
      </c>
      <c r="D201" s="2" t="s">
        <v>27</v>
      </c>
      <c r="E201" s="2" t="s">
        <v>85</v>
      </c>
      <c r="F201" s="2">
        <v>35000</v>
      </c>
      <c r="G201" s="2">
        <v>4</v>
      </c>
      <c r="H201" s="2">
        <v>20</v>
      </c>
      <c r="I201">
        <f t="shared" si="15"/>
        <v>140000</v>
      </c>
      <c r="J201">
        <f t="shared" si="16"/>
        <v>28000</v>
      </c>
      <c r="K201" s="6">
        <f t="shared" si="17"/>
        <v>112000</v>
      </c>
      <c r="L201" s="2">
        <v>17000</v>
      </c>
      <c r="M201" s="6">
        <f>Table1[[#This Row],[Total Sales]]+Table1[[#This Row],[Shipping Fee]]</f>
        <v>129000</v>
      </c>
      <c r="N201" s="2" t="s">
        <v>29</v>
      </c>
      <c r="O201" t="str">
        <f>VLOOKUP(Table1[[#This Row],[Order ID]],Status!A:B, 2,FALSE)</f>
        <v>Pending</v>
      </c>
      <c r="P201" s="2" t="s">
        <v>30</v>
      </c>
      <c r="Q201" s="2">
        <v>5</v>
      </c>
      <c r="R201" s="2" t="s">
        <v>24</v>
      </c>
      <c r="S201" s="11" t="str">
        <f t="shared" si="18"/>
        <v>Bagus</v>
      </c>
      <c r="T201" s="2" t="str">
        <f t="shared" si="19"/>
        <v>Tinggi</v>
      </c>
    </row>
    <row r="202" spans="1:20" ht="15.75" customHeight="1" x14ac:dyDescent="0.3">
      <c r="A202" s="4" t="s">
        <v>2165</v>
      </c>
      <c r="B202" s="3">
        <v>45880.23296296296</v>
      </c>
      <c r="C202" s="2" t="s">
        <v>784</v>
      </c>
      <c r="D202" s="2" t="s">
        <v>116</v>
      </c>
      <c r="E202" s="2" t="s">
        <v>34</v>
      </c>
      <c r="F202" s="2">
        <v>16000</v>
      </c>
      <c r="G202" s="2">
        <v>1</v>
      </c>
      <c r="H202" s="2">
        <v>15</v>
      </c>
      <c r="I202">
        <f t="shared" si="15"/>
        <v>16000</v>
      </c>
      <c r="J202">
        <f t="shared" si="16"/>
        <v>2400</v>
      </c>
      <c r="K202" s="6">
        <f t="shared" si="17"/>
        <v>13600</v>
      </c>
      <c r="L202" s="2">
        <v>72000</v>
      </c>
      <c r="M202" s="6">
        <f>Table1[[#This Row],[Total Sales]]+Table1[[#This Row],[Shipping Fee]]</f>
        <v>85600</v>
      </c>
      <c r="N202" s="2" t="s">
        <v>35</v>
      </c>
      <c r="O202" t="str">
        <f>VLOOKUP(Table1[[#This Row],[Order ID]],Status!A:B, 2,FALSE)</f>
        <v>Pending</v>
      </c>
      <c r="P202" s="2" t="s">
        <v>23</v>
      </c>
      <c r="Q202" s="2">
        <v>4</v>
      </c>
      <c r="R202" s="2" t="s">
        <v>24</v>
      </c>
      <c r="S202" s="11" t="str">
        <f t="shared" si="18"/>
        <v>Bagus</v>
      </c>
      <c r="T202" s="2" t="str">
        <f t="shared" si="19"/>
        <v>Sangat Rendah</v>
      </c>
    </row>
    <row r="203" spans="1:20" ht="15.75" customHeight="1" x14ac:dyDescent="0.3">
      <c r="A203" s="4" t="s">
        <v>2164</v>
      </c>
      <c r="B203" s="3">
        <v>45879.776076388887</v>
      </c>
      <c r="C203" s="2" t="s">
        <v>758</v>
      </c>
      <c r="D203" s="2" t="s">
        <v>238</v>
      </c>
      <c r="E203" s="2" t="s">
        <v>88</v>
      </c>
      <c r="F203" s="2">
        <v>14000</v>
      </c>
      <c r="G203" s="2">
        <v>5</v>
      </c>
      <c r="H203" s="2">
        <v>5</v>
      </c>
      <c r="I203">
        <f t="shared" si="15"/>
        <v>70000</v>
      </c>
      <c r="J203">
        <f t="shared" si="16"/>
        <v>3500</v>
      </c>
      <c r="K203" s="6">
        <f t="shared" si="17"/>
        <v>66500</v>
      </c>
      <c r="L203" s="2">
        <v>28000</v>
      </c>
      <c r="M203" s="6">
        <f>Table1[[#This Row],[Total Sales]]+Table1[[#This Row],[Shipping Fee]]</f>
        <v>94500</v>
      </c>
      <c r="N203" s="2" t="s">
        <v>29</v>
      </c>
      <c r="O203" t="str">
        <f>VLOOKUP(Table1[[#This Row],[Order ID]],Status!A:B, 2,FALSE)</f>
        <v>Shipped</v>
      </c>
      <c r="P203" s="2" t="s">
        <v>82</v>
      </c>
      <c r="Q203" s="2">
        <v>2</v>
      </c>
      <c r="R203" s="2" t="s">
        <v>24</v>
      </c>
      <c r="S203" s="11" t="str">
        <f t="shared" si="18"/>
        <v>Rendah</v>
      </c>
      <c r="T203" s="2" t="str">
        <f t="shared" si="19"/>
        <v>Sangat Rendah</v>
      </c>
    </row>
    <row r="204" spans="1:20" ht="15.75" customHeight="1" x14ac:dyDescent="0.3">
      <c r="A204" s="4" t="s">
        <v>2163</v>
      </c>
      <c r="B204" s="3">
        <v>45879.030081018522</v>
      </c>
      <c r="C204" s="2" t="s">
        <v>246</v>
      </c>
      <c r="D204" s="2" t="s">
        <v>238</v>
      </c>
      <c r="E204" s="2" t="s">
        <v>58</v>
      </c>
      <c r="F204" s="2">
        <v>16000</v>
      </c>
      <c r="G204" s="2">
        <v>3</v>
      </c>
      <c r="H204" s="2">
        <v>20</v>
      </c>
      <c r="I204">
        <f t="shared" si="15"/>
        <v>48000</v>
      </c>
      <c r="J204">
        <f t="shared" si="16"/>
        <v>9600</v>
      </c>
      <c r="K204" s="6">
        <f t="shared" si="17"/>
        <v>38400</v>
      </c>
      <c r="L204" s="2">
        <v>28000</v>
      </c>
      <c r="M204" s="6">
        <f>Table1[[#This Row],[Total Sales]]+Table1[[#This Row],[Shipping Fee]]</f>
        <v>66400</v>
      </c>
      <c r="N204" s="2" t="s">
        <v>63</v>
      </c>
      <c r="O204" t="str">
        <f>VLOOKUP(Table1[[#This Row],[Order ID]],Status!A:B, 2,FALSE)</f>
        <v>Completed</v>
      </c>
      <c r="P204" s="2" t="s">
        <v>46</v>
      </c>
      <c r="Q204" s="2">
        <v>4</v>
      </c>
      <c r="R204" s="2" t="s">
        <v>24</v>
      </c>
      <c r="S204" s="11" t="str">
        <f t="shared" si="18"/>
        <v>Bagus</v>
      </c>
      <c r="T204" s="2" t="str">
        <f t="shared" si="19"/>
        <v>Rendah</v>
      </c>
    </row>
    <row r="205" spans="1:20" ht="15.75" customHeight="1" x14ac:dyDescent="0.3">
      <c r="A205" s="4" t="s">
        <v>2162</v>
      </c>
      <c r="B205" s="3">
        <v>45878.521331018521</v>
      </c>
      <c r="C205" s="2" t="s">
        <v>695</v>
      </c>
      <c r="D205" s="2" t="s">
        <v>119</v>
      </c>
      <c r="E205" s="2" t="s">
        <v>67</v>
      </c>
      <c r="F205" s="2">
        <v>15000</v>
      </c>
      <c r="G205" s="2">
        <v>3</v>
      </c>
      <c r="H205" s="2">
        <v>10</v>
      </c>
      <c r="I205">
        <f t="shared" si="15"/>
        <v>45000</v>
      </c>
      <c r="J205">
        <f t="shared" si="16"/>
        <v>4500</v>
      </c>
      <c r="K205" s="6">
        <f t="shared" si="17"/>
        <v>40500</v>
      </c>
      <c r="L205" s="2">
        <v>0</v>
      </c>
      <c r="M205" s="6">
        <f>Table1[[#This Row],[Total Sales]]+Table1[[#This Row],[Shipping Fee]]</f>
        <v>40500</v>
      </c>
      <c r="N205" s="2" t="s">
        <v>29</v>
      </c>
      <c r="O205" t="str">
        <f>VLOOKUP(Table1[[#This Row],[Order ID]],Status!A:B, 2,FALSE)</f>
        <v>Completed</v>
      </c>
      <c r="P205" s="2" t="s">
        <v>36</v>
      </c>
      <c r="Q205" s="2">
        <v>4</v>
      </c>
      <c r="R205" s="2" t="s">
        <v>24</v>
      </c>
      <c r="S205" s="11" t="str">
        <f t="shared" si="18"/>
        <v>Bagus</v>
      </c>
      <c r="T205" s="2" t="str">
        <f t="shared" si="19"/>
        <v>Sangat Rendah</v>
      </c>
    </row>
    <row r="206" spans="1:20" ht="15.75" customHeight="1" x14ac:dyDescent="0.3">
      <c r="A206" s="4" t="s">
        <v>2161</v>
      </c>
      <c r="B206" s="3">
        <v>45878.467604166668</v>
      </c>
      <c r="C206" s="2" t="s">
        <v>353</v>
      </c>
      <c r="D206" s="2" t="s">
        <v>66</v>
      </c>
      <c r="E206" s="2" t="s">
        <v>190</v>
      </c>
      <c r="F206" s="2">
        <v>35000</v>
      </c>
      <c r="G206" s="2">
        <v>2</v>
      </c>
      <c r="H206" s="2">
        <v>10</v>
      </c>
      <c r="I206">
        <f t="shared" si="15"/>
        <v>70000</v>
      </c>
      <c r="J206">
        <f t="shared" si="16"/>
        <v>7000</v>
      </c>
      <c r="K206" s="6">
        <f t="shared" si="17"/>
        <v>63000</v>
      </c>
      <c r="L206" s="2">
        <v>59000</v>
      </c>
      <c r="M206" s="6">
        <f>Table1[[#This Row],[Total Sales]]+Table1[[#This Row],[Shipping Fee]]</f>
        <v>122000</v>
      </c>
      <c r="N206" s="2" t="s">
        <v>22</v>
      </c>
      <c r="O206" t="str">
        <f>VLOOKUP(Table1[[#This Row],[Order ID]],Status!A:B, 2,FALSE)</f>
        <v>Pending</v>
      </c>
      <c r="P206" s="2" t="s">
        <v>46</v>
      </c>
      <c r="Q206" s="2">
        <v>5</v>
      </c>
      <c r="R206" s="2" t="s">
        <v>24</v>
      </c>
      <c r="S206" s="11" t="str">
        <f t="shared" si="18"/>
        <v>Bagus</v>
      </c>
      <c r="T206" s="2" t="str">
        <f t="shared" si="19"/>
        <v>Rendah</v>
      </c>
    </row>
    <row r="207" spans="1:20" ht="15.75" customHeight="1" x14ac:dyDescent="0.3">
      <c r="A207" s="4" t="s">
        <v>2161</v>
      </c>
      <c r="B207" s="3">
        <v>45878.467604166668</v>
      </c>
      <c r="C207" s="2" t="s">
        <v>353</v>
      </c>
      <c r="D207" s="2" t="s">
        <v>66</v>
      </c>
      <c r="E207" s="2" t="s">
        <v>58</v>
      </c>
      <c r="F207" s="2">
        <v>16000</v>
      </c>
      <c r="G207" s="2">
        <v>3</v>
      </c>
      <c r="H207" s="2">
        <v>10</v>
      </c>
      <c r="I207">
        <f t="shared" si="15"/>
        <v>48000</v>
      </c>
      <c r="J207">
        <f t="shared" si="16"/>
        <v>4800</v>
      </c>
      <c r="K207" s="6">
        <f t="shared" si="17"/>
        <v>43200</v>
      </c>
      <c r="L207" s="2">
        <v>0</v>
      </c>
      <c r="M207" s="6">
        <f>Table1[[#This Row],[Total Sales]]+Table1[[#This Row],[Shipping Fee]]</f>
        <v>43200</v>
      </c>
      <c r="N207" s="2" t="s">
        <v>22</v>
      </c>
      <c r="O207" t="str">
        <f>VLOOKUP(Table1[[#This Row],[Order ID]],Status!A:B, 2,FALSE)</f>
        <v>Pending</v>
      </c>
      <c r="P207" s="2" t="s">
        <v>46</v>
      </c>
      <c r="Q207" s="2">
        <v>5</v>
      </c>
      <c r="R207" s="2" t="s">
        <v>24</v>
      </c>
      <c r="S207" s="11" t="str">
        <f t="shared" si="18"/>
        <v>Bagus</v>
      </c>
      <c r="T207" s="2" t="str">
        <f t="shared" si="19"/>
        <v>Sangat Rendah</v>
      </c>
    </row>
    <row r="208" spans="1:20" ht="15.75" customHeight="1" x14ac:dyDescent="0.3">
      <c r="A208" s="4" t="s">
        <v>2160</v>
      </c>
      <c r="B208" s="3">
        <v>45878.346064814818</v>
      </c>
      <c r="C208" s="2" t="s">
        <v>1530</v>
      </c>
      <c r="D208" s="2" t="s">
        <v>122</v>
      </c>
      <c r="E208" s="2" t="s">
        <v>75</v>
      </c>
      <c r="F208" s="2">
        <v>55000</v>
      </c>
      <c r="G208" s="2">
        <v>4</v>
      </c>
      <c r="H208" s="2">
        <v>5</v>
      </c>
      <c r="I208">
        <f t="shared" si="15"/>
        <v>220000</v>
      </c>
      <c r="J208">
        <f t="shared" si="16"/>
        <v>11000</v>
      </c>
      <c r="K208" s="6">
        <f t="shared" si="17"/>
        <v>209000</v>
      </c>
      <c r="L208" s="2">
        <v>78000</v>
      </c>
      <c r="M208" s="6">
        <f>Table1[[#This Row],[Total Sales]]+Table1[[#This Row],[Shipping Fee]]</f>
        <v>287000</v>
      </c>
      <c r="N208" s="2" t="s">
        <v>29</v>
      </c>
      <c r="O208" t="str">
        <f>VLOOKUP(Table1[[#This Row],[Order ID]],Status!A:B, 2,FALSE)</f>
        <v>Completed</v>
      </c>
      <c r="P208" s="2" t="s">
        <v>23</v>
      </c>
      <c r="Q208" s="2">
        <v>4</v>
      </c>
      <c r="R208" s="2" t="s">
        <v>24</v>
      </c>
      <c r="S208" s="11" t="str">
        <f t="shared" si="18"/>
        <v>Bagus</v>
      </c>
      <c r="T208" s="2" t="str">
        <f t="shared" si="19"/>
        <v>Normal</v>
      </c>
    </row>
    <row r="209" spans="1:20" ht="15.75" customHeight="1" x14ac:dyDescent="0.3">
      <c r="A209" s="4" t="s">
        <v>2159</v>
      </c>
      <c r="B209" s="3">
        <v>45877.960509259261</v>
      </c>
      <c r="C209" s="2" t="s">
        <v>570</v>
      </c>
      <c r="D209" s="2" t="s">
        <v>80</v>
      </c>
      <c r="E209" s="2" t="s">
        <v>250</v>
      </c>
      <c r="F209" s="2">
        <v>18000</v>
      </c>
      <c r="G209" s="2">
        <v>3</v>
      </c>
      <c r="H209" s="2">
        <v>20</v>
      </c>
      <c r="I209">
        <f t="shared" si="15"/>
        <v>54000</v>
      </c>
      <c r="J209">
        <f t="shared" si="16"/>
        <v>10800</v>
      </c>
      <c r="K209" s="6">
        <f t="shared" si="17"/>
        <v>43200</v>
      </c>
      <c r="L209" s="2">
        <v>74000</v>
      </c>
      <c r="M209" s="6">
        <f>Table1[[#This Row],[Total Sales]]+Table1[[#This Row],[Shipping Fee]]</f>
        <v>117200</v>
      </c>
      <c r="N209" s="2" t="s">
        <v>35</v>
      </c>
      <c r="O209" t="str">
        <f>VLOOKUP(Table1[[#This Row],[Order ID]],Status!A:B, 2,FALSE)</f>
        <v>Pending</v>
      </c>
      <c r="P209" s="2" t="s">
        <v>82</v>
      </c>
      <c r="Q209" s="2">
        <v>1</v>
      </c>
      <c r="R209" s="2" t="s">
        <v>24</v>
      </c>
      <c r="S209" s="11" t="str">
        <f t="shared" si="18"/>
        <v>Rendah</v>
      </c>
      <c r="T209" s="2" t="str">
        <f t="shared" si="19"/>
        <v>Normal</v>
      </c>
    </row>
    <row r="210" spans="1:20" ht="15.75" customHeight="1" x14ac:dyDescent="0.3">
      <c r="A210" s="4" t="s">
        <v>2158</v>
      </c>
      <c r="B210" s="3">
        <v>45877.870844907397</v>
      </c>
      <c r="C210" s="2" t="s">
        <v>990</v>
      </c>
      <c r="D210" s="2" t="s">
        <v>173</v>
      </c>
      <c r="E210" s="2" t="s">
        <v>62</v>
      </c>
      <c r="F210" s="2">
        <v>50000</v>
      </c>
      <c r="G210" s="2">
        <v>1</v>
      </c>
      <c r="H210" s="2">
        <v>10</v>
      </c>
      <c r="I210">
        <f t="shared" si="15"/>
        <v>50000</v>
      </c>
      <c r="J210">
        <f t="shared" si="16"/>
        <v>5000</v>
      </c>
      <c r="K210" s="6">
        <f t="shared" si="17"/>
        <v>45000</v>
      </c>
      <c r="L210" s="2">
        <v>49000</v>
      </c>
      <c r="M210" s="6">
        <f>Table1[[#This Row],[Total Sales]]+Table1[[#This Row],[Shipping Fee]]</f>
        <v>94000</v>
      </c>
      <c r="N210" s="2" t="s">
        <v>63</v>
      </c>
      <c r="O210" t="str">
        <f>VLOOKUP(Table1[[#This Row],[Order ID]],Status!A:B, 2,FALSE)</f>
        <v>Pending</v>
      </c>
      <c r="P210" s="2" t="s">
        <v>30</v>
      </c>
      <c r="Q210" s="2">
        <v>5</v>
      </c>
      <c r="R210" s="2" t="s">
        <v>24</v>
      </c>
      <c r="S210" s="11" t="str">
        <f t="shared" si="18"/>
        <v>Bagus</v>
      </c>
      <c r="T210" s="2" t="str">
        <f t="shared" si="19"/>
        <v>Sangat Rendah</v>
      </c>
    </row>
    <row r="211" spans="1:20" ht="15.75" customHeight="1" x14ac:dyDescent="0.3">
      <c r="A211" s="4" t="s">
        <v>2157</v>
      </c>
      <c r="B211" s="3">
        <v>45877.798298611109</v>
      </c>
      <c r="C211" s="2" t="s">
        <v>316</v>
      </c>
      <c r="D211" s="2" t="s">
        <v>244</v>
      </c>
      <c r="E211" s="2" t="s">
        <v>123</v>
      </c>
      <c r="F211" s="2">
        <v>22000</v>
      </c>
      <c r="G211" s="2">
        <v>5</v>
      </c>
      <c r="H211" s="2">
        <v>0</v>
      </c>
      <c r="I211">
        <f t="shared" si="15"/>
        <v>110000</v>
      </c>
      <c r="J211">
        <f t="shared" si="16"/>
        <v>0</v>
      </c>
      <c r="K211" s="6">
        <f t="shared" si="17"/>
        <v>110000</v>
      </c>
      <c r="L211" s="2">
        <v>80000</v>
      </c>
      <c r="M211" s="6">
        <f>Table1[[#This Row],[Total Sales]]+Table1[[#This Row],[Shipping Fee]]</f>
        <v>190000</v>
      </c>
      <c r="N211" s="2" t="s">
        <v>29</v>
      </c>
      <c r="O211" t="str">
        <f>VLOOKUP(Table1[[#This Row],[Order ID]],Status!A:B, 2,FALSE)</f>
        <v>Completed</v>
      </c>
      <c r="P211" s="2" t="s">
        <v>82</v>
      </c>
      <c r="Q211" s="2">
        <v>1</v>
      </c>
      <c r="R211" s="2" t="s">
        <v>24</v>
      </c>
      <c r="S211" s="11" t="str">
        <f t="shared" si="18"/>
        <v>Rendah</v>
      </c>
      <c r="T211" s="2" t="str">
        <f t="shared" si="19"/>
        <v>Sangat Rendah</v>
      </c>
    </row>
    <row r="212" spans="1:20" ht="15.75" customHeight="1" x14ac:dyDescent="0.3">
      <c r="A212" s="4" t="s">
        <v>2156</v>
      </c>
      <c r="B212" s="3">
        <v>45877.751006944447</v>
      </c>
      <c r="C212" s="2" t="s">
        <v>355</v>
      </c>
      <c r="D212" s="2" t="s">
        <v>116</v>
      </c>
      <c r="E212" s="2" t="s">
        <v>58</v>
      </c>
      <c r="F212" s="2">
        <v>16000</v>
      </c>
      <c r="G212" s="2">
        <v>1</v>
      </c>
      <c r="H212" s="2">
        <v>20</v>
      </c>
      <c r="I212">
        <f t="shared" si="15"/>
        <v>16000</v>
      </c>
      <c r="J212">
        <f t="shared" si="16"/>
        <v>3200</v>
      </c>
      <c r="K212" s="6">
        <f t="shared" si="17"/>
        <v>12800</v>
      </c>
      <c r="L212" s="2">
        <v>72000</v>
      </c>
      <c r="M212" s="6">
        <f>Table1[[#This Row],[Total Sales]]+Table1[[#This Row],[Shipping Fee]]</f>
        <v>84800</v>
      </c>
      <c r="N212" s="2" t="s">
        <v>22</v>
      </c>
      <c r="O212" t="str">
        <f>VLOOKUP(Table1[[#This Row],[Order ID]],Status!A:B, 2,FALSE)</f>
        <v>Pending</v>
      </c>
      <c r="P212" s="2" t="s">
        <v>36</v>
      </c>
      <c r="Q212" s="2">
        <v>5</v>
      </c>
      <c r="R212" s="2" t="s">
        <v>24</v>
      </c>
      <c r="S212" s="11" t="str">
        <f t="shared" si="18"/>
        <v>Bagus</v>
      </c>
      <c r="T212" s="2" t="str">
        <f t="shared" si="19"/>
        <v>Sangat Rendah</v>
      </c>
    </row>
    <row r="213" spans="1:20" ht="15.75" customHeight="1" x14ac:dyDescent="0.3">
      <c r="A213" s="4" t="s">
        <v>2155</v>
      </c>
      <c r="B213" s="3">
        <v>45877.703877314823</v>
      </c>
      <c r="C213" s="2" t="s">
        <v>1083</v>
      </c>
      <c r="D213" s="2" t="s">
        <v>170</v>
      </c>
      <c r="E213" s="2" t="s">
        <v>45</v>
      </c>
      <c r="F213" s="2">
        <v>40000</v>
      </c>
      <c r="G213" s="2">
        <v>4</v>
      </c>
      <c r="H213" s="2">
        <v>20</v>
      </c>
      <c r="I213">
        <f t="shared" si="15"/>
        <v>160000</v>
      </c>
      <c r="J213">
        <f t="shared" si="16"/>
        <v>32000</v>
      </c>
      <c r="K213" s="6">
        <f t="shared" si="17"/>
        <v>128000</v>
      </c>
      <c r="L213" s="2">
        <v>46000</v>
      </c>
      <c r="M213" s="6">
        <f>Table1[[#This Row],[Total Sales]]+Table1[[#This Row],[Shipping Fee]]</f>
        <v>174000</v>
      </c>
      <c r="N213" s="2" t="s">
        <v>35</v>
      </c>
      <c r="O213" t="str">
        <f>VLOOKUP(Table1[[#This Row],[Order ID]],Status!A:B, 2,FALSE)</f>
        <v>Pending</v>
      </c>
      <c r="P213" s="2" t="s">
        <v>82</v>
      </c>
      <c r="Q213" s="2">
        <v>5</v>
      </c>
      <c r="R213" s="2" t="s">
        <v>24</v>
      </c>
      <c r="S213" s="11" t="str">
        <f t="shared" si="18"/>
        <v>Bagus</v>
      </c>
      <c r="T213" s="2" t="str">
        <f t="shared" si="19"/>
        <v>Tinggi</v>
      </c>
    </row>
    <row r="214" spans="1:20" ht="15.75" customHeight="1" x14ac:dyDescent="0.3">
      <c r="A214" s="4" t="s">
        <v>2154</v>
      </c>
      <c r="B214" s="3">
        <v>45877.313981481479</v>
      </c>
      <c r="C214" s="2" t="s">
        <v>84</v>
      </c>
      <c r="D214" s="2" t="s">
        <v>57</v>
      </c>
      <c r="E214" s="2" t="s">
        <v>190</v>
      </c>
      <c r="F214" s="2">
        <v>35000</v>
      </c>
      <c r="G214" s="2">
        <v>4</v>
      </c>
      <c r="H214" s="2">
        <v>20</v>
      </c>
      <c r="I214">
        <f t="shared" si="15"/>
        <v>140000</v>
      </c>
      <c r="J214">
        <f t="shared" si="16"/>
        <v>28000</v>
      </c>
      <c r="K214" s="6">
        <f t="shared" si="17"/>
        <v>112000</v>
      </c>
      <c r="L214" s="2">
        <v>80000</v>
      </c>
      <c r="M214" s="6">
        <f>Table1[[#This Row],[Total Sales]]+Table1[[#This Row],[Shipping Fee]]</f>
        <v>192000</v>
      </c>
      <c r="N214" s="2" t="s">
        <v>29</v>
      </c>
      <c r="O214" t="str">
        <f>VLOOKUP(Table1[[#This Row],[Order ID]],Status!A:B, 2,FALSE)</f>
        <v>Pending</v>
      </c>
      <c r="P214" s="2" t="s">
        <v>30</v>
      </c>
      <c r="Q214" s="2">
        <v>5</v>
      </c>
      <c r="R214" s="2" t="s">
        <v>37</v>
      </c>
      <c r="S214" s="11" t="str">
        <f t="shared" si="18"/>
        <v>Bagus</v>
      </c>
      <c r="T214" s="2" t="str">
        <f t="shared" si="19"/>
        <v>Tinggi</v>
      </c>
    </row>
    <row r="215" spans="1:20" ht="15.75" customHeight="1" x14ac:dyDescent="0.3">
      <c r="A215" s="4" t="s">
        <v>2153</v>
      </c>
      <c r="B215" s="3">
        <v>45876.900497685187</v>
      </c>
      <c r="C215" s="2" t="s">
        <v>311</v>
      </c>
      <c r="D215" s="2" t="s">
        <v>116</v>
      </c>
      <c r="E215" s="2" t="s">
        <v>71</v>
      </c>
      <c r="F215" s="2">
        <v>40000</v>
      </c>
      <c r="G215" s="2">
        <v>4</v>
      </c>
      <c r="H215" s="2">
        <v>10</v>
      </c>
      <c r="I215">
        <f t="shared" si="15"/>
        <v>160000</v>
      </c>
      <c r="J215">
        <f t="shared" si="16"/>
        <v>16000</v>
      </c>
      <c r="K215" s="6">
        <f t="shared" si="17"/>
        <v>144000</v>
      </c>
      <c r="L215" s="2">
        <v>72000</v>
      </c>
      <c r="M215" s="6">
        <f>Table1[[#This Row],[Total Sales]]+Table1[[#This Row],[Shipping Fee]]</f>
        <v>216000</v>
      </c>
      <c r="N215" s="2" t="s">
        <v>35</v>
      </c>
      <c r="O215" t="str">
        <f>VLOOKUP(Table1[[#This Row],[Order ID]],Status!A:B, 2,FALSE)</f>
        <v>Shipped</v>
      </c>
      <c r="P215" s="2" t="s">
        <v>82</v>
      </c>
      <c r="Q215" s="2">
        <v>5</v>
      </c>
      <c r="R215" s="2" t="s">
        <v>24</v>
      </c>
      <c r="S215" s="11" t="str">
        <f t="shared" si="18"/>
        <v>Bagus</v>
      </c>
      <c r="T215" s="2" t="str">
        <f t="shared" si="19"/>
        <v>Normal</v>
      </c>
    </row>
    <row r="216" spans="1:20" ht="15.75" customHeight="1" x14ac:dyDescent="0.3">
      <c r="A216" s="4" t="s">
        <v>2152</v>
      </c>
      <c r="B216" s="3">
        <v>45876.78701388889</v>
      </c>
      <c r="C216" s="2" t="s">
        <v>172</v>
      </c>
      <c r="D216" s="2" t="s">
        <v>173</v>
      </c>
      <c r="E216" s="2" t="s">
        <v>174</v>
      </c>
      <c r="F216" s="2">
        <v>10000</v>
      </c>
      <c r="G216" s="2">
        <v>1</v>
      </c>
      <c r="H216" s="2">
        <v>20</v>
      </c>
      <c r="I216">
        <f t="shared" si="15"/>
        <v>10000</v>
      </c>
      <c r="J216">
        <f t="shared" si="16"/>
        <v>2000</v>
      </c>
      <c r="K216" s="6">
        <f t="shared" si="17"/>
        <v>8000</v>
      </c>
      <c r="L216" s="2">
        <v>49000</v>
      </c>
      <c r="M216" s="6">
        <f>Table1[[#This Row],[Total Sales]]+Table1[[#This Row],[Shipping Fee]]</f>
        <v>57000</v>
      </c>
      <c r="N216" s="2" t="s">
        <v>35</v>
      </c>
      <c r="O216" t="str">
        <f>VLOOKUP(Table1[[#This Row],[Order ID]],Status!A:B, 2,FALSE)</f>
        <v>Pending</v>
      </c>
      <c r="P216" s="2" t="s">
        <v>36</v>
      </c>
      <c r="Q216" s="2">
        <v>1</v>
      </c>
      <c r="R216" s="2" t="s">
        <v>24</v>
      </c>
      <c r="S216" s="11" t="str">
        <f t="shared" si="18"/>
        <v>Rendah</v>
      </c>
      <c r="T216" s="2" t="str">
        <f t="shared" si="19"/>
        <v>Sangat Rendah</v>
      </c>
    </row>
    <row r="217" spans="1:20" ht="15.75" customHeight="1" x14ac:dyDescent="0.3">
      <c r="A217" s="4" t="s">
        <v>2151</v>
      </c>
      <c r="B217" s="3">
        <v>45876.647361111107</v>
      </c>
      <c r="C217" s="2" t="s">
        <v>40</v>
      </c>
      <c r="D217" s="2" t="s">
        <v>27</v>
      </c>
      <c r="E217" s="2" t="s">
        <v>21</v>
      </c>
      <c r="F217" s="2">
        <v>45000</v>
      </c>
      <c r="G217" s="2">
        <v>2</v>
      </c>
      <c r="H217" s="2">
        <v>0</v>
      </c>
      <c r="I217">
        <f t="shared" si="15"/>
        <v>90000</v>
      </c>
      <c r="J217">
        <f t="shared" si="16"/>
        <v>0</v>
      </c>
      <c r="K217" s="6">
        <f t="shared" si="17"/>
        <v>90000</v>
      </c>
      <c r="L217" s="2">
        <v>17000</v>
      </c>
      <c r="M217" s="6">
        <f>Table1[[#This Row],[Total Sales]]+Table1[[#This Row],[Shipping Fee]]</f>
        <v>107000</v>
      </c>
      <c r="N217" s="2" t="s">
        <v>63</v>
      </c>
      <c r="O217" t="str">
        <f>VLOOKUP(Table1[[#This Row],[Order ID]],Status!A:B, 2,FALSE)</f>
        <v>Completed</v>
      </c>
      <c r="P217" s="2" t="s">
        <v>82</v>
      </c>
      <c r="Q217" s="2">
        <v>3</v>
      </c>
      <c r="R217" s="2" t="s">
        <v>24</v>
      </c>
      <c r="S217" s="11" t="str">
        <f t="shared" si="18"/>
        <v>Standar</v>
      </c>
      <c r="T217" s="2" t="str">
        <f t="shared" si="19"/>
        <v>Sangat Rendah</v>
      </c>
    </row>
    <row r="218" spans="1:20" ht="15.75" customHeight="1" x14ac:dyDescent="0.3">
      <c r="A218" s="4" t="s">
        <v>2150</v>
      </c>
      <c r="B218" s="3">
        <v>45876.465196759258</v>
      </c>
      <c r="C218" s="2" t="s">
        <v>513</v>
      </c>
      <c r="D218" s="2" t="s">
        <v>182</v>
      </c>
      <c r="E218" s="2" t="s">
        <v>45</v>
      </c>
      <c r="F218" s="2">
        <v>40000</v>
      </c>
      <c r="G218" s="2">
        <v>1</v>
      </c>
      <c r="H218" s="2">
        <v>5</v>
      </c>
      <c r="I218">
        <f t="shared" si="15"/>
        <v>40000</v>
      </c>
      <c r="J218">
        <f t="shared" si="16"/>
        <v>2000</v>
      </c>
      <c r="K218" s="6">
        <f t="shared" si="17"/>
        <v>38000</v>
      </c>
      <c r="L218" s="2">
        <v>48000</v>
      </c>
      <c r="M218" s="6">
        <f>Table1[[#This Row],[Total Sales]]+Table1[[#This Row],[Shipping Fee]]</f>
        <v>86000</v>
      </c>
      <c r="N218" s="2" t="s">
        <v>35</v>
      </c>
      <c r="O218" t="str">
        <f>VLOOKUP(Table1[[#This Row],[Order ID]],Status!A:B, 2,FALSE)</f>
        <v>Completed</v>
      </c>
      <c r="P218" s="2" t="s">
        <v>46</v>
      </c>
      <c r="Q218" s="2">
        <v>4</v>
      </c>
      <c r="R218" s="2" t="s">
        <v>24</v>
      </c>
      <c r="S218" s="11" t="str">
        <f t="shared" si="18"/>
        <v>Bagus</v>
      </c>
      <c r="T218" s="2" t="str">
        <f t="shared" si="19"/>
        <v>Sangat Rendah</v>
      </c>
    </row>
    <row r="219" spans="1:20" ht="15.75" customHeight="1" x14ac:dyDescent="0.3">
      <c r="A219" s="4" t="s">
        <v>2149</v>
      </c>
      <c r="B219" s="3">
        <v>45876.420243055552</v>
      </c>
      <c r="C219" s="2" t="s">
        <v>1523</v>
      </c>
      <c r="D219" s="2" t="s">
        <v>96</v>
      </c>
      <c r="E219" s="2" t="s">
        <v>28</v>
      </c>
      <c r="F219" s="2">
        <v>5000</v>
      </c>
      <c r="G219" s="2">
        <v>2</v>
      </c>
      <c r="H219" s="2">
        <v>5</v>
      </c>
      <c r="I219">
        <f t="shared" si="15"/>
        <v>10000</v>
      </c>
      <c r="J219">
        <f t="shared" si="16"/>
        <v>500</v>
      </c>
      <c r="K219" s="6">
        <f t="shared" si="17"/>
        <v>9500</v>
      </c>
      <c r="L219" s="2">
        <v>49000</v>
      </c>
      <c r="M219" s="6">
        <f>Table1[[#This Row],[Total Sales]]+Table1[[#This Row],[Shipping Fee]]</f>
        <v>58500</v>
      </c>
      <c r="N219" s="2" t="s">
        <v>22</v>
      </c>
      <c r="O219" t="str">
        <f>VLOOKUP(Table1[[#This Row],[Order ID]],Status!A:B, 2,FALSE)</f>
        <v>Completed</v>
      </c>
      <c r="P219" s="2" t="s">
        <v>46</v>
      </c>
      <c r="Q219" s="2">
        <v>1</v>
      </c>
      <c r="R219" s="2" t="s">
        <v>24</v>
      </c>
      <c r="S219" s="11" t="str">
        <f t="shared" si="18"/>
        <v>Rendah</v>
      </c>
      <c r="T219" s="2" t="str">
        <f t="shared" si="19"/>
        <v>Sangat Rendah</v>
      </c>
    </row>
    <row r="220" spans="1:20" ht="15.75" customHeight="1" x14ac:dyDescent="0.3">
      <c r="A220" s="4" t="s">
        <v>2149</v>
      </c>
      <c r="B220" s="3">
        <v>45876.420243055552</v>
      </c>
      <c r="C220" s="2" t="s">
        <v>1523</v>
      </c>
      <c r="D220" s="2" t="s">
        <v>96</v>
      </c>
      <c r="E220" s="2" t="s">
        <v>93</v>
      </c>
      <c r="F220" s="2">
        <v>25000</v>
      </c>
      <c r="G220" s="2">
        <v>5</v>
      </c>
      <c r="H220" s="2">
        <v>5</v>
      </c>
      <c r="I220">
        <f t="shared" si="15"/>
        <v>125000</v>
      </c>
      <c r="J220">
        <f t="shared" si="16"/>
        <v>6250</v>
      </c>
      <c r="K220" s="6">
        <f t="shared" si="17"/>
        <v>118750</v>
      </c>
      <c r="L220" s="2">
        <v>0</v>
      </c>
      <c r="M220" s="6">
        <f>Table1[[#This Row],[Total Sales]]+Table1[[#This Row],[Shipping Fee]]</f>
        <v>118750</v>
      </c>
      <c r="N220" s="2" t="s">
        <v>22</v>
      </c>
      <c r="O220" t="str">
        <f>VLOOKUP(Table1[[#This Row],[Order ID]],Status!A:B, 2,FALSE)</f>
        <v>Completed</v>
      </c>
      <c r="P220" s="2" t="s">
        <v>46</v>
      </c>
      <c r="Q220" s="2">
        <v>1</v>
      </c>
      <c r="R220" s="2" t="s">
        <v>24</v>
      </c>
      <c r="S220" s="11" t="str">
        <f t="shared" si="18"/>
        <v>Rendah</v>
      </c>
      <c r="T220" s="2" t="str">
        <f t="shared" si="19"/>
        <v>Rendah</v>
      </c>
    </row>
    <row r="221" spans="1:20" ht="15.75" customHeight="1" x14ac:dyDescent="0.3">
      <c r="A221" s="4" t="s">
        <v>2148</v>
      </c>
      <c r="B221" s="3">
        <v>45875.9299537037</v>
      </c>
      <c r="C221" s="2" t="s">
        <v>197</v>
      </c>
      <c r="D221" s="2" t="s">
        <v>119</v>
      </c>
      <c r="E221" s="2" t="s">
        <v>88</v>
      </c>
      <c r="F221" s="2">
        <v>14000</v>
      </c>
      <c r="G221" s="2">
        <v>2</v>
      </c>
      <c r="H221" s="2">
        <v>15</v>
      </c>
      <c r="I221">
        <f t="shared" si="15"/>
        <v>28000</v>
      </c>
      <c r="J221">
        <f t="shared" si="16"/>
        <v>4200</v>
      </c>
      <c r="K221" s="6">
        <f t="shared" si="17"/>
        <v>23800</v>
      </c>
      <c r="L221" s="2">
        <v>0</v>
      </c>
      <c r="M221" s="6">
        <f>Table1[[#This Row],[Total Sales]]+Table1[[#This Row],[Shipping Fee]]</f>
        <v>23800</v>
      </c>
      <c r="N221" s="2" t="s">
        <v>63</v>
      </c>
      <c r="O221" t="str">
        <f>VLOOKUP(Table1[[#This Row],[Order ID]],Status!A:B, 2,FALSE)</f>
        <v>Completed</v>
      </c>
      <c r="P221" s="2" t="s">
        <v>23</v>
      </c>
      <c r="Q221" s="2">
        <v>1</v>
      </c>
      <c r="R221" s="2" t="s">
        <v>37</v>
      </c>
      <c r="S221" s="11" t="str">
        <f t="shared" si="18"/>
        <v>Rendah</v>
      </c>
      <c r="T221" s="2" t="str">
        <f t="shared" si="19"/>
        <v>Sangat Rendah</v>
      </c>
    </row>
    <row r="222" spans="1:20" ht="15.75" customHeight="1" x14ac:dyDescent="0.3">
      <c r="A222" s="4" t="s">
        <v>2147</v>
      </c>
      <c r="B222" s="3">
        <v>45875.524074074077</v>
      </c>
      <c r="C222" s="2" t="s">
        <v>754</v>
      </c>
      <c r="D222" s="2" t="s">
        <v>238</v>
      </c>
      <c r="E222" s="2" t="s">
        <v>186</v>
      </c>
      <c r="F222" s="2">
        <v>45000</v>
      </c>
      <c r="G222" s="2">
        <v>2</v>
      </c>
      <c r="H222" s="2">
        <v>5</v>
      </c>
      <c r="I222">
        <f t="shared" si="15"/>
        <v>90000</v>
      </c>
      <c r="J222">
        <f t="shared" si="16"/>
        <v>4500</v>
      </c>
      <c r="K222" s="6">
        <f t="shared" si="17"/>
        <v>85500</v>
      </c>
      <c r="L222" s="2">
        <v>28000</v>
      </c>
      <c r="M222" s="6">
        <f>Table1[[#This Row],[Total Sales]]+Table1[[#This Row],[Shipping Fee]]</f>
        <v>113500</v>
      </c>
      <c r="N222" s="2" t="s">
        <v>35</v>
      </c>
      <c r="O222" t="str">
        <f>VLOOKUP(Table1[[#This Row],[Order ID]],Status!A:B, 2,FALSE)</f>
        <v>Completed</v>
      </c>
      <c r="P222" s="2" t="s">
        <v>30</v>
      </c>
      <c r="Q222" s="2">
        <v>5</v>
      </c>
      <c r="R222" s="2" t="s">
        <v>37</v>
      </c>
      <c r="S222" s="11" t="str">
        <f t="shared" si="18"/>
        <v>Bagus</v>
      </c>
      <c r="T222" s="2" t="str">
        <f t="shared" si="19"/>
        <v>Sangat Rendah</v>
      </c>
    </row>
    <row r="223" spans="1:20" ht="15.75" customHeight="1" x14ac:dyDescent="0.3">
      <c r="A223" s="4" t="s">
        <v>2146</v>
      </c>
      <c r="B223" s="3">
        <v>45875.380266203712</v>
      </c>
      <c r="C223" s="2" t="s">
        <v>387</v>
      </c>
      <c r="D223" s="2" t="s">
        <v>49</v>
      </c>
      <c r="E223" s="2" t="s">
        <v>138</v>
      </c>
      <c r="F223" s="2">
        <v>17000</v>
      </c>
      <c r="G223" s="2">
        <v>3</v>
      </c>
      <c r="H223" s="2">
        <v>0</v>
      </c>
      <c r="I223">
        <f t="shared" si="15"/>
        <v>51000</v>
      </c>
      <c r="J223">
        <f t="shared" si="16"/>
        <v>0</v>
      </c>
      <c r="K223" s="6">
        <f t="shared" si="17"/>
        <v>51000</v>
      </c>
      <c r="L223" s="2">
        <v>43000</v>
      </c>
      <c r="M223" s="6">
        <f>Table1[[#This Row],[Total Sales]]+Table1[[#This Row],[Shipping Fee]]</f>
        <v>94000</v>
      </c>
      <c r="N223" s="2" t="s">
        <v>29</v>
      </c>
      <c r="O223" t="str">
        <f>VLOOKUP(Table1[[#This Row],[Order ID]],Status!A:B, 2,FALSE)</f>
        <v>Shipped</v>
      </c>
      <c r="P223" s="2" t="s">
        <v>36</v>
      </c>
      <c r="Q223" s="2">
        <v>1</v>
      </c>
      <c r="R223" s="2" t="s">
        <v>37</v>
      </c>
      <c r="S223" s="11" t="str">
        <f t="shared" si="18"/>
        <v>Rendah</v>
      </c>
      <c r="T223" s="2" t="str">
        <f t="shared" si="19"/>
        <v>Sangat Rendah</v>
      </c>
    </row>
    <row r="224" spans="1:20" ht="15.75" customHeight="1" x14ac:dyDescent="0.3">
      <c r="A224" s="4" t="s">
        <v>2145</v>
      </c>
      <c r="B224" s="3">
        <v>45875.344236111108</v>
      </c>
      <c r="C224" s="2" t="s">
        <v>716</v>
      </c>
      <c r="D224" s="2" t="s">
        <v>66</v>
      </c>
      <c r="E224" s="2" t="s">
        <v>85</v>
      </c>
      <c r="F224" s="2">
        <v>35000</v>
      </c>
      <c r="G224" s="2">
        <v>1</v>
      </c>
      <c r="H224" s="2">
        <v>20</v>
      </c>
      <c r="I224">
        <f t="shared" si="15"/>
        <v>35000</v>
      </c>
      <c r="J224">
        <f t="shared" si="16"/>
        <v>7000</v>
      </c>
      <c r="K224" s="6">
        <f t="shared" si="17"/>
        <v>28000</v>
      </c>
      <c r="L224" s="2">
        <v>59000</v>
      </c>
      <c r="M224" s="6">
        <f>Table1[[#This Row],[Total Sales]]+Table1[[#This Row],[Shipping Fee]]</f>
        <v>87000</v>
      </c>
      <c r="N224" s="2" t="s">
        <v>63</v>
      </c>
      <c r="O224" t="str">
        <f>VLOOKUP(Table1[[#This Row],[Order ID]],Status!A:B, 2,FALSE)</f>
        <v>Shipped</v>
      </c>
      <c r="P224" s="2" t="s">
        <v>82</v>
      </c>
      <c r="Q224" s="2">
        <v>4</v>
      </c>
      <c r="R224" s="2" t="s">
        <v>24</v>
      </c>
      <c r="S224" s="11" t="str">
        <f t="shared" si="18"/>
        <v>Bagus</v>
      </c>
      <c r="T224" s="2" t="str">
        <f t="shared" si="19"/>
        <v>Rendah</v>
      </c>
    </row>
    <row r="225" spans="1:20" ht="15.75" customHeight="1" x14ac:dyDescent="0.3">
      <c r="A225" s="4" t="s">
        <v>2144</v>
      </c>
      <c r="B225" s="3">
        <v>45875.319328703707</v>
      </c>
      <c r="C225" s="2" t="s">
        <v>1311</v>
      </c>
      <c r="D225" s="2" t="s">
        <v>49</v>
      </c>
      <c r="E225" s="2" t="s">
        <v>81</v>
      </c>
      <c r="F225" s="2">
        <v>17000</v>
      </c>
      <c r="G225" s="2">
        <v>4</v>
      </c>
      <c r="H225" s="2">
        <v>15</v>
      </c>
      <c r="I225">
        <f t="shared" si="15"/>
        <v>68000</v>
      </c>
      <c r="J225">
        <f t="shared" si="16"/>
        <v>10200</v>
      </c>
      <c r="K225" s="6">
        <f t="shared" si="17"/>
        <v>57800</v>
      </c>
      <c r="L225" s="2">
        <v>43000</v>
      </c>
      <c r="M225" s="6">
        <f>Table1[[#This Row],[Total Sales]]+Table1[[#This Row],[Shipping Fee]]</f>
        <v>100800</v>
      </c>
      <c r="N225" s="2" t="s">
        <v>29</v>
      </c>
      <c r="O225" t="str">
        <f>VLOOKUP(Table1[[#This Row],[Order ID]],Status!A:B, 2,FALSE)</f>
        <v>Shipped</v>
      </c>
      <c r="P225" s="2" t="s">
        <v>23</v>
      </c>
      <c r="Q225" s="2">
        <v>5</v>
      </c>
      <c r="R225" s="2" t="s">
        <v>24</v>
      </c>
      <c r="S225" s="11" t="str">
        <f t="shared" si="18"/>
        <v>Bagus</v>
      </c>
      <c r="T225" s="2" t="str">
        <f t="shared" si="19"/>
        <v>Normal</v>
      </c>
    </row>
    <row r="226" spans="1:20" ht="15.75" customHeight="1" x14ac:dyDescent="0.3">
      <c r="A226" s="4" t="s">
        <v>2143</v>
      </c>
      <c r="B226" s="3">
        <v>45875.015324074076</v>
      </c>
      <c r="C226" s="2" t="s">
        <v>437</v>
      </c>
      <c r="D226" s="2" t="s">
        <v>375</v>
      </c>
      <c r="E226" s="2" t="s">
        <v>250</v>
      </c>
      <c r="F226" s="2">
        <v>18000</v>
      </c>
      <c r="G226" s="2">
        <v>2</v>
      </c>
      <c r="H226" s="2">
        <v>10</v>
      </c>
      <c r="I226">
        <f t="shared" si="15"/>
        <v>36000</v>
      </c>
      <c r="J226">
        <f t="shared" si="16"/>
        <v>3600</v>
      </c>
      <c r="K226" s="6">
        <f t="shared" si="17"/>
        <v>32400</v>
      </c>
      <c r="L226" s="2">
        <v>21000</v>
      </c>
      <c r="M226" s="6">
        <f>Table1[[#This Row],[Total Sales]]+Table1[[#This Row],[Shipping Fee]]</f>
        <v>53400</v>
      </c>
      <c r="N226" s="2" t="s">
        <v>63</v>
      </c>
      <c r="O226" t="str">
        <f>VLOOKUP(Table1[[#This Row],[Order ID]],Status!A:B, 2,FALSE)</f>
        <v>Shipped</v>
      </c>
      <c r="P226" s="2" t="s">
        <v>82</v>
      </c>
      <c r="Q226" s="2">
        <v>2</v>
      </c>
      <c r="R226" s="2" t="s">
        <v>24</v>
      </c>
      <c r="S226" s="11" t="str">
        <f t="shared" si="18"/>
        <v>Rendah</v>
      </c>
      <c r="T226" s="2" t="str">
        <f t="shared" si="19"/>
        <v>Sangat Rendah</v>
      </c>
    </row>
    <row r="227" spans="1:20" ht="15.75" customHeight="1" x14ac:dyDescent="0.3">
      <c r="A227" s="4" t="s">
        <v>2142</v>
      </c>
      <c r="B227" s="3">
        <v>45874.707152777781</v>
      </c>
      <c r="C227" s="2" t="s">
        <v>1321</v>
      </c>
      <c r="D227" s="2" t="s">
        <v>113</v>
      </c>
      <c r="E227" s="2" t="s">
        <v>136</v>
      </c>
      <c r="F227" s="2">
        <v>12000</v>
      </c>
      <c r="G227" s="2">
        <v>2</v>
      </c>
      <c r="H227" s="2">
        <v>20</v>
      </c>
      <c r="I227">
        <f t="shared" si="15"/>
        <v>24000</v>
      </c>
      <c r="J227">
        <f t="shared" si="16"/>
        <v>4800</v>
      </c>
      <c r="K227" s="6">
        <f t="shared" si="17"/>
        <v>19200</v>
      </c>
      <c r="L227" s="2">
        <v>18000</v>
      </c>
      <c r="M227" s="6">
        <f>Table1[[#This Row],[Total Sales]]+Table1[[#This Row],[Shipping Fee]]</f>
        <v>37200</v>
      </c>
      <c r="N227" s="2" t="s">
        <v>35</v>
      </c>
      <c r="O227" t="str">
        <f>VLOOKUP(Table1[[#This Row],[Order ID]],Status!A:B, 2,FALSE)</f>
        <v>Shipped</v>
      </c>
      <c r="P227" s="2" t="s">
        <v>36</v>
      </c>
      <c r="Q227" s="2">
        <v>5</v>
      </c>
      <c r="R227" s="2" t="s">
        <v>24</v>
      </c>
      <c r="S227" s="11" t="str">
        <f t="shared" si="18"/>
        <v>Bagus</v>
      </c>
      <c r="T227" s="2" t="str">
        <f t="shared" si="19"/>
        <v>Sangat Rendah</v>
      </c>
    </row>
    <row r="228" spans="1:20" ht="15.75" customHeight="1" x14ac:dyDescent="0.3">
      <c r="A228" s="4" t="s">
        <v>2141</v>
      </c>
      <c r="B228" s="3">
        <v>45874.582118055558</v>
      </c>
      <c r="C228" s="2" t="s">
        <v>133</v>
      </c>
      <c r="D228" s="2" t="s">
        <v>33</v>
      </c>
      <c r="E228" s="2" t="s">
        <v>41</v>
      </c>
      <c r="F228" s="2">
        <v>4000</v>
      </c>
      <c r="G228" s="2">
        <v>1</v>
      </c>
      <c r="H228" s="2">
        <v>0</v>
      </c>
      <c r="I228">
        <f t="shared" si="15"/>
        <v>4000</v>
      </c>
      <c r="J228">
        <f t="shared" si="16"/>
        <v>0</v>
      </c>
      <c r="K228" s="6">
        <f t="shared" si="17"/>
        <v>4000</v>
      </c>
      <c r="L228" s="2">
        <v>76000</v>
      </c>
      <c r="M228" s="6">
        <f>Table1[[#This Row],[Total Sales]]+Table1[[#This Row],[Shipping Fee]]</f>
        <v>80000</v>
      </c>
      <c r="N228" s="2" t="s">
        <v>63</v>
      </c>
      <c r="O228" t="str">
        <f>VLOOKUP(Table1[[#This Row],[Order ID]],Status!A:B, 2,FALSE)</f>
        <v>Pending</v>
      </c>
      <c r="P228" s="2" t="s">
        <v>46</v>
      </c>
      <c r="Q228" s="2">
        <v>1</v>
      </c>
      <c r="R228" s="2" t="s">
        <v>24</v>
      </c>
      <c r="S228" s="11" t="str">
        <f t="shared" si="18"/>
        <v>Rendah</v>
      </c>
      <c r="T228" s="2" t="str">
        <f t="shared" si="19"/>
        <v>Sangat Rendah</v>
      </c>
    </row>
    <row r="229" spans="1:20" ht="15.75" customHeight="1" x14ac:dyDescent="0.3">
      <c r="A229" s="4" t="s">
        <v>2140</v>
      </c>
      <c r="B229" s="3">
        <v>45874.576701388891</v>
      </c>
      <c r="C229" s="2" t="s">
        <v>1053</v>
      </c>
      <c r="D229" s="2" t="s">
        <v>80</v>
      </c>
      <c r="E229" s="2" t="s">
        <v>62</v>
      </c>
      <c r="F229" s="2">
        <v>50000</v>
      </c>
      <c r="G229" s="2">
        <v>4</v>
      </c>
      <c r="H229" s="2">
        <v>0</v>
      </c>
      <c r="I229">
        <f t="shared" si="15"/>
        <v>200000</v>
      </c>
      <c r="J229">
        <f t="shared" si="16"/>
        <v>0</v>
      </c>
      <c r="K229" s="6">
        <f t="shared" si="17"/>
        <v>200000</v>
      </c>
      <c r="L229" s="2">
        <v>74000</v>
      </c>
      <c r="M229" s="6">
        <f>Table1[[#This Row],[Total Sales]]+Table1[[#This Row],[Shipping Fee]]</f>
        <v>274000</v>
      </c>
      <c r="N229" s="2" t="s">
        <v>35</v>
      </c>
      <c r="O229" t="str">
        <f>VLOOKUP(Table1[[#This Row],[Order ID]],Status!A:B, 2,FALSE)</f>
        <v>Completed</v>
      </c>
      <c r="P229" s="2" t="s">
        <v>36</v>
      </c>
      <c r="Q229" s="2">
        <v>2</v>
      </c>
      <c r="R229" s="2" t="s">
        <v>24</v>
      </c>
      <c r="S229" s="11" t="str">
        <f t="shared" si="18"/>
        <v>Rendah</v>
      </c>
      <c r="T229" s="2" t="str">
        <f t="shared" si="19"/>
        <v>Sangat Rendah</v>
      </c>
    </row>
    <row r="230" spans="1:20" ht="15.75" customHeight="1" x14ac:dyDescent="0.3">
      <c r="A230" s="4" t="s">
        <v>2139</v>
      </c>
      <c r="B230" s="3">
        <v>45874.34065972222</v>
      </c>
      <c r="C230" s="2" t="s">
        <v>853</v>
      </c>
      <c r="D230" s="2" t="s">
        <v>151</v>
      </c>
      <c r="E230" s="2" t="s">
        <v>21</v>
      </c>
      <c r="F230" s="2">
        <v>45000</v>
      </c>
      <c r="G230" s="2">
        <v>3</v>
      </c>
      <c r="H230" s="2">
        <v>15</v>
      </c>
      <c r="I230">
        <f t="shared" si="15"/>
        <v>135000</v>
      </c>
      <c r="J230">
        <f t="shared" si="16"/>
        <v>20250</v>
      </c>
      <c r="K230" s="6">
        <f t="shared" si="17"/>
        <v>114750</v>
      </c>
      <c r="L230" s="2">
        <v>55000</v>
      </c>
      <c r="M230" s="6">
        <f>Table1[[#This Row],[Total Sales]]+Table1[[#This Row],[Shipping Fee]]</f>
        <v>169750</v>
      </c>
      <c r="N230" s="2" t="s">
        <v>63</v>
      </c>
      <c r="O230" t="str">
        <f>VLOOKUP(Table1[[#This Row],[Order ID]],Status!A:B, 2,FALSE)</f>
        <v>Shipped</v>
      </c>
      <c r="P230" s="2" t="s">
        <v>46</v>
      </c>
      <c r="Q230" s="2">
        <v>2</v>
      </c>
      <c r="R230" s="2" t="s">
        <v>24</v>
      </c>
      <c r="S230" s="11" t="str">
        <f t="shared" si="18"/>
        <v>Rendah</v>
      </c>
      <c r="T230" s="2" t="str">
        <f t="shared" si="19"/>
        <v>Tinggi</v>
      </c>
    </row>
    <row r="231" spans="1:20" ht="15.75" customHeight="1" x14ac:dyDescent="0.3">
      <c r="A231" s="4" t="s">
        <v>2138</v>
      </c>
      <c r="B231" s="3">
        <v>45874.239999999998</v>
      </c>
      <c r="C231" s="2" t="s">
        <v>812</v>
      </c>
      <c r="D231" s="2" t="s">
        <v>33</v>
      </c>
      <c r="E231" s="2" t="s">
        <v>28</v>
      </c>
      <c r="F231" s="2">
        <v>5000</v>
      </c>
      <c r="G231" s="2">
        <v>3</v>
      </c>
      <c r="H231" s="2">
        <v>20</v>
      </c>
      <c r="I231">
        <f t="shared" si="15"/>
        <v>15000</v>
      </c>
      <c r="J231">
        <f t="shared" si="16"/>
        <v>3000</v>
      </c>
      <c r="K231" s="6">
        <f t="shared" si="17"/>
        <v>12000</v>
      </c>
      <c r="L231" s="2">
        <v>76000</v>
      </c>
      <c r="M231" s="6">
        <f>Table1[[#This Row],[Total Sales]]+Table1[[#This Row],[Shipping Fee]]</f>
        <v>88000</v>
      </c>
      <c r="N231" s="2" t="s">
        <v>29</v>
      </c>
      <c r="O231" t="str">
        <f>VLOOKUP(Table1[[#This Row],[Order ID]],Status!A:B, 2,FALSE)</f>
        <v>Pending</v>
      </c>
      <c r="P231" s="2" t="s">
        <v>46</v>
      </c>
      <c r="Q231" s="2">
        <v>3</v>
      </c>
      <c r="R231" s="2" t="s">
        <v>24</v>
      </c>
      <c r="S231" s="11" t="str">
        <f t="shared" si="18"/>
        <v>Standar</v>
      </c>
      <c r="T231" s="2" t="str">
        <f t="shared" si="19"/>
        <v>Sangat Rendah</v>
      </c>
    </row>
    <row r="232" spans="1:20" ht="15.75" customHeight="1" x14ac:dyDescent="0.3">
      <c r="A232" s="4" t="s">
        <v>2137</v>
      </c>
      <c r="B232" s="3">
        <v>45874.185694444437</v>
      </c>
      <c r="C232" s="2" t="s">
        <v>269</v>
      </c>
      <c r="D232" s="2" t="s">
        <v>173</v>
      </c>
      <c r="E232" s="2" t="s">
        <v>21</v>
      </c>
      <c r="F232" s="2">
        <v>45000</v>
      </c>
      <c r="G232" s="2">
        <v>3</v>
      </c>
      <c r="H232" s="2">
        <v>20</v>
      </c>
      <c r="I232">
        <f t="shared" si="15"/>
        <v>135000</v>
      </c>
      <c r="J232">
        <f t="shared" si="16"/>
        <v>27000</v>
      </c>
      <c r="K232" s="6">
        <f t="shared" si="17"/>
        <v>108000</v>
      </c>
      <c r="L232" s="2">
        <v>49000</v>
      </c>
      <c r="M232" s="6">
        <f>Table1[[#This Row],[Total Sales]]+Table1[[#This Row],[Shipping Fee]]</f>
        <v>157000</v>
      </c>
      <c r="N232" s="2" t="s">
        <v>35</v>
      </c>
      <c r="O232" t="str">
        <f>VLOOKUP(Table1[[#This Row],[Order ID]],Status!A:B, 2,FALSE)</f>
        <v>Pending</v>
      </c>
      <c r="P232" s="2" t="s">
        <v>46</v>
      </c>
      <c r="Q232" s="2">
        <v>3</v>
      </c>
      <c r="R232" s="2" t="s">
        <v>37</v>
      </c>
      <c r="S232" s="11" t="str">
        <f t="shared" si="18"/>
        <v>Standar</v>
      </c>
      <c r="T232" s="2" t="str">
        <f t="shared" si="19"/>
        <v>Tinggi</v>
      </c>
    </row>
    <row r="233" spans="1:20" ht="15.75" customHeight="1" x14ac:dyDescent="0.3">
      <c r="A233" s="4" t="s">
        <v>2136</v>
      </c>
      <c r="B233" s="3">
        <v>45874.054560185177</v>
      </c>
      <c r="C233" s="2" t="s">
        <v>1259</v>
      </c>
      <c r="D233" s="2" t="s">
        <v>107</v>
      </c>
      <c r="E233" s="2" t="s">
        <v>50</v>
      </c>
      <c r="F233" s="2">
        <v>14000</v>
      </c>
      <c r="G233" s="2">
        <v>4</v>
      </c>
      <c r="H233" s="2">
        <v>5</v>
      </c>
      <c r="I233">
        <f t="shared" si="15"/>
        <v>56000</v>
      </c>
      <c r="J233">
        <f t="shared" si="16"/>
        <v>2800</v>
      </c>
      <c r="K233" s="6">
        <f t="shared" si="17"/>
        <v>53200</v>
      </c>
      <c r="L233" s="2">
        <v>97000</v>
      </c>
      <c r="M233" s="6">
        <f>Table1[[#This Row],[Total Sales]]+Table1[[#This Row],[Shipping Fee]]</f>
        <v>150200</v>
      </c>
      <c r="N233" s="2" t="s">
        <v>22</v>
      </c>
      <c r="O233" t="str">
        <f>VLOOKUP(Table1[[#This Row],[Order ID]],Status!A:B, 2,FALSE)</f>
        <v>Pending</v>
      </c>
      <c r="P233" s="2" t="s">
        <v>30</v>
      </c>
      <c r="Q233" s="2">
        <v>5</v>
      </c>
      <c r="R233" s="2" t="s">
        <v>37</v>
      </c>
      <c r="S233" s="11" t="str">
        <f t="shared" si="18"/>
        <v>Bagus</v>
      </c>
      <c r="T233" s="2" t="str">
        <f t="shared" si="19"/>
        <v>Sangat Rendah</v>
      </c>
    </row>
    <row r="234" spans="1:20" ht="15.75" customHeight="1" x14ac:dyDescent="0.3">
      <c r="A234" s="4" t="s">
        <v>2135</v>
      </c>
      <c r="B234" s="3">
        <v>45874.015775462962</v>
      </c>
      <c r="C234" s="2" t="s">
        <v>201</v>
      </c>
      <c r="D234" s="2" t="s">
        <v>107</v>
      </c>
      <c r="E234" s="2" t="s">
        <v>28</v>
      </c>
      <c r="F234" s="2">
        <v>5000</v>
      </c>
      <c r="G234" s="2">
        <v>3</v>
      </c>
      <c r="H234" s="2">
        <v>10</v>
      </c>
      <c r="I234">
        <f t="shared" si="15"/>
        <v>15000</v>
      </c>
      <c r="J234">
        <f t="shared" si="16"/>
        <v>1500</v>
      </c>
      <c r="K234" s="6">
        <f t="shared" si="17"/>
        <v>13500</v>
      </c>
      <c r="L234" s="2">
        <v>97000</v>
      </c>
      <c r="M234" s="6">
        <f>Table1[[#This Row],[Total Sales]]+Table1[[#This Row],[Shipping Fee]]</f>
        <v>110500</v>
      </c>
      <c r="N234" s="2" t="s">
        <v>35</v>
      </c>
      <c r="O234" t="str">
        <f>VLOOKUP(Table1[[#This Row],[Order ID]],Status!A:B, 2,FALSE)</f>
        <v>Completed</v>
      </c>
      <c r="P234" s="2" t="s">
        <v>82</v>
      </c>
      <c r="Q234" s="2">
        <v>5</v>
      </c>
      <c r="R234" s="2" t="s">
        <v>24</v>
      </c>
      <c r="S234" s="11" t="str">
        <f t="shared" si="18"/>
        <v>Bagus</v>
      </c>
      <c r="T234" s="2" t="str">
        <f t="shared" si="19"/>
        <v>Sangat Rendah</v>
      </c>
    </row>
    <row r="235" spans="1:20" ht="15.75" customHeight="1" x14ac:dyDescent="0.3">
      <c r="A235" s="4" t="s">
        <v>2135</v>
      </c>
      <c r="B235" s="3">
        <v>45874.015775462962</v>
      </c>
      <c r="C235" s="2" t="s">
        <v>201</v>
      </c>
      <c r="D235" s="2" t="s">
        <v>107</v>
      </c>
      <c r="E235" s="2" t="s">
        <v>136</v>
      </c>
      <c r="F235" s="2">
        <v>12000</v>
      </c>
      <c r="G235" s="2">
        <v>4</v>
      </c>
      <c r="H235" s="2">
        <v>0</v>
      </c>
      <c r="I235">
        <f t="shared" si="15"/>
        <v>48000</v>
      </c>
      <c r="J235">
        <f t="shared" si="16"/>
        <v>0</v>
      </c>
      <c r="K235" s="6">
        <f t="shared" si="17"/>
        <v>48000</v>
      </c>
      <c r="L235" s="2">
        <v>0</v>
      </c>
      <c r="M235" s="6">
        <f>Table1[[#This Row],[Total Sales]]+Table1[[#This Row],[Shipping Fee]]</f>
        <v>48000</v>
      </c>
      <c r="N235" s="2" t="s">
        <v>35</v>
      </c>
      <c r="O235" t="str">
        <f>VLOOKUP(Table1[[#This Row],[Order ID]],Status!A:B, 2,FALSE)</f>
        <v>Completed</v>
      </c>
      <c r="P235" s="2" t="s">
        <v>82</v>
      </c>
      <c r="Q235" s="2">
        <v>5</v>
      </c>
      <c r="R235" s="2" t="s">
        <v>24</v>
      </c>
      <c r="S235" s="11" t="str">
        <f t="shared" si="18"/>
        <v>Bagus</v>
      </c>
      <c r="T235" s="2" t="str">
        <f t="shared" si="19"/>
        <v>Sangat Rendah</v>
      </c>
    </row>
    <row r="236" spans="1:20" ht="15.75" customHeight="1" x14ac:dyDescent="0.3">
      <c r="A236" s="4" t="s">
        <v>2134</v>
      </c>
      <c r="B236" s="3">
        <v>45873.952962962961</v>
      </c>
      <c r="C236" s="2" t="s">
        <v>431</v>
      </c>
      <c r="D236" s="2" t="s">
        <v>33</v>
      </c>
      <c r="E236" s="2" t="s">
        <v>85</v>
      </c>
      <c r="F236" s="2">
        <v>35000</v>
      </c>
      <c r="G236" s="2">
        <v>5</v>
      </c>
      <c r="H236" s="2">
        <v>5</v>
      </c>
      <c r="I236">
        <f t="shared" si="15"/>
        <v>175000</v>
      </c>
      <c r="J236">
        <f t="shared" si="16"/>
        <v>8750</v>
      </c>
      <c r="K236" s="6">
        <f t="shared" si="17"/>
        <v>166250</v>
      </c>
      <c r="L236" s="2">
        <v>76000</v>
      </c>
      <c r="M236" s="6">
        <f>Table1[[#This Row],[Total Sales]]+Table1[[#This Row],[Shipping Fee]]</f>
        <v>242250</v>
      </c>
      <c r="N236" s="2" t="s">
        <v>29</v>
      </c>
      <c r="O236" t="str">
        <f>VLOOKUP(Table1[[#This Row],[Order ID]],Status!A:B, 2,FALSE)</f>
        <v>Shipped</v>
      </c>
      <c r="P236" s="2" t="s">
        <v>36</v>
      </c>
      <c r="Q236" s="2">
        <v>5</v>
      </c>
      <c r="R236" s="2" t="s">
        <v>24</v>
      </c>
      <c r="S236" s="11" t="str">
        <f t="shared" si="18"/>
        <v>Bagus</v>
      </c>
      <c r="T236" s="2" t="str">
        <f t="shared" si="19"/>
        <v>Rendah</v>
      </c>
    </row>
    <row r="237" spans="1:20" ht="15.75" customHeight="1" x14ac:dyDescent="0.3">
      <c r="A237" s="4" t="s">
        <v>2133</v>
      </c>
      <c r="B237" s="3">
        <v>45873.718784722223</v>
      </c>
      <c r="C237" s="2" t="s">
        <v>398</v>
      </c>
      <c r="D237" s="2" t="s">
        <v>182</v>
      </c>
      <c r="E237" s="2" t="s">
        <v>186</v>
      </c>
      <c r="F237" s="2">
        <v>45000</v>
      </c>
      <c r="G237" s="2">
        <v>4</v>
      </c>
      <c r="H237" s="2">
        <v>15</v>
      </c>
      <c r="I237">
        <f t="shared" si="15"/>
        <v>180000</v>
      </c>
      <c r="J237">
        <f t="shared" si="16"/>
        <v>27000</v>
      </c>
      <c r="K237" s="6">
        <f t="shared" si="17"/>
        <v>153000</v>
      </c>
      <c r="L237" s="2">
        <v>48000</v>
      </c>
      <c r="M237" s="6">
        <f>Table1[[#This Row],[Total Sales]]+Table1[[#This Row],[Shipping Fee]]</f>
        <v>201000</v>
      </c>
      <c r="N237" s="2" t="s">
        <v>29</v>
      </c>
      <c r="O237" t="str">
        <f>VLOOKUP(Table1[[#This Row],[Order ID]],Status!A:B, 2,FALSE)</f>
        <v>Completed</v>
      </c>
      <c r="P237" s="2" t="s">
        <v>82</v>
      </c>
      <c r="Q237" s="2">
        <v>5</v>
      </c>
      <c r="R237" s="2" t="s">
        <v>24</v>
      </c>
      <c r="S237" s="11" t="str">
        <f t="shared" si="18"/>
        <v>Bagus</v>
      </c>
      <c r="T237" s="2" t="str">
        <f t="shared" si="19"/>
        <v>Tinggi</v>
      </c>
    </row>
    <row r="238" spans="1:20" ht="15.75" customHeight="1" x14ac:dyDescent="0.3">
      <c r="A238" s="4" t="s">
        <v>2132</v>
      </c>
      <c r="B238" s="3">
        <v>45873.633842592593</v>
      </c>
      <c r="C238" s="2" t="s">
        <v>394</v>
      </c>
      <c r="D238" s="2" t="s">
        <v>53</v>
      </c>
      <c r="E238" s="2" t="s">
        <v>190</v>
      </c>
      <c r="F238" s="2">
        <v>35000</v>
      </c>
      <c r="G238" s="2">
        <v>4</v>
      </c>
      <c r="H238" s="2">
        <v>20</v>
      </c>
      <c r="I238">
        <f t="shared" si="15"/>
        <v>140000</v>
      </c>
      <c r="J238">
        <f t="shared" si="16"/>
        <v>28000</v>
      </c>
      <c r="K238" s="6">
        <f t="shared" si="17"/>
        <v>112000</v>
      </c>
      <c r="L238" s="2">
        <v>18000</v>
      </c>
      <c r="M238" s="6">
        <f>Table1[[#This Row],[Total Sales]]+Table1[[#This Row],[Shipping Fee]]</f>
        <v>130000</v>
      </c>
      <c r="N238" s="2" t="s">
        <v>29</v>
      </c>
      <c r="O238" t="str">
        <f>VLOOKUP(Table1[[#This Row],[Order ID]],Status!A:B, 2,FALSE)</f>
        <v>Completed</v>
      </c>
      <c r="P238" s="2" t="s">
        <v>36</v>
      </c>
      <c r="Q238" s="2">
        <v>5</v>
      </c>
      <c r="R238" s="2" t="s">
        <v>24</v>
      </c>
      <c r="S238" s="11" t="str">
        <f t="shared" si="18"/>
        <v>Bagus</v>
      </c>
      <c r="T238" s="2" t="str">
        <f t="shared" si="19"/>
        <v>Tinggi</v>
      </c>
    </row>
    <row r="239" spans="1:20" ht="15.75" customHeight="1" x14ac:dyDescent="0.3">
      <c r="A239" s="4" t="s">
        <v>2131</v>
      </c>
      <c r="B239" s="3">
        <v>45873.464270833327</v>
      </c>
      <c r="C239" s="2" t="s">
        <v>203</v>
      </c>
      <c r="D239" s="2" t="s">
        <v>20</v>
      </c>
      <c r="E239" s="2" t="s">
        <v>250</v>
      </c>
      <c r="F239" s="2">
        <v>18000</v>
      </c>
      <c r="G239" s="2">
        <v>4</v>
      </c>
      <c r="H239" s="2">
        <v>15</v>
      </c>
      <c r="I239">
        <f t="shared" si="15"/>
        <v>72000</v>
      </c>
      <c r="J239">
        <f t="shared" si="16"/>
        <v>10800</v>
      </c>
      <c r="K239" s="6">
        <f t="shared" si="17"/>
        <v>61200</v>
      </c>
      <c r="L239" s="2">
        <v>15000</v>
      </c>
      <c r="M239" s="6">
        <f>Table1[[#This Row],[Total Sales]]+Table1[[#This Row],[Shipping Fee]]</f>
        <v>76200</v>
      </c>
      <c r="N239" s="2" t="s">
        <v>22</v>
      </c>
      <c r="O239" t="str">
        <f>VLOOKUP(Table1[[#This Row],[Order ID]],Status!A:B, 2,FALSE)</f>
        <v>Completed</v>
      </c>
      <c r="P239" s="2" t="s">
        <v>82</v>
      </c>
      <c r="Q239" s="2">
        <v>1</v>
      </c>
      <c r="R239" s="2" t="s">
        <v>24</v>
      </c>
      <c r="S239" s="11" t="str">
        <f t="shared" si="18"/>
        <v>Rendah</v>
      </c>
      <c r="T239" s="2" t="str">
        <f t="shared" si="19"/>
        <v>Normal</v>
      </c>
    </row>
    <row r="240" spans="1:20" ht="15.75" customHeight="1" x14ac:dyDescent="0.3">
      <c r="A240" s="4" t="s">
        <v>2130</v>
      </c>
      <c r="B240" s="3">
        <v>45873.405289351853</v>
      </c>
      <c r="C240" s="2" t="s">
        <v>549</v>
      </c>
      <c r="D240" s="2" t="s">
        <v>107</v>
      </c>
      <c r="E240" s="2" t="s">
        <v>58</v>
      </c>
      <c r="F240" s="2">
        <v>16000</v>
      </c>
      <c r="G240" s="2">
        <v>1</v>
      </c>
      <c r="H240" s="2">
        <v>5</v>
      </c>
      <c r="I240">
        <f t="shared" si="15"/>
        <v>16000</v>
      </c>
      <c r="J240">
        <f t="shared" si="16"/>
        <v>800</v>
      </c>
      <c r="K240" s="6">
        <f t="shared" si="17"/>
        <v>15200</v>
      </c>
      <c r="L240" s="2">
        <v>97000</v>
      </c>
      <c r="M240" s="6">
        <f>Table1[[#This Row],[Total Sales]]+Table1[[#This Row],[Shipping Fee]]</f>
        <v>112200</v>
      </c>
      <c r="N240" s="2" t="s">
        <v>29</v>
      </c>
      <c r="O240" t="str">
        <f>VLOOKUP(Table1[[#This Row],[Order ID]],Status!A:B, 2,FALSE)</f>
        <v>Completed</v>
      </c>
      <c r="P240" s="2" t="s">
        <v>30</v>
      </c>
      <c r="Q240" s="2">
        <v>2</v>
      </c>
      <c r="R240" s="2" t="s">
        <v>24</v>
      </c>
      <c r="S240" s="11" t="str">
        <f t="shared" si="18"/>
        <v>Rendah</v>
      </c>
      <c r="T240" s="2" t="str">
        <f t="shared" si="19"/>
        <v>Sangat Rendah</v>
      </c>
    </row>
    <row r="241" spans="1:20" ht="15.75" customHeight="1" x14ac:dyDescent="0.3">
      <c r="A241" s="4" t="s">
        <v>2129</v>
      </c>
      <c r="B241" s="3">
        <v>45872.704386574071</v>
      </c>
      <c r="C241" s="2" t="s">
        <v>133</v>
      </c>
      <c r="D241" s="2" t="s">
        <v>33</v>
      </c>
      <c r="E241" s="2" t="s">
        <v>88</v>
      </c>
      <c r="F241" s="2">
        <v>14000</v>
      </c>
      <c r="G241" s="2">
        <v>2</v>
      </c>
      <c r="H241" s="2">
        <v>0</v>
      </c>
      <c r="I241">
        <f t="shared" si="15"/>
        <v>28000</v>
      </c>
      <c r="J241">
        <f t="shared" si="16"/>
        <v>0</v>
      </c>
      <c r="K241" s="6">
        <f t="shared" si="17"/>
        <v>28000</v>
      </c>
      <c r="L241" s="2">
        <v>76000</v>
      </c>
      <c r="M241" s="6">
        <f>Table1[[#This Row],[Total Sales]]+Table1[[#This Row],[Shipping Fee]]</f>
        <v>104000</v>
      </c>
      <c r="N241" s="2" t="s">
        <v>22</v>
      </c>
      <c r="O241" t="str">
        <f>VLOOKUP(Table1[[#This Row],[Order ID]],Status!A:B, 2,FALSE)</f>
        <v>Pending</v>
      </c>
      <c r="P241" s="2" t="s">
        <v>82</v>
      </c>
      <c r="Q241" s="2">
        <v>4</v>
      </c>
      <c r="R241" s="2" t="s">
        <v>24</v>
      </c>
      <c r="S241" s="11" t="str">
        <f t="shared" si="18"/>
        <v>Bagus</v>
      </c>
      <c r="T241" s="2" t="str">
        <f t="shared" si="19"/>
        <v>Sangat Rendah</v>
      </c>
    </row>
    <row r="242" spans="1:20" ht="15.75" customHeight="1" x14ac:dyDescent="0.3">
      <c r="A242" s="4" t="s">
        <v>2128</v>
      </c>
      <c r="B242" s="3">
        <v>45872.690312500003</v>
      </c>
      <c r="C242" s="2" t="s">
        <v>179</v>
      </c>
      <c r="D242" s="2" t="s">
        <v>66</v>
      </c>
      <c r="E242" s="2" t="s">
        <v>67</v>
      </c>
      <c r="F242" s="2">
        <v>15000</v>
      </c>
      <c r="G242" s="2">
        <v>3</v>
      </c>
      <c r="H242" s="2">
        <v>15</v>
      </c>
      <c r="I242">
        <f t="shared" si="15"/>
        <v>45000</v>
      </c>
      <c r="J242">
        <f t="shared" si="16"/>
        <v>6750</v>
      </c>
      <c r="K242" s="6">
        <f t="shared" si="17"/>
        <v>38250</v>
      </c>
      <c r="L242" s="2">
        <v>59000</v>
      </c>
      <c r="M242" s="6">
        <f>Table1[[#This Row],[Total Sales]]+Table1[[#This Row],[Shipping Fee]]</f>
        <v>97250</v>
      </c>
      <c r="N242" s="2" t="s">
        <v>22</v>
      </c>
      <c r="O242" t="str">
        <f>VLOOKUP(Table1[[#This Row],[Order ID]],Status!A:B, 2,FALSE)</f>
        <v>Completed</v>
      </c>
      <c r="P242" s="2" t="s">
        <v>46</v>
      </c>
      <c r="Q242" s="2">
        <v>2</v>
      </c>
      <c r="R242" s="2" t="s">
        <v>24</v>
      </c>
      <c r="S242" s="11" t="str">
        <f t="shared" si="18"/>
        <v>Rendah</v>
      </c>
      <c r="T242" s="2" t="str">
        <f t="shared" si="19"/>
        <v>Rendah</v>
      </c>
    </row>
    <row r="243" spans="1:20" ht="15.75" customHeight="1" x14ac:dyDescent="0.3">
      <c r="A243" s="4" t="s">
        <v>2127</v>
      </c>
      <c r="B243" s="3">
        <v>45872.512638888889</v>
      </c>
      <c r="C243" s="2" t="s">
        <v>1263</v>
      </c>
      <c r="D243" s="2" t="s">
        <v>435</v>
      </c>
      <c r="E243" s="2" t="s">
        <v>136</v>
      </c>
      <c r="F243" s="2">
        <v>12000</v>
      </c>
      <c r="G243" s="2">
        <v>4</v>
      </c>
      <c r="H243" s="2">
        <v>20</v>
      </c>
      <c r="I243">
        <f t="shared" si="15"/>
        <v>48000</v>
      </c>
      <c r="J243">
        <f t="shared" si="16"/>
        <v>9600</v>
      </c>
      <c r="K243" s="6">
        <f t="shared" si="17"/>
        <v>38400</v>
      </c>
      <c r="L243" s="2">
        <v>67000</v>
      </c>
      <c r="M243" s="6">
        <f>Table1[[#This Row],[Total Sales]]+Table1[[#This Row],[Shipping Fee]]</f>
        <v>105400</v>
      </c>
      <c r="N243" s="2" t="s">
        <v>63</v>
      </c>
      <c r="O243" t="str">
        <f>VLOOKUP(Table1[[#This Row],[Order ID]],Status!A:B, 2,FALSE)</f>
        <v>Completed</v>
      </c>
      <c r="P243" s="2" t="s">
        <v>23</v>
      </c>
      <c r="Q243" s="2">
        <v>1</v>
      </c>
      <c r="R243" s="2" t="s">
        <v>24</v>
      </c>
      <c r="S243" s="11" t="str">
        <f t="shared" si="18"/>
        <v>Rendah</v>
      </c>
      <c r="T243" s="2" t="str">
        <f t="shared" si="19"/>
        <v>Rendah</v>
      </c>
    </row>
    <row r="244" spans="1:20" ht="15.75" customHeight="1" x14ac:dyDescent="0.3">
      <c r="A244" s="4" t="s">
        <v>2126</v>
      </c>
      <c r="B244" s="3">
        <v>45872.414965277778</v>
      </c>
      <c r="C244" s="2" t="s">
        <v>570</v>
      </c>
      <c r="D244" s="2" t="s">
        <v>80</v>
      </c>
      <c r="E244" s="2" t="s">
        <v>41</v>
      </c>
      <c r="F244" s="2">
        <v>4000</v>
      </c>
      <c r="G244" s="2">
        <v>2</v>
      </c>
      <c r="H244" s="2">
        <v>0</v>
      </c>
      <c r="I244">
        <f t="shared" si="15"/>
        <v>8000</v>
      </c>
      <c r="J244">
        <f t="shared" si="16"/>
        <v>0</v>
      </c>
      <c r="K244" s="6">
        <f t="shared" si="17"/>
        <v>8000</v>
      </c>
      <c r="L244" s="2">
        <v>0</v>
      </c>
      <c r="M244" s="6">
        <f>Table1[[#This Row],[Total Sales]]+Table1[[#This Row],[Shipping Fee]]</f>
        <v>8000</v>
      </c>
      <c r="N244" s="2" t="s">
        <v>63</v>
      </c>
      <c r="O244" t="str">
        <f>VLOOKUP(Table1[[#This Row],[Order ID]],Status!A:B, 2,FALSE)</f>
        <v>Shipped</v>
      </c>
      <c r="P244" s="2" t="s">
        <v>30</v>
      </c>
      <c r="Q244" s="2">
        <v>5</v>
      </c>
      <c r="R244" s="2" t="s">
        <v>24</v>
      </c>
      <c r="S244" s="11" t="str">
        <f t="shared" si="18"/>
        <v>Bagus</v>
      </c>
      <c r="T244" s="2" t="str">
        <f t="shared" si="19"/>
        <v>Sangat Rendah</v>
      </c>
    </row>
    <row r="245" spans="1:20" ht="15.75" customHeight="1" x14ac:dyDescent="0.3">
      <c r="A245" s="4" t="s">
        <v>2126</v>
      </c>
      <c r="B245" s="3">
        <v>45872.414965277778</v>
      </c>
      <c r="C245" s="2" t="s">
        <v>570</v>
      </c>
      <c r="D245" s="2" t="s">
        <v>80</v>
      </c>
      <c r="E245" s="2" t="s">
        <v>62</v>
      </c>
      <c r="F245" s="2">
        <v>50000</v>
      </c>
      <c r="G245" s="2">
        <v>5</v>
      </c>
      <c r="H245" s="2">
        <v>10</v>
      </c>
      <c r="I245">
        <f t="shared" si="15"/>
        <v>250000</v>
      </c>
      <c r="J245">
        <f t="shared" si="16"/>
        <v>25000</v>
      </c>
      <c r="K245" s="6">
        <f t="shared" si="17"/>
        <v>225000</v>
      </c>
      <c r="L245" s="2">
        <v>74000</v>
      </c>
      <c r="M245" s="6">
        <f>Table1[[#This Row],[Total Sales]]+Table1[[#This Row],[Shipping Fee]]</f>
        <v>299000</v>
      </c>
      <c r="N245" s="2" t="s">
        <v>63</v>
      </c>
      <c r="O245" t="str">
        <f>VLOOKUP(Table1[[#This Row],[Order ID]],Status!A:B, 2,FALSE)</f>
        <v>Shipped</v>
      </c>
      <c r="P245" s="2" t="s">
        <v>30</v>
      </c>
      <c r="Q245" s="2">
        <v>5</v>
      </c>
      <c r="R245" s="2" t="s">
        <v>24</v>
      </c>
      <c r="S245" s="11" t="str">
        <f t="shared" si="18"/>
        <v>Bagus</v>
      </c>
      <c r="T245" s="2" t="str">
        <f t="shared" si="19"/>
        <v>Tinggi</v>
      </c>
    </row>
    <row r="246" spans="1:20" ht="15.75" customHeight="1" x14ac:dyDescent="0.3">
      <c r="A246" s="4" t="s">
        <v>2125</v>
      </c>
      <c r="B246" s="3">
        <v>45872.387523148151</v>
      </c>
      <c r="C246" s="2" t="s">
        <v>860</v>
      </c>
      <c r="D246" s="2" t="s">
        <v>44</v>
      </c>
      <c r="E246" s="2" t="s">
        <v>88</v>
      </c>
      <c r="F246" s="2">
        <v>14000</v>
      </c>
      <c r="G246" s="2">
        <v>1</v>
      </c>
      <c r="H246" s="2">
        <v>5</v>
      </c>
      <c r="I246">
        <f t="shared" si="15"/>
        <v>14000</v>
      </c>
      <c r="J246">
        <f t="shared" si="16"/>
        <v>700</v>
      </c>
      <c r="K246" s="6">
        <f t="shared" si="17"/>
        <v>13300</v>
      </c>
      <c r="L246" s="2">
        <v>93000</v>
      </c>
      <c r="M246" s="6">
        <f>Table1[[#This Row],[Total Sales]]+Table1[[#This Row],[Shipping Fee]]</f>
        <v>106300</v>
      </c>
      <c r="N246" s="2" t="s">
        <v>22</v>
      </c>
      <c r="O246" t="str">
        <f>VLOOKUP(Table1[[#This Row],[Order ID]],Status!A:B, 2,FALSE)</f>
        <v>Returned</v>
      </c>
      <c r="P246" s="2" t="s">
        <v>36</v>
      </c>
      <c r="Q246" s="2">
        <v>2</v>
      </c>
      <c r="R246" s="2" t="s">
        <v>37</v>
      </c>
      <c r="S246" s="11" t="str">
        <f t="shared" si="18"/>
        <v>Rendah</v>
      </c>
      <c r="T246" s="2" t="str">
        <f t="shared" si="19"/>
        <v>Sangat Rendah</v>
      </c>
    </row>
    <row r="247" spans="1:20" ht="15.75" customHeight="1" x14ac:dyDescent="0.3">
      <c r="A247" s="4" t="s">
        <v>2123</v>
      </c>
      <c r="B247" s="3">
        <v>45872.378136574072</v>
      </c>
      <c r="C247" s="2" t="s">
        <v>2124</v>
      </c>
      <c r="D247" s="2" t="s">
        <v>151</v>
      </c>
      <c r="E247" s="2" t="s">
        <v>186</v>
      </c>
      <c r="F247" s="2">
        <v>45000</v>
      </c>
      <c r="G247" s="2">
        <v>1</v>
      </c>
      <c r="H247" s="2">
        <v>5</v>
      </c>
      <c r="I247">
        <f t="shared" si="15"/>
        <v>45000</v>
      </c>
      <c r="J247">
        <f t="shared" si="16"/>
        <v>2250</v>
      </c>
      <c r="K247" s="6">
        <f t="shared" si="17"/>
        <v>42750</v>
      </c>
      <c r="L247" s="2">
        <v>55000</v>
      </c>
      <c r="M247" s="6">
        <f>Table1[[#This Row],[Total Sales]]+Table1[[#This Row],[Shipping Fee]]</f>
        <v>97750</v>
      </c>
      <c r="N247" s="2" t="s">
        <v>35</v>
      </c>
      <c r="O247" t="str">
        <f>VLOOKUP(Table1[[#This Row],[Order ID]],Status!A:B, 2,FALSE)</f>
        <v>Completed</v>
      </c>
      <c r="P247" s="2" t="s">
        <v>46</v>
      </c>
      <c r="Q247" s="2">
        <v>1</v>
      </c>
      <c r="R247" s="2" t="s">
        <v>37</v>
      </c>
      <c r="S247" s="11" t="str">
        <f t="shared" si="18"/>
        <v>Rendah</v>
      </c>
      <c r="T247" s="2" t="str">
        <f t="shared" si="19"/>
        <v>Sangat Rendah</v>
      </c>
    </row>
    <row r="248" spans="1:20" ht="15.75" customHeight="1" x14ac:dyDescent="0.3">
      <c r="A248" s="4" t="s">
        <v>2122</v>
      </c>
      <c r="B248" s="3">
        <v>45872.123749999999</v>
      </c>
      <c r="C248" s="2" t="s">
        <v>118</v>
      </c>
      <c r="D248" s="2" t="s">
        <v>119</v>
      </c>
      <c r="E248" s="2" t="s">
        <v>250</v>
      </c>
      <c r="F248" s="2">
        <v>18000</v>
      </c>
      <c r="G248" s="2">
        <v>4</v>
      </c>
      <c r="H248" s="2">
        <v>5</v>
      </c>
      <c r="I248">
        <f t="shared" si="15"/>
        <v>72000</v>
      </c>
      <c r="J248">
        <f t="shared" si="16"/>
        <v>3600</v>
      </c>
      <c r="K248" s="6">
        <f t="shared" si="17"/>
        <v>68400</v>
      </c>
      <c r="L248" s="2">
        <v>0</v>
      </c>
      <c r="M248" s="6">
        <f>Table1[[#This Row],[Total Sales]]+Table1[[#This Row],[Shipping Fee]]</f>
        <v>68400</v>
      </c>
      <c r="N248" s="2" t="s">
        <v>29</v>
      </c>
      <c r="O248" t="str">
        <f>VLOOKUP(Table1[[#This Row],[Order ID]],Status!A:B, 2,FALSE)</f>
        <v>Completed</v>
      </c>
      <c r="P248" s="2" t="s">
        <v>46</v>
      </c>
      <c r="Q248" s="2">
        <v>3</v>
      </c>
      <c r="R248" s="2" t="s">
        <v>24</v>
      </c>
      <c r="S248" s="11" t="str">
        <f t="shared" si="18"/>
        <v>Standar</v>
      </c>
      <c r="T248" s="2" t="str">
        <f t="shared" si="19"/>
        <v>Sangat Rendah</v>
      </c>
    </row>
    <row r="249" spans="1:20" ht="15.75" customHeight="1" x14ac:dyDescent="0.3">
      <c r="A249" s="4" t="s">
        <v>2121</v>
      </c>
      <c r="B249" s="3">
        <v>45872.096770833326</v>
      </c>
      <c r="C249" s="2" t="s">
        <v>311</v>
      </c>
      <c r="D249" s="2" t="s">
        <v>116</v>
      </c>
      <c r="E249" s="2" t="s">
        <v>21</v>
      </c>
      <c r="F249" s="2">
        <v>45000</v>
      </c>
      <c r="G249" s="2">
        <v>5</v>
      </c>
      <c r="H249" s="2">
        <v>0</v>
      </c>
      <c r="I249">
        <f t="shared" si="15"/>
        <v>225000</v>
      </c>
      <c r="J249">
        <f t="shared" si="16"/>
        <v>0</v>
      </c>
      <c r="K249" s="6">
        <f t="shared" si="17"/>
        <v>225000</v>
      </c>
      <c r="L249" s="2">
        <v>72000</v>
      </c>
      <c r="M249" s="6">
        <f>Table1[[#This Row],[Total Sales]]+Table1[[#This Row],[Shipping Fee]]</f>
        <v>297000</v>
      </c>
      <c r="N249" s="2" t="s">
        <v>29</v>
      </c>
      <c r="O249" t="str">
        <f>VLOOKUP(Table1[[#This Row],[Order ID]],Status!A:B, 2,FALSE)</f>
        <v>Returned</v>
      </c>
      <c r="P249" s="2" t="s">
        <v>30</v>
      </c>
      <c r="Q249" s="2">
        <v>3</v>
      </c>
      <c r="R249" s="2" t="s">
        <v>24</v>
      </c>
      <c r="S249" s="11" t="str">
        <f t="shared" si="18"/>
        <v>Standar</v>
      </c>
      <c r="T249" s="2" t="str">
        <f t="shared" si="19"/>
        <v>Sangat Rendah</v>
      </c>
    </row>
    <row r="250" spans="1:20" ht="15.75" customHeight="1" x14ac:dyDescent="0.3">
      <c r="A250" s="4" t="s">
        <v>2120</v>
      </c>
      <c r="B250" s="3">
        <v>45872.077731481477</v>
      </c>
      <c r="C250" s="2" t="s">
        <v>176</v>
      </c>
      <c r="D250" s="2" t="s">
        <v>177</v>
      </c>
      <c r="E250" s="2" t="s">
        <v>93</v>
      </c>
      <c r="F250" s="2">
        <v>25000</v>
      </c>
      <c r="G250" s="2">
        <v>1</v>
      </c>
      <c r="H250" s="2">
        <v>20</v>
      </c>
      <c r="I250">
        <f t="shared" si="15"/>
        <v>25000</v>
      </c>
      <c r="J250">
        <f t="shared" si="16"/>
        <v>5000</v>
      </c>
      <c r="K250" s="6">
        <f t="shared" si="17"/>
        <v>20000</v>
      </c>
      <c r="L250" s="2">
        <v>56000</v>
      </c>
      <c r="M250" s="6">
        <f>Table1[[#This Row],[Total Sales]]+Table1[[#This Row],[Shipping Fee]]</f>
        <v>76000</v>
      </c>
      <c r="N250" s="2" t="s">
        <v>35</v>
      </c>
      <c r="O250" t="str">
        <f>VLOOKUP(Table1[[#This Row],[Order ID]],Status!A:B, 2,FALSE)</f>
        <v>Pending</v>
      </c>
      <c r="P250" s="2" t="s">
        <v>46</v>
      </c>
      <c r="Q250" s="2">
        <v>5</v>
      </c>
      <c r="R250" s="2" t="s">
        <v>24</v>
      </c>
      <c r="S250" s="11" t="str">
        <f t="shared" si="18"/>
        <v>Bagus</v>
      </c>
      <c r="T250" s="2" t="str">
        <f t="shared" si="19"/>
        <v>Sangat Rendah</v>
      </c>
    </row>
    <row r="251" spans="1:20" ht="15.75" customHeight="1" x14ac:dyDescent="0.3">
      <c r="A251" s="4" t="s">
        <v>2119</v>
      </c>
      <c r="B251" s="3">
        <v>45871.750162037039</v>
      </c>
      <c r="C251" s="2" t="s">
        <v>644</v>
      </c>
      <c r="D251" s="2" t="s">
        <v>244</v>
      </c>
      <c r="E251" s="2" t="s">
        <v>104</v>
      </c>
      <c r="F251" s="2">
        <v>30000</v>
      </c>
      <c r="G251" s="2">
        <v>4</v>
      </c>
      <c r="H251" s="2">
        <v>0</v>
      </c>
      <c r="I251">
        <f t="shared" si="15"/>
        <v>120000</v>
      </c>
      <c r="J251">
        <f t="shared" si="16"/>
        <v>0</v>
      </c>
      <c r="K251" s="6">
        <f t="shared" si="17"/>
        <v>120000</v>
      </c>
      <c r="L251" s="2">
        <v>80000</v>
      </c>
      <c r="M251" s="6">
        <f>Table1[[#This Row],[Total Sales]]+Table1[[#This Row],[Shipping Fee]]</f>
        <v>200000</v>
      </c>
      <c r="N251" s="2" t="s">
        <v>63</v>
      </c>
      <c r="O251" t="str">
        <f>VLOOKUP(Table1[[#This Row],[Order ID]],Status!A:B, 2,FALSE)</f>
        <v>Pending</v>
      </c>
      <c r="P251" s="2" t="s">
        <v>30</v>
      </c>
      <c r="Q251" s="2">
        <v>5</v>
      </c>
      <c r="R251" s="2" t="s">
        <v>24</v>
      </c>
      <c r="S251" s="11" t="str">
        <f t="shared" si="18"/>
        <v>Bagus</v>
      </c>
      <c r="T251" s="2" t="str">
        <f t="shared" si="19"/>
        <v>Sangat Rendah</v>
      </c>
    </row>
    <row r="252" spans="1:20" ht="15.75" customHeight="1" x14ac:dyDescent="0.3">
      <c r="A252" s="4" t="s">
        <v>2118</v>
      </c>
      <c r="B252" s="3">
        <v>45871.490358796298</v>
      </c>
      <c r="C252" s="2" t="s">
        <v>683</v>
      </c>
      <c r="D252" s="2" t="s">
        <v>27</v>
      </c>
      <c r="E252" s="2" t="s">
        <v>250</v>
      </c>
      <c r="F252" s="2">
        <v>18000</v>
      </c>
      <c r="G252" s="2">
        <v>3</v>
      </c>
      <c r="H252" s="2">
        <v>0</v>
      </c>
      <c r="I252">
        <f t="shared" si="15"/>
        <v>54000</v>
      </c>
      <c r="J252">
        <f t="shared" si="16"/>
        <v>0</v>
      </c>
      <c r="K252" s="6">
        <f t="shared" si="17"/>
        <v>54000</v>
      </c>
      <c r="L252" s="2">
        <v>17000</v>
      </c>
      <c r="M252" s="6">
        <f>Table1[[#This Row],[Total Sales]]+Table1[[#This Row],[Shipping Fee]]</f>
        <v>71000</v>
      </c>
      <c r="N252" s="2" t="s">
        <v>35</v>
      </c>
      <c r="O252" t="str">
        <f>VLOOKUP(Table1[[#This Row],[Order ID]],Status!A:B, 2,FALSE)</f>
        <v>Pending</v>
      </c>
      <c r="P252" s="2" t="s">
        <v>36</v>
      </c>
      <c r="Q252" s="2">
        <v>4</v>
      </c>
      <c r="R252" s="2" t="s">
        <v>37</v>
      </c>
      <c r="S252" s="11" t="str">
        <f t="shared" si="18"/>
        <v>Bagus</v>
      </c>
      <c r="T252" s="2" t="str">
        <f t="shared" si="19"/>
        <v>Sangat Rendah</v>
      </c>
    </row>
    <row r="253" spans="1:20" ht="15.75" customHeight="1" x14ac:dyDescent="0.3">
      <c r="A253" s="4" t="s">
        <v>2117</v>
      </c>
      <c r="B253" s="3">
        <v>45871.337280092594</v>
      </c>
      <c r="C253" s="2" t="s">
        <v>368</v>
      </c>
      <c r="D253" s="2" t="s">
        <v>113</v>
      </c>
      <c r="E253" s="2" t="s">
        <v>34</v>
      </c>
      <c r="F253" s="2">
        <v>16000</v>
      </c>
      <c r="G253" s="2">
        <v>4</v>
      </c>
      <c r="H253" s="2">
        <v>5</v>
      </c>
      <c r="I253">
        <f t="shared" si="15"/>
        <v>64000</v>
      </c>
      <c r="J253">
        <f t="shared" si="16"/>
        <v>3200</v>
      </c>
      <c r="K253" s="6">
        <f t="shared" si="17"/>
        <v>60800</v>
      </c>
      <c r="L253" s="2">
        <v>18000</v>
      </c>
      <c r="M253" s="6">
        <f>Table1[[#This Row],[Total Sales]]+Table1[[#This Row],[Shipping Fee]]</f>
        <v>78800</v>
      </c>
      <c r="N253" s="2" t="s">
        <v>22</v>
      </c>
      <c r="O253" t="str">
        <f>VLOOKUP(Table1[[#This Row],[Order ID]],Status!A:B, 2,FALSE)</f>
        <v>Shipped</v>
      </c>
      <c r="P253" s="2" t="s">
        <v>30</v>
      </c>
      <c r="Q253" s="2">
        <v>5</v>
      </c>
      <c r="R253" s="2" t="s">
        <v>37</v>
      </c>
      <c r="S253" s="11" t="str">
        <f t="shared" si="18"/>
        <v>Bagus</v>
      </c>
      <c r="T253" s="2" t="str">
        <f t="shared" si="19"/>
        <v>Sangat Rendah</v>
      </c>
    </row>
    <row r="254" spans="1:20" ht="15.75" customHeight="1" x14ac:dyDescent="0.3">
      <c r="A254" s="4" t="s">
        <v>2116</v>
      </c>
      <c r="B254" s="3">
        <v>45870.79791666667</v>
      </c>
      <c r="C254" s="2" t="s">
        <v>1038</v>
      </c>
      <c r="D254" s="2" t="s">
        <v>53</v>
      </c>
      <c r="E254" s="2" t="s">
        <v>62</v>
      </c>
      <c r="F254" s="2">
        <v>50000</v>
      </c>
      <c r="G254" s="2">
        <v>3</v>
      </c>
      <c r="H254" s="2">
        <v>20</v>
      </c>
      <c r="I254">
        <f t="shared" si="15"/>
        <v>150000</v>
      </c>
      <c r="J254">
        <f t="shared" si="16"/>
        <v>30000</v>
      </c>
      <c r="K254" s="6">
        <f t="shared" si="17"/>
        <v>120000</v>
      </c>
      <c r="L254" s="2">
        <v>18000</v>
      </c>
      <c r="M254" s="6">
        <f>Table1[[#This Row],[Total Sales]]+Table1[[#This Row],[Shipping Fee]]</f>
        <v>138000</v>
      </c>
      <c r="N254" s="2" t="s">
        <v>22</v>
      </c>
      <c r="O254" t="str">
        <f>VLOOKUP(Table1[[#This Row],[Order ID]],Status!A:B, 2,FALSE)</f>
        <v>Shipped</v>
      </c>
      <c r="P254" s="2" t="s">
        <v>30</v>
      </c>
      <c r="Q254" s="2">
        <v>3</v>
      </c>
      <c r="R254" s="2" t="s">
        <v>24</v>
      </c>
      <c r="S254" s="11" t="str">
        <f t="shared" si="18"/>
        <v>Standar</v>
      </c>
      <c r="T254" s="2" t="str">
        <f t="shared" si="19"/>
        <v>Tinggi</v>
      </c>
    </row>
    <row r="255" spans="1:20" ht="15.75" customHeight="1" x14ac:dyDescent="0.3">
      <c r="A255" s="4" t="s">
        <v>2115</v>
      </c>
      <c r="B255" s="3">
        <v>45870.3825</v>
      </c>
      <c r="C255" s="2" t="s">
        <v>1985</v>
      </c>
      <c r="D255" s="2" t="s">
        <v>20</v>
      </c>
      <c r="E255" s="2" t="s">
        <v>250</v>
      </c>
      <c r="F255" s="2">
        <v>18000</v>
      </c>
      <c r="G255" s="2">
        <v>3</v>
      </c>
      <c r="H255" s="2">
        <v>10</v>
      </c>
      <c r="I255">
        <f t="shared" si="15"/>
        <v>54000</v>
      </c>
      <c r="J255">
        <f t="shared" si="16"/>
        <v>5400</v>
      </c>
      <c r="K255" s="6">
        <f t="shared" si="17"/>
        <v>48600</v>
      </c>
      <c r="L255" s="2">
        <v>15000</v>
      </c>
      <c r="M255" s="6">
        <f>Table1[[#This Row],[Total Sales]]+Table1[[#This Row],[Shipping Fee]]</f>
        <v>63600</v>
      </c>
      <c r="N255" s="2" t="s">
        <v>35</v>
      </c>
      <c r="O255" t="str">
        <f>VLOOKUP(Table1[[#This Row],[Order ID]],Status!A:B, 2,FALSE)</f>
        <v>Completed</v>
      </c>
      <c r="P255" s="2" t="s">
        <v>82</v>
      </c>
      <c r="Q255" s="2">
        <v>2</v>
      </c>
      <c r="R255" s="2" t="s">
        <v>24</v>
      </c>
      <c r="S255" s="11" t="str">
        <f t="shared" si="18"/>
        <v>Rendah</v>
      </c>
      <c r="T255" s="2" t="str">
        <f t="shared" si="19"/>
        <v>Rendah</v>
      </c>
    </row>
    <row r="256" spans="1:20" ht="15.75" customHeight="1" x14ac:dyDescent="0.3">
      <c r="A256" s="4" t="s">
        <v>2114</v>
      </c>
      <c r="B256" s="3">
        <v>45869.988287037027</v>
      </c>
      <c r="C256" s="2" t="s">
        <v>656</v>
      </c>
      <c r="D256" s="2" t="s">
        <v>195</v>
      </c>
      <c r="E256" s="2" t="s">
        <v>104</v>
      </c>
      <c r="F256" s="2">
        <v>30000</v>
      </c>
      <c r="G256" s="2">
        <v>2</v>
      </c>
      <c r="H256" s="2">
        <v>10</v>
      </c>
      <c r="I256">
        <f t="shared" si="15"/>
        <v>60000</v>
      </c>
      <c r="J256">
        <f t="shared" si="16"/>
        <v>6000</v>
      </c>
      <c r="K256" s="6">
        <f t="shared" si="17"/>
        <v>54000</v>
      </c>
      <c r="L256" s="2">
        <v>87000</v>
      </c>
      <c r="M256" s="6">
        <f>Table1[[#This Row],[Total Sales]]+Table1[[#This Row],[Shipping Fee]]</f>
        <v>141000</v>
      </c>
      <c r="N256" s="2" t="s">
        <v>63</v>
      </c>
      <c r="O256" t="str">
        <f>VLOOKUP(Table1[[#This Row],[Order ID]],Status!A:B, 2,FALSE)</f>
        <v>Completed</v>
      </c>
      <c r="P256" s="2" t="s">
        <v>23</v>
      </c>
      <c r="Q256" s="2">
        <v>4</v>
      </c>
      <c r="R256" s="2" t="s">
        <v>37</v>
      </c>
      <c r="S256" s="11" t="str">
        <f t="shared" si="18"/>
        <v>Bagus</v>
      </c>
      <c r="T256" s="2" t="str">
        <f t="shared" si="19"/>
        <v>Rendah</v>
      </c>
    </row>
    <row r="257" spans="1:20" ht="15.75" customHeight="1" x14ac:dyDescent="0.3">
      <c r="A257" s="4" t="s">
        <v>2113</v>
      </c>
      <c r="B257" s="3">
        <v>45869.816377314812</v>
      </c>
      <c r="C257" s="2" t="s">
        <v>459</v>
      </c>
      <c r="D257" s="2" t="s">
        <v>61</v>
      </c>
      <c r="E257" s="2" t="s">
        <v>186</v>
      </c>
      <c r="F257" s="2">
        <v>45000</v>
      </c>
      <c r="G257" s="2">
        <v>4</v>
      </c>
      <c r="H257" s="2">
        <v>15</v>
      </c>
      <c r="I257">
        <f t="shared" si="15"/>
        <v>180000</v>
      </c>
      <c r="J257">
        <f t="shared" si="16"/>
        <v>27000</v>
      </c>
      <c r="K257" s="6">
        <f t="shared" si="17"/>
        <v>153000</v>
      </c>
      <c r="L257" s="2">
        <v>26000</v>
      </c>
      <c r="M257" s="6">
        <f>Table1[[#This Row],[Total Sales]]+Table1[[#This Row],[Shipping Fee]]</f>
        <v>179000</v>
      </c>
      <c r="N257" s="2" t="s">
        <v>63</v>
      </c>
      <c r="O257" t="str">
        <f>VLOOKUP(Table1[[#This Row],[Order ID]],Status!A:B, 2,FALSE)</f>
        <v>Completed</v>
      </c>
      <c r="P257" s="2" t="s">
        <v>82</v>
      </c>
      <c r="Q257" s="2">
        <v>5</v>
      </c>
      <c r="R257" s="2" t="s">
        <v>24</v>
      </c>
      <c r="S257" s="11" t="str">
        <f t="shared" si="18"/>
        <v>Bagus</v>
      </c>
      <c r="T257" s="2" t="str">
        <f t="shared" si="19"/>
        <v>Tinggi</v>
      </c>
    </row>
    <row r="258" spans="1:20" ht="15.75" customHeight="1" x14ac:dyDescent="0.3">
      <c r="A258" s="4" t="s">
        <v>2112</v>
      </c>
      <c r="B258" s="3">
        <v>45869.196898148148</v>
      </c>
      <c r="C258" s="2" t="s">
        <v>181</v>
      </c>
      <c r="D258" s="2" t="s">
        <v>182</v>
      </c>
      <c r="E258" s="2" t="s">
        <v>123</v>
      </c>
      <c r="F258" s="2">
        <v>22000</v>
      </c>
      <c r="G258" s="2">
        <v>3</v>
      </c>
      <c r="H258" s="2">
        <v>5</v>
      </c>
      <c r="I258">
        <f t="shared" ref="I258:I321" si="20">F258*G258</f>
        <v>66000</v>
      </c>
      <c r="J258">
        <f t="shared" ref="J258:J321" si="21">I258*H258/100</f>
        <v>3300</v>
      </c>
      <c r="K258" s="6">
        <f t="shared" ref="K258:K321" si="22">I258-J258</f>
        <v>62700</v>
      </c>
      <c r="L258" s="2">
        <v>48000</v>
      </c>
      <c r="M258" s="6">
        <f>Table1[[#This Row],[Total Sales]]+Table1[[#This Row],[Shipping Fee]]</f>
        <v>110700</v>
      </c>
      <c r="N258" s="2" t="s">
        <v>22</v>
      </c>
      <c r="O258" t="str">
        <f>VLOOKUP(Table1[[#This Row],[Order ID]],Status!A:B, 2,FALSE)</f>
        <v>Completed</v>
      </c>
      <c r="P258" s="2" t="s">
        <v>82</v>
      </c>
      <c r="Q258" s="2">
        <v>2</v>
      </c>
      <c r="R258" s="2" t="s">
        <v>24</v>
      </c>
      <c r="S258" s="11" t="str">
        <f t="shared" ref="S258:S321" si="23">_xlfn.IFS(Q258&gt;3,"Bagus",Q258=3,"Standar",Q258&lt;3,"Rendah")</f>
        <v>Rendah</v>
      </c>
      <c r="T258" s="2" t="str">
        <f t="shared" ref="T258:T321" si="24">_xlfn.IFS(J258&lt;=5000,"Sangat Rendah", J258&lt;=10000,"Rendah", J258&lt;=20000, "Normal", J258&lt;=35000, "Tinggi", J258&lt;= 50000, "Sangat Tinggi", J258&gt;50000, "Clearance")</f>
        <v>Sangat Rendah</v>
      </c>
    </row>
    <row r="259" spans="1:20" ht="15.75" customHeight="1" x14ac:dyDescent="0.3">
      <c r="A259" s="4" t="s">
        <v>2111</v>
      </c>
      <c r="B259" s="3">
        <v>45868.919363425928</v>
      </c>
      <c r="C259" s="2" t="s">
        <v>19</v>
      </c>
      <c r="D259" s="2" t="s">
        <v>20</v>
      </c>
      <c r="E259" s="2" t="s">
        <v>85</v>
      </c>
      <c r="F259" s="2">
        <v>35000</v>
      </c>
      <c r="G259" s="2">
        <v>3</v>
      </c>
      <c r="H259" s="2">
        <v>5</v>
      </c>
      <c r="I259">
        <f t="shared" si="20"/>
        <v>105000</v>
      </c>
      <c r="J259">
        <f t="shared" si="21"/>
        <v>5250</v>
      </c>
      <c r="K259" s="6">
        <f t="shared" si="22"/>
        <v>99750</v>
      </c>
      <c r="L259" s="2">
        <v>15000</v>
      </c>
      <c r="M259" s="6">
        <f>Table1[[#This Row],[Total Sales]]+Table1[[#This Row],[Shipping Fee]]</f>
        <v>114750</v>
      </c>
      <c r="N259" s="2" t="s">
        <v>29</v>
      </c>
      <c r="O259" t="str">
        <f>VLOOKUP(Table1[[#This Row],[Order ID]],Status!A:B, 2,FALSE)</f>
        <v>Completed</v>
      </c>
      <c r="P259" s="2" t="s">
        <v>30</v>
      </c>
      <c r="Q259" s="2">
        <v>2</v>
      </c>
      <c r="R259" s="2" t="s">
        <v>24</v>
      </c>
      <c r="S259" s="11" t="str">
        <f t="shared" si="23"/>
        <v>Rendah</v>
      </c>
      <c r="T259" s="2" t="str">
        <f t="shared" si="24"/>
        <v>Rendah</v>
      </c>
    </row>
    <row r="260" spans="1:20" ht="15.75" customHeight="1" x14ac:dyDescent="0.3">
      <c r="A260" s="4" t="s">
        <v>2110</v>
      </c>
      <c r="B260" s="3">
        <v>45868.843668981477</v>
      </c>
      <c r="C260" s="2" t="s">
        <v>812</v>
      </c>
      <c r="D260" s="2" t="s">
        <v>33</v>
      </c>
      <c r="E260" s="2" t="s">
        <v>50</v>
      </c>
      <c r="F260" s="2">
        <v>14000</v>
      </c>
      <c r="G260" s="2">
        <v>3</v>
      </c>
      <c r="H260" s="2">
        <v>0</v>
      </c>
      <c r="I260">
        <f t="shared" si="20"/>
        <v>42000</v>
      </c>
      <c r="J260">
        <f t="shared" si="21"/>
        <v>0</v>
      </c>
      <c r="K260" s="6">
        <f t="shared" si="22"/>
        <v>42000</v>
      </c>
      <c r="L260" s="2">
        <v>76000</v>
      </c>
      <c r="M260" s="6">
        <f>Table1[[#This Row],[Total Sales]]+Table1[[#This Row],[Shipping Fee]]</f>
        <v>118000</v>
      </c>
      <c r="N260" s="2" t="s">
        <v>63</v>
      </c>
      <c r="O260" t="str">
        <f>VLOOKUP(Table1[[#This Row],[Order ID]],Status!A:B, 2,FALSE)</f>
        <v>Returned</v>
      </c>
      <c r="P260" s="2" t="s">
        <v>82</v>
      </c>
      <c r="Q260" s="2">
        <v>3</v>
      </c>
      <c r="R260" s="2" t="s">
        <v>24</v>
      </c>
      <c r="S260" s="11" t="str">
        <f t="shared" si="23"/>
        <v>Standar</v>
      </c>
      <c r="T260" s="2" t="str">
        <f t="shared" si="24"/>
        <v>Sangat Rendah</v>
      </c>
    </row>
    <row r="261" spans="1:20" ht="15.75" customHeight="1" x14ac:dyDescent="0.3">
      <c r="A261" s="4" t="s">
        <v>2109</v>
      </c>
      <c r="B261" s="3">
        <v>45868.445451388892</v>
      </c>
      <c r="C261" s="2" t="s">
        <v>473</v>
      </c>
      <c r="D261" s="2" t="s">
        <v>122</v>
      </c>
      <c r="E261" s="2" t="s">
        <v>58</v>
      </c>
      <c r="F261" s="2">
        <v>16000</v>
      </c>
      <c r="G261" s="2">
        <v>2</v>
      </c>
      <c r="H261" s="2">
        <v>15</v>
      </c>
      <c r="I261">
        <f t="shared" si="20"/>
        <v>32000</v>
      </c>
      <c r="J261">
        <f t="shared" si="21"/>
        <v>4800</v>
      </c>
      <c r="K261" s="6">
        <f t="shared" si="22"/>
        <v>27200</v>
      </c>
      <c r="L261" s="2">
        <v>78000</v>
      </c>
      <c r="M261" s="6">
        <f>Table1[[#This Row],[Total Sales]]+Table1[[#This Row],[Shipping Fee]]</f>
        <v>105200</v>
      </c>
      <c r="N261" s="2" t="s">
        <v>35</v>
      </c>
      <c r="O261" t="str">
        <f>VLOOKUP(Table1[[#This Row],[Order ID]],Status!A:B, 2,FALSE)</f>
        <v>Returned</v>
      </c>
      <c r="P261" s="2" t="s">
        <v>82</v>
      </c>
      <c r="Q261" s="2">
        <v>5</v>
      </c>
      <c r="R261" s="2" t="s">
        <v>24</v>
      </c>
      <c r="S261" s="11" t="str">
        <f t="shared" si="23"/>
        <v>Bagus</v>
      </c>
      <c r="T261" s="2" t="str">
        <f t="shared" si="24"/>
        <v>Sangat Rendah</v>
      </c>
    </row>
    <row r="262" spans="1:20" ht="15.75" customHeight="1" x14ac:dyDescent="0.3">
      <c r="A262" s="4" t="s">
        <v>2108</v>
      </c>
      <c r="B262" s="3">
        <v>45868.071631944447</v>
      </c>
      <c r="C262" s="2" t="s">
        <v>1098</v>
      </c>
      <c r="D262" s="2" t="s">
        <v>126</v>
      </c>
      <c r="E262" s="2" t="s">
        <v>58</v>
      </c>
      <c r="F262" s="2">
        <v>16000</v>
      </c>
      <c r="G262" s="2">
        <v>5</v>
      </c>
      <c r="H262" s="2">
        <v>5</v>
      </c>
      <c r="I262">
        <f t="shared" si="20"/>
        <v>80000</v>
      </c>
      <c r="J262">
        <f t="shared" si="21"/>
        <v>4000</v>
      </c>
      <c r="K262" s="6">
        <f t="shared" si="22"/>
        <v>76000</v>
      </c>
      <c r="L262" s="2">
        <v>84000</v>
      </c>
      <c r="M262" s="6">
        <f>Table1[[#This Row],[Total Sales]]+Table1[[#This Row],[Shipping Fee]]</f>
        <v>160000</v>
      </c>
      <c r="N262" s="2" t="s">
        <v>35</v>
      </c>
      <c r="O262" t="str">
        <f>VLOOKUP(Table1[[#This Row],[Order ID]],Status!A:B, 2,FALSE)</f>
        <v>Returned</v>
      </c>
      <c r="P262" s="2" t="s">
        <v>23</v>
      </c>
      <c r="Q262" s="2">
        <v>5</v>
      </c>
      <c r="R262" s="2" t="s">
        <v>37</v>
      </c>
      <c r="S262" s="11" t="str">
        <f t="shared" si="23"/>
        <v>Bagus</v>
      </c>
      <c r="T262" s="2" t="str">
        <f t="shared" si="24"/>
        <v>Sangat Rendah</v>
      </c>
    </row>
    <row r="263" spans="1:20" ht="15.75" customHeight="1" x14ac:dyDescent="0.3">
      <c r="A263" s="4" t="s">
        <v>2107</v>
      </c>
      <c r="B263" s="3">
        <v>45867.758287037039</v>
      </c>
      <c r="C263" s="2" t="s">
        <v>192</v>
      </c>
      <c r="D263" s="2" t="s">
        <v>107</v>
      </c>
      <c r="E263" s="2" t="s">
        <v>75</v>
      </c>
      <c r="F263" s="2">
        <v>55000</v>
      </c>
      <c r="G263" s="2">
        <v>3</v>
      </c>
      <c r="H263" s="2">
        <v>0</v>
      </c>
      <c r="I263">
        <f t="shared" si="20"/>
        <v>165000</v>
      </c>
      <c r="J263">
        <f t="shared" si="21"/>
        <v>0</v>
      </c>
      <c r="K263" s="6">
        <f t="shared" si="22"/>
        <v>165000</v>
      </c>
      <c r="L263" s="2">
        <v>97000</v>
      </c>
      <c r="M263" s="6">
        <f>Table1[[#This Row],[Total Sales]]+Table1[[#This Row],[Shipping Fee]]</f>
        <v>262000</v>
      </c>
      <c r="N263" s="2" t="s">
        <v>35</v>
      </c>
      <c r="O263" t="str">
        <f>VLOOKUP(Table1[[#This Row],[Order ID]],Status!A:B, 2,FALSE)</f>
        <v>Completed</v>
      </c>
      <c r="P263" s="2" t="s">
        <v>46</v>
      </c>
      <c r="Q263" s="2">
        <v>1</v>
      </c>
      <c r="R263" s="2" t="s">
        <v>24</v>
      </c>
      <c r="S263" s="11" t="str">
        <f t="shared" si="23"/>
        <v>Rendah</v>
      </c>
      <c r="T263" s="2" t="str">
        <f t="shared" si="24"/>
        <v>Sangat Rendah</v>
      </c>
    </row>
    <row r="264" spans="1:20" ht="15.75" customHeight="1" x14ac:dyDescent="0.3">
      <c r="A264" s="4" t="s">
        <v>2106</v>
      </c>
      <c r="B264" s="3">
        <v>45867.628530092603</v>
      </c>
      <c r="C264" s="2" t="s">
        <v>389</v>
      </c>
      <c r="D264" s="2" t="s">
        <v>182</v>
      </c>
      <c r="E264" s="2" t="s">
        <v>136</v>
      </c>
      <c r="F264" s="2">
        <v>12000</v>
      </c>
      <c r="G264" s="2">
        <v>3</v>
      </c>
      <c r="H264" s="2">
        <v>0</v>
      </c>
      <c r="I264">
        <f t="shared" si="20"/>
        <v>36000</v>
      </c>
      <c r="J264">
        <f t="shared" si="21"/>
        <v>0</v>
      </c>
      <c r="K264" s="6">
        <f t="shared" si="22"/>
        <v>36000</v>
      </c>
      <c r="L264" s="2">
        <v>48000</v>
      </c>
      <c r="M264" s="6">
        <f>Table1[[#This Row],[Total Sales]]+Table1[[#This Row],[Shipping Fee]]</f>
        <v>84000</v>
      </c>
      <c r="N264" s="2" t="s">
        <v>22</v>
      </c>
      <c r="O264" t="str">
        <f>VLOOKUP(Table1[[#This Row],[Order ID]],Status!A:B, 2,FALSE)</f>
        <v>Returned</v>
      </c>
      <c r="P264" s="2" t="s">
        <v>46</v>
      </c>
      <c r="Q264" s="2">
        <v>5</v>
      </c>
      <c r="R264" s="2" t="s">
        <v>24</v>
      </c>
      <c r="S264" s="11" t="str">
        <f t="shared" si="23"/>
        <v>Bagus</v>
      </c>
      <c r="T264" s="2" t="str">
        <f t="shared" si="24"/>
        <v>Sangat Rendah</v>
      </c>
    </row>
    <row r="265" spans="1:20" ht="15.75" customHeight="1" x14ac:dyDescent="0.3">
      <c r="A265" s="4" t="s">
        <v>2105</v>
      </c>
      <c r="B265" s="3">
        <v>45867.550405092603</v>
      </c>
      <c r="C265" s="2" t="s">
        <v>1849</v>
      </c>
      <c r="D265" s="2" t="s">
        <v>238</v>
      </c>
      <c r="E265" s="2" t="s">
        <v>136</v>
      </c>
      <c r="F265" s="2">
        <v>12000</v>
      </c>
      <c r="G265" s="2">
        <v>2</v>
      </c>
      <c r="H265" s="2">
        <v>0</v>
      </c>
      <c r="I265">
        <f t="shared" si="20"/>
        <v>24000</v>
      </c>
      <c r="J265">
        <f t="shared" si="21"/>
        <v>0</v>
      </c>
      <c r="K265" s="6">
        <f t="shared" si="22"/>
        <v>24000</v>
      </c>
      <c r="L265" s="2">
        <v>28000</v>
      </c>
      <c r="M265" s="6">
        <f>Table1[[#This Row],[Total Sales]]+Table1[[#This Row],[Shipping Fee]]</f>
        <v>52000</v>
      </c>
      <c r="N265" s="2" t="s">
        <v>29</v>
      </c>
      <c r="O265" t="str">
        <f>VLOOKUP(Table1[[#This Row],[Order ID]],Status!A:B, 2,FALSE)</f>
        <v>Completed</v>
      </c>
      <c r="P265" s="2" t="s">
        <v>30</v>
      </c>
      <c r="Q265" s="2">
        <v>1</v>
      </c>
      <c r="R265" s="2" t="s">
        <v>24</v>
      </c>
      <c r="S265" s="11" t="str">
        <f t="shared" si="23"/>
        <v>Rendah</v>
      </c>
      <c r="T265" s="2" t="str">
        <f t="shared" si="24"/>
        <v>Sangat Rendah</v>
      </c>
    </row>
    <row r="266" spans="1:20" ht="15.75" customHeight="1" x14ac:dyDescent="0.3">
      <c r="A266" s="4" t="s">
        <v>2104</v>
      </c>
      <c r="B266" s="3">
        <v>45867.372615740736</v>
      </c>
      <c r="C266" s="2" t="s">
        <v>225</v>
      </c>
      <c r="D266" s="2" t="s">
        <v>189</v>
      </c>
      <c r="E266" s="2" t="s">
        <v>81</v>
      </c>
      <c r="F266" s="2">
        <v>17000</v>
      </c>
      <c r="G266" s="2">
        <v>3</v>
      </c>
      <c r="H266" s="2">
        <v>5</v>
      </c>
      <c r="I266">
        <f t="shared" si="20"/>
        <v>51000</v>
      </c>
      <c r="J266">
        <f t="shared" si="21"/>
        <v>2550</v>
      </c>
      <c r="K266" s="6">
        <f t="shared" si="22"/>
        <v>48450</v>
      </c>
      <c r="L266" s="2">
        <v>57000</v>
      </c>
      <c r="M266" s="6">
        <f>Table1[[#This Row],[Total Sales]]+Table1[[#This Row],[Shipping Fee]]</f>
        <v>105450</v>
      </c>
      <c r="N266" s="2" t="s">
        <v>63</v>
      </c>
      <c r="O266" t="str">
        <f>VLOOKUP(Table1[[#This Row],[Order ID]],Status!A:B, 2,FALSE)</f>
        <v>Returned</v>
      </c>
      <c r="P266" s="2" t="s">
        <v>30</v>
      </c>
      <c r="Q266" s="2">
        <v>4</v>
      </c>
      <c r="R266" s="2" t="s">
        <v>37</v>
      </c>
      <c r="S266" s="11" t="str">
        <f t="shared" si="23"/>
        <v>Bagus</v>
      </c>
      <c r="T266" s="2" t="str">
        <f t="shared" si="24"/>
        <v>Sangat Rendah</v>
      </c>
    </row>
    <row r="267" spans="1:20" ht="15.75" customHeight="1" x14ac:dyDescent="0.3">
      <c r="A267" s="4" t="s">
        <v>2103</v>
      </c>
      <c r="B267" s="3">
        <v>45867.323414351849</v>
      </c>
      <c r="C267" s="2" t="s">
        <v>1313</v>
      </c>
      <c r="D267" s="2" t="s">
        <v>103</v>
      </c>
      <c r="E267" s="2" t="s">
        <v>110</v>
      </c>
      <c r="F267" s="2">
        <v>6000</v>
      </c>
      <c r="G267" s="2">
        <v>1</v>
      </c>
      <c r="H267" s="2">
        <v>20</v>
      </c>
      <c r="I267">
        <f t="shared" si="20"/>
        <v>6000</v>
      </c>
      <c r="J267">
        <f t="shared" si="21"/>
        <v>1200</v>
      </c>
      <c r="K267" s="6">
        <f t="shared" si="22"/>
        <v>4800</v>
      </c>
      <c r="L267" s="2">
        <v>85000</v>
      </c>
      <c r="M267" s="6">
        <f>Table1[[#This Row],[Total Sales]]+Table1[[#This Row],[Shipping Fee]]</f>
        <v>89800</v>
      </c>
      <c r="N267" s="2" t="s">
        <v>22</v>
      </c>
      <c r="O267" t="str">
        <f>VLOOKUP(Table1[[#This Row],[Order ID]],Status!A:B, 2,FALSE)</f>
        <v>Completed</v>
      </c>
      <c r="P267" s="2" t="s">
        <v>30</v>
      </c>
      <c r="Q267" s="2">
        <v>1</v>
      </c>
      <c r="R267" s="2" t="s">
        <v>24</v>
      </c>
      <c r="S267" s="11" t="str">
        <f t="shared" si="23"/>
        <v>Rendah</v>
      </c>
      <c r="T267" s="2" t="str">
        <f t="shared" si="24"/>
        <v>Sangat Rendah</v>
      </c>
    </row>
    <row r="268" spans="1:20" ht="15.75" customHeight="1" x14ac:dyDescent="0.3">
      <c r="A268" s="4" t="s">
        <v>2102</v>
      </c>
      <c r="B268" s="3">
        <v>45867.302395833343</v>
      </c>
      <c r="C268" s="2" t="s">
        <v>140</v>
      </c>
      <c r="D268" s="2" t="s">
        <v>92</v>
      </c>
      <c r="E268" s="2" t="s">
        <v>28</v>
      </c>
      <c r="F268" s="2">
        <v>5000</v>
      </c>
      <c r="G268" s="2">
        <v>2</v>
      </c>
      <c r="H268" s="2">
        <v>15</v>
      </c>
      <c r="I268">
        <f t="shared" si="20"/>
        <v>10000</v>
      </c>
      <c r="J268">
        <f t="shared" si="21"/>
        <v>1500</v>
      </c>
      <c r="K268" s="6">
        <f t="shared" si="22"/>
        <v>8500</v>
      </c>
      <c r="L268" s="2">
        <v>30000</v>
      </c>
      <c r="M268" s="6">
        <f>Table1[[#This Row],[Total Sales]]+Table1[[#This Row],[Shipping Fee]]</f>
        <v>38500</v>
      </c>
      <c r="N268" s="2" t="s">
        <v>35</v>
      </c>
      <c r="O268" t="str">
        <f>VLOOKUP(Table1[[#This Row],[Order ID]],Status!A:B, 2,FALSE)</f>
        <v>Completed</v>
      </c>
      <c r="P268" s="2" t="s">
        <v>82</v>
      </c>
      <c r="Q268" s="2">
        <v>2</v>
      </c>
      <c r="R268" s="2" t="s">
        <v>24</v>
      </c>
      <c r="S268" s="11" t="str">
        <f t="shared" si="23"/>
        <v>Rendah</v>
      </c>
      <c r="T268" s="2" t="str">
        <f t="shared" si="24"/>
        <v>Sangat Rendah</v>
      </c>
    </row>
    <row r="269" spans="1:20" ht="15.75" customHeight="1" x14ac:dyDescent="0.3">
      <c r="A269" s="4" t="s">
        <v>2101</v>
      </c>
      <c r="B269" s="3">
        <v>45867.163912037038</v>
      </c>
      <c r="C269" s="2" t="s">
        <v>157</v>
      </c>
      <c r="D269" s="2" t="s">
        <v>20</v>
      </c>
      <c r="E269" s="2" t="s">
        <v>58</v>
      </c>
      <c r="F269" s="2">
        <v>16000</v>
      </c>
      <c r="G269" s="2">
        <v>3</v>
      </c>
      <c r="H269" s="2">
        <v>15</v>
      </c>
      <c r="I269">
        <f t="shared" si="20"/>
        <v>48000</v>
      </c>
      <c r="J269">
        <f t="shared" si="21"/>
        <v>7200</v>
      </c>
      <c r="K269" s="6">
        <f t="shared" si="22"/>
        <v>40800</v>
      </c>
      <c r="L269" s="2">
        <v>15000</v>
      </c>
      <c r="M269" s="6">
        <f>Table1[[#This Row],[Total Sales]]+Table1[[#This Row],[Shipping Fee]]</f>
        <v>55800</v>
      </c>
      <c r="N269" s="2" t="s">
        <v>35</v>
      </c>
      <c r="O269" t="str">
        <f>VLOOKUP(Table1[[#This Row],[Order ID]],Status!A:B, 2,FALSE)</f>
        <v>Completed</v>
      </c>
      <c r="P269" s="2" t="s">
        <v>36</v>
      </c>
      <c r="Q269" s="2">
        <v>3</v>
      </c>
      <c r="R269" s="2" t="s">
        <v>24</v>
      </c>
      <c r="S269" s="11" t="str">
        <f t="shared" si="23"/>
        <v>Standar</v>
      </c>
      <c r="T269" s="2" t="str">
        <f t="shared" si="24"/>
        <v>Rendah</v>
      </c>
    </row>
    <row r="270" spans="1:20" ht="15.75" customHeight="1" x14ac:dyDescent="0.3">
      <c r="A270" s="4" t="s">
        <v>2100</v>
      </c>
      <c r="B270" s="3">
        <v>45866.901134259257</v>
      </c>
      <c r="C270" s="2" t="s">
        <v>52</v>
      </c>
      <c r="D270" s="2" t="s">
        <v>53</v>
      </c>
      <c r="E270" s="2" t="s">
        <v>93</v>
      </c>
      <c r="F270" s="2">
        <v>25000</v>
      </c>
      <c r="G270" s="2">
        <v>1</v>
      </c>
      <c r="H270" s="2">
        <v>20</v>
      </c>
      <c r="I270">
        <f t="shared" si="20"/>
        <v>25000</v>
      </c>
      <c r="J270">
        <f t="shared" si="21"/>
        <v>5000</v>
      </c>
      <c r="K270" s="6">
        <f t="shared" si="22"/>
        <v>20000</v>
      </c>
      <c r="L270" s="2">
        <v>18000</v>
      </c>
      <c r="M270" s="6">
        <f>Table1[[#This Row],[Total Sales]]+Table1[[#This Row],[Shipping Fee]]</f>
        <v>38000</v>
      </c>
      <c r="N270" s="2" t="s">
        <v>63</v>
      </c>
      <c r="O270" t="str">
        <f>VLOOKUP(Table1[[#This Row],[Order ID]],Status!A:B, 2,FALSE)</f>
        <v>Completed</v>
      </c>
      <c r="P270" s="2" t="s">
        <v>23</v>
      </c>
      <c r="Q270" s="2">
        <v>4</v>
      </c>
      <c r="R270" s="2" t="s">
        <v>24</v>
      </c>
      <c r="S270" s="11" t="str">
        <f t="shared" si="23"/>
        <v>Bagus</v>
      </c>
      <c r="T270" s="2" t="str">
        <f t="shared" si="24"/>
        <v>Sangat Rendah</v>
      </c>
    </row>
    <row r="271" spans="1:20" ht="15.75" customHeight="1" x14ac:dyDescent="0.3">
      <c r="A271" s="4" t="s">
        <v>2099</v>
      </c>
      <c r="B271" s="3">
        <v>45866.900381944448</v>
      </c>
      <c r="C271" s="2" t="s">
        <v>359</v>
      </c>
      <c r="D271" s="2" t="s">
        <v>70</v>
      </c>
      <c r="E271" s="2" t="s">
        <v>67</v>
      </c>
      <c r="F271" s="2">
        <v>15000</v>
      </c>
      <c r="G271" s="2">
        <v>1</v>
      </c>
      <c r="H271" s="2">
        <v>0</v>
      </c>
      <c r="I271">
        <f t="shared" si="20"/>
        <v>15000</v>
      </c>
      <c r="J271">
        <f t="shared" si="21"/>
        <v>0</v>
      </c>
      <c r="K271" s="6">
        <f t="shared" si="22"/>
        <v>15000</v>
      </c>
      <c r="L271" s="2">
        <v>89000</v>
      </c>
      <c r="M271" s="6">
        <f>Table1[[#This Row],[Total Sales]]+Table1[[#This Row],[Shipping Fee]]</f>
        <v>104000</v>
      </c>
      <c r="N271" s="2" t="s">
        <v>35</v>
      </c>
      <c r="O271" t="str">
        <f>VLOOKUP(Table1[[#This Row],[Order ID]],Status!A:B, 2,FALSE)</f>
        <v>Completed</v>
      </c>
      <c r="P271" s="2" t="s">
        <v>30</v>
      </c>
      <c r="Q271" s="2">
        <v>3</v>
      </c>
      <c r="R271" s="2" t="s">
        <v>24</v>
      </c>
      <c r="S271" s="11" t="str">
        <f t="shared" si="23"/>
        <v>Standar</v>
      </c>
      <c r="T271" s="2" t="str">
        <f t="shared" si="24"/>
        <v>Sangat Rendah</v>
      </c>
    </row>
    <row r="272" spans="1:20" ht="15.75" customHeight="1" x14ac:dyDescent="0.3">
      <c r="A272" s="4" t="s">
        <v>2098</v>
      </c>
      <c r="B272" s="3">
        <v>45866.681296296287</v>
      </c>
      <c r="C272" s="2" t="s">
        <v>557</v>
      </c>
      <c r="D272" s="2" t="s">
        <v>173</v>
      </c>
      <c r="E272" s="2" t="s">
        <v>62</v>
      </c>
      <c r="F272" s="2">
        <v>50000</v>
      </c>
      <c r="G272" s="2">
        <v>1</v>
      </c>
      <c r="H272" s="2">
        <v>5</v>
      </c>
      <c r="I272">
        <f t="shared" si="20"/>
        <v>50000</v>
      </c>
      <c r="J272">
        <f t="shared" si="21"/>
        <v>2500</v>
      </c>
      <c r="K272" s="6">
        <f t="shared" si="22"/>
        <v>47500</v>
      </c>
      <c r="L272" s="2">
        <v>49000</v>
      </c>
      <c r="M272" s="6">
        <f>Table1[[#This Row],[Total Sales]]+Table1[[#This Row],[Shipping Fee]]</f>
        <v>96500</v>
      </c>
      <c r="N272" s="2" t="s">
        <v>35</v>
      </c>
      <c r="O272" t="str">
        <f>VLOOKUP(Table1[[#This Row],[Order ID]],Status!A:B, 2,FALSE)</f>
        <v>Completed</v>
      </c>
      <c r="P272" s="2" t="s">
        <v>36</v>
      </c>
      <c r="Q272" s="2">
        <v>4</v>
      </c>
      <c r="R272" s="2" t="s">
        <v>24</v>
      </c>
      <c r="S272" s="11" t="str">
        <f t="shared" si="23"/>
        <v>Bagus</v>
      </c>
      <c r="T272" s="2" t="str">
        <f t="shared" si="24"/>
        <v>Sangat Rendah</v>
      </c>
    </row>
    <row r="273" spans="1:20" ht="15.75" customHeight="1" x14ac:dyDescent="0.3">
      <c r="A273" s="4" t="s">
        <v>2096</v>
      </c>
      <c r="B273" s="3">
        <v>45866.424317129633</v>
      </c>
      <c r="C273" s="2" t="s">
        <v>2097</v>
      </c>
      <c r="D273" s="2" t="s">
        <v>53</v>
      </c>
      <c r="E273" s="2" t="s">
        <v>81</v>
      </c>
      <c r="F273" s="2">
        <v>17000</v>
      </c>
      <c r="G273" s="2">
        <v>2</v>
      </c>
      <c r="H273" s="2">
        <v>10</v>
      </c>
      <c r="I273">
        <f t="shared" si="20"/>
        <v>34000</v>
      </c>
      <c r="J273">
        <f t="shared" si="21"/>
        <v>3400</v>
      </c>
      <c r="K273" s="6">
        <f t="shared" si="22"/>
        <v>30600</v>
      </c>
      <c r="L273" s="2">
        <v>18000</v>
      </c>
      <c r="M273" s="6">
        <f>Table1[[#This Row],[Total Sales]]+Table1[[#This Row],[Shipping Fee]]</f>
        <v>48600</v>
      </c>
      <c r="N273" s="2" t="s">
        <v>29</v>
      </c>
      <c r="O273" t="str">
        <f>VLOOKUP(Table1[[#This Row],[Order ID]],Status!A:B, 2,FALSE)</f>
        <v>Completed</v>
      </c>
      <c r="P273" s="2" t="s">
        <v>30</v>
      </c>
      <c r="Q273" s="2">
        <v>4</v>
      </c>
      <c r="R273" s="2" t="s">
        <v>24</v>
      </c>
      <c r="S273" s="11" t="str">
        <f t="shared" si="23"/>
        <v>Bagus</v>
      </c>
      <c r="T273" s="2" t="str">
        <f t="shared" si="24"/>
        <v>Sangat Rendah</v>
      </c>
    </row>
    <row r="274" spans="1:20" ht="15.75" customHeight="1" x14ac:dyDescent="0.3">
      <c r="A274" s="4" t="s">
        <v>2095</v>
      </c>
      <c r="B274" s="3">
        <v>45866.364155092589</v>
      </c>
      <c r="C274" s="2" t="s">
        <v>326</v>
      </c>
      <c r="D274" s="2" t="s">
        <v>262</v>
      </c>
      <c r="E274" s="2" t="s">
        <v>93</v>
      </c>
      <c r="F274" s="2">
        <v>25000</v>
      </c>
      <c r="G274" s="2">
        <v>4</v>
      </c>
      <c r="H274" s="2">
        <v>10</v>
      </c>
      <c r="I274">
        <f t="shared" si="20"/>
        <v>100000</v>
      </c>
      <c r="J274">
        <f t="shared" si="21"/>
        <v>10000</v>
      </c>
      <c r="K274" s="6">
        <f t="shared" si="22"/>
        <v>90000</v>
      </c>
      <c r="L274" s="2">
        <v>18000</v>
      </c>
      <c r="M274" s="6">
        <f>Table1[[#This Row],[Total Sales]]+Table1[[#This Row],[Shipping Fee]]</f>
        <v>108000</v>
      </c>
      <c r="N274" s="2" t="s">
        <v>29</v>
      </c>
      <c r="O274" t="str">
        <f>VLOOKUP(Table1[[#This Row],[Order ID]],Status!A:B, 2,FALSE)</f>
        <v>Completed</v>
      </c>
      <c r="P274" s="2" t="s">
        <v>82</v>
      </c>
      <c r="Q274" s="2">
        <v>3</v>
      </c>
      <c r="R274" s="2" t="s">
        <v>37</v>
      </c>
      <c r="S274" s="11" t="str">
        <f t="shared" si="23"/>
        <v>Standar</v>
      </c>
      <c r="T274" s="2" t="str">
        <f t="shared" si="24"/>
        <v>Rendah</v>
      </c>
    </row>
    <row r="275" spans="1:20" ht="15.75" customHeight="1" x14ac:dyDescent="0.3">
      <c r="A275" s="4" t="s">
        <v>2094</v>
      </c>
      <c r="B275" s="3">
        <v>45866.288958333331</v>
      </c>
      <c r="C275" s="2" t="s">
        <v>990</v>
      </c>
      <c r="D275" s="2" t="s">
        <v>173</v>
      </c>
      <c r="E275" s="2" t="s">
        <v>174</v>
      </c>
      <c r="F275" s="2">
        <v>10000</v>
      </c>
      <c r="G275" s="2">
        <v>2</v>
      </c>
      <c r="H275" s="2">
        <v>10</v>
      </c>
      <c r="I275">
        <f t="shared" si="20"/>
        <v>20000</v>
      </c>
      <c r="J275">
        <f t="shared" si="21"/>
        <v>2000</v>
      </c>
      <c r="K275" s="6">
        <f t="shared" si="22"/>
        <v>18000</v>
      </c>
      <c r="L275" s="2">
        <v>49000</v>
      </c>
      <c r="M275" s="6">
        <f>Table1[[#This Row],[Total Sales]]+Table1[[#This Row],[Shipping Fee]]</f>
        <v>67000</v>
      </c>
      <c r="N275" s="2" t="s">
        <v>63</v>
      </c>
      <c r="O275" t="str">
        <f>VLOOKUP(Table1[[#This Row],[Order ID]],Status!A:B, 2,FALSE)</f>
        <v>Completed</v>
      </c>
      <c r="P275" s="2" t="s">
        <v>82</v>
      </c>
      <c r="Q275" s="2">
        <v>2</v>
      </c>
      <c r="R275" s="2" t="s">
        <v>24</v>
      </c>
      <c r="S275" s="11" t="str">
        <f t="shared" si="23"/>
        <v>Rendah</v>
      </c>
      <c r="T275" s="2" t="str">
        <f t="shared" si="24"/>
        <v>Sangat Rendah</v>
      </c>
    </row>
    <row r="276" spans="1:20" ht="15.75" customHeight="1" x14ac:dyDescent="0.3">
      <c r="A276" s="4" t="s">
        <v>2093</v>
      </c>
      <c r="B276" s="3">
        <v>45866.266261574077</v>
      </c>
      <c r="C276" s="2" t="s">
        <v>211</v>
      </c>
      <c r="D276" s="2" t="s">
        <v>49</v>
      </c>
      <c r="E276" s="2" t="s">
        <v>93</v>
      </c>
      <c r="F276" s="2">
        <v>25000</v>
      </c>
      <c r="G276" s="2">
        <v>4</v>
      </c>
      <c r="H276" s="2">
        <v>10</v>
      </c>
      <c r="I276">
        <f t="shared" si="20"/>
        <v>100000</v>
      </c>
      <c r="J276">
        <f t="shared" si="21"/>
        <v>10000</v>
      </c>
      <c r="K276" s="6">
        <f t="shared" si="22"/>
        <v>90000</v>
      </c>
      <c r="L276" s="2">
        <v>43000</v>
      </c>
      <c r="M276" s="6">
        <f>Table1[[#This Row],[Total Sales]]+Table1[[#This Row],[Shipping Fee]]</f>
        <v>133000</v>
      </c>
      <c r="N276" s="2" t="s">
        <v>29</v>
      </c>
      <c r="O276" t="str">
        <f>VLOOKUP(Table1[[#This Row],[Order ID]],Status!A:B, 2,FALSE)</f>
        <v>Cancelled</v>
      </c>
      <c r="P276" s="2" t="s">
        <v>23</v>
      </c>
      <c r="Q276" s="2">
        <v>4</v>
      </c>
      <c r="R276" s="2" t="s">
        <v>24</v>
      </c>
      <c r="S276" s="11" t="str">
        <f t="shared" si="23"/>
        <v>Bagus</v>
      </c>
      <c r="T276" s="2" t="str">
        <f t="shared" si="24"/>
        <v>Rendah</v>
      </c>
    </row>
    <row r="277" spans="1:20" ht="15.75" customHeight="1" x14ac:dyDescent="0.3">
      <c r="A277" s="4" t="s">
        <v>2092</v>
      </c>
      <c r="B277" s="3">
        <v>45866.175891203697</v>
      </c>
      <c r="C277" s="2" t="s">
        <v>1424</v>
      </c>
      <c r="D277" s="2" t="s">
        <v>296</v>
      </c>
      <c r="E277" s="2" t="s">
        <v>41</v>
      </c>
      <c r="F277" s="2">
        <v>4000</v>
      </c>
      <c r="G277" s="2">
        <v>2</v>
      </c>
      <c r="H277" s="2">
        <v>20</v>
      </c>
      <c r="I277">
        <f t="shared" si="20"/>
        <v>8000</v>
      </c>
      <c r="J277">
        <f t="shared" si="21"/>
        <v>1600</v>
      </c>
      <c r="K277" s="6">
        <f t="shared" si="22"/>
        <v>6400</v>
      </c>
      <c r="L277" s="2">
        <v>79000</v>
      </c>
      <c r="M277" s="6">
        <f>Table1[[#This Row],[Total Sales]]+Table1[[#This Row],[Shipping Fee]]</f>
        <v>85400</v>
      </c>
      <c r="N277" s="2" t="s">
        <v>35</v>
      </c>
      <c r="O277" t="str">
        <f>VLOOKUP(Table1[[#This Row],[Order ID]],Status!A:B, 2,FALSE)</f>
        <v>Completed</v>
      </c>
      <c r="P277" s="2" t="s">
        <v>82</v>
      </c>
      <c r="Q277" s="2">
        <v>2</v>
      </c>
      <c r="R277" s="2" t="s">
        <v>24</v>
      </c>
      <c r="S277" s="11" t="str">
        <f t="shared" si="23"/>
        <v>Rendah</v>
      </c>
      <c r="T277" s="2" t="str">
        <f t="shared" si="24"/>
        <v>Sangat Rendah</v>
      </c>
    </row>
    <row r="278" spans="1:20" ht="15.75" customHeight="1" x14ac:dyDescent="0.3">
      <c r="A278" s="4" t="s">
        <v>2091</v>
      </c>
      <c r="B278" s="3">
        <v>45866.054826388892</v>
      </c>
      <c r="C278" s="2" t="s">
        <v>812</v>
      </c>
      <c r="D278" s="2" t="s">
        <v>33</v>
      </c>
      <c r="E278" s="2" t="s">
        <v>186</v>
      </c>
      <c r="F278" s="2">
        <v>45000</v>
      </c>
      <c r="G278" s="2">
        <v>1</v>
      </c>
      <c r="H278" s="2">
        <v>10</v>
      </c>
      <c r="I278">
        <f t="shared" si="20"/>
        <v>45000</v>
      </c>
      <c r="J278">
        <f t="shared" si="21"/>
        <v>4500</v>
      </c>
      <c r="K278" s="6">
        <f t="shared" si="22"/>
        <v>40500</v>
      </c>
      <c r="L278" s="2">
        <v>76000</v>
      </c>
      <c r="M278" s="6">
        <f>Table1[[#This Row],[Total Sales]]+Table1[[#This Row],[Shipping Fee]]</f>
        <v>116500</v>
      </c>
      <c r="N278" s="2" t="s">
        <v>35</v>
      </c>
      <c r="O278" t="str">
        <f>VLOOKUP(Table1[[#This Row],[Order ID]],Status!A:B, 2,FALSE)</f>
        <v>Returned</v>
      </c>
      <c r="P278" s="2" t="s">
        <v>30</v>
      </c>
      <c r="Q278" s="2">
        <v>1</v>
      </c>
      <c r="R278" s="2" t="s">
        <v>24</v>
      </c>
      <c r="S278" s="11" t="str">
        <f t="shared" si="23"/>
        <v>Rendah</v>
      </c>
      <c r="T278" s="2" t="str">
        <f t="shared" si="24"/>
        <v>Sangat Rendah</v>
      </c>
    </row>
    <row r="279" spans="1:20" ht="15.75" customHeight="1" x14ac:dyDescent="0.3">
      <c r="A279" s="4" t="s">
        <v>2090</v>
      </c>
      <c r="B279" s="3">
        <v>45865.577187499999</v>
      </c>
      <c r="C279" s="2" t="s">
        <v>2072</v>
      </c>
      <c r="D279" s="2" t="s">
        <v>92</v>
      </c>
      <c r="E279" s="2" t="s">
        <v>186</v>
      </c>
      <c r="F279" s="2">
        <v>45000</v>
      </c>
      <c r="G279" s="2">
        <v>5</v>
      </c>
      <c r="H279" s="2">
        <v>5</v>
      </c>
      <c r="I279">
        <f t="shared" si="20"/>
        <v>225000</v>
      </c>
      <c r="J279">
        <f t="shared" si="21"/>
        <v>11250</v>
      </c>
      <c r="K279" s="6">
        <f t="shared" si="22"/>
        <v>213750</v>
      </c>
      <c r="L279" s="2">
        <v>30000</v>
      </c>
      <c r="M279" s="6">
        <f>Table1[[#This Row],[Total Sales]]+Table1[[#This Row],[Shipping Fee]]</f>
        <v>243750</v>
      </c>
      <c r="N279" s="2" t="s">
        <v>35</v>
      </c>
      <c r="O279" t="str">
        <f>VLOOKUP(Table1[[#This Row],[Order ID]],Status!A:B, 2,FALSE)</f>
        <v>Completed</v>
      </c>
      <c r="P279" s="2" t="s">
        <v>30</v>
      </c>
      <c r="Q279" s="2">
        <v>4</v>
      </c>
      <c r="R279" s="2" t="s">
        <v>37</v>
      </c>
      <c r="S279" s="11" t="str">
        <f t="shared" si="23"/>
        <v>Bagus</v>
      </c>
      <c r="T279" s="2" t="str">
        <f t="shared" si="24"/>
        <v>Normal</v>
      </c>
    </row>
    <row r="280" spans="1:20" ht="15.75" customHeight="1" x14ac:dyDescent="0.3">
      <c r="A280" s="4" t="s">
        <v>2089</v>
      </c>
      <c r="B280" s="3">
        <v>45865.341331018521</v>
      </c>
      <c r="C280" s="2" t="s">
        <v>751</v>
      </c>
      <c r="D280" s="2" t="s">
        <v>80</v>
      </c>
      <c r="E280" s="2" t="s">
        <v>85</v>
      </c>
      <c r="F280" s="2">
        <v>35000</v>
      </c>
      <c r="G280" s="2">
        <v>1</v>
      </c>
      <c r="H280" s="2">
        <v>15</v>
      </c>
      <c r="I280">
        <f t="shared" si="20"/>
        <v>35000</v>
      </c>
      <c r="J280">
        <f t="shared" si="21"/>
        <v>5250</v>
      </c>
      <c r="K280" s="6">
        <f t="shared" si="22"/>
        <v>29750</v>
      </c>
      <c r="L280" s="2">
        <v>74000</v>
      </c>
      <c r="M280" s="6">
        <f>Table1[[#This Row],[Total Sales]]+Table1[[#This Row],[Shipping Fee]]</f>
        <v>103750</v>
      </c>
      <c r="N280" s="2" t="s">
        <v>63</v>
      </c>
      <c r="O280" t="str">
        <f>VLOOKUP(Table1[[#This Row],[Order ID]],Status!A:B, 2,FALSE)</f>
        <v>Completed</v>
      </c>
      <c r="P280" s="2" t="s">
        <v>82</v>
      </c>
      <c r="Q280" s="2">
        <v>1</v>
      </c>
      <c r="R280" s="2" t="s">
        <v>24</v>
      </c>
      <c r="S280" s="11" t="str">
        <f t="shared" si="23"/>
        <v>Rendah</v>
      </c>
      <c r="T280" s="2" t="str">
        <f t="shared" si="24"/>
        <v>Rendah</v>
      </c>
    </row>
    <row r="281" spans="1:20" ht="15.75" customHeight="1" x14ac:dyDescent="0.3">
      <c r="A281" s="4" t="s">
        <v>2089</v>
      </c>
      <c r="B281" s="3">
        <v>45865.341331018521</v>
      </c>
      <c r="C281" s="2" t="s">
        <v>751</v>
      </c>
      <c r="D281" s="2" t="s">
        <v>80</v>
      </c>
      <c r="E281" s="2" t="s">
        <v>104</v>
      </c>
      <c r="F281" s="2">
        <v>30000</v>
      </c>
      <c r="G281" s="2">
        <v>4</v>
      </c>
      <c r="H281" s="2">
        <v>0</v>
      </c>
      <c r="I281">
        <f t="shared" si="20"/>
        <v>120000</v>
      </c>
      <c r="J281">
        <f t="shared" si="21"/>
        <v>0</v>
      </c>
      <c r="K281" s="6">
        <f t="shared" si="22"/>
        <v>120000</v>
      </c>
      <c r="L281" s="2">
        <v>0</v>
      </c>
      <c r="M281" s="6">
        <f>Table1[[#This Row],[Total Sales]]+Table1[[#This Row],[Shipping Fee]]</f>
        <v>120000</v>
      </c>
      <c r="N281" s="2" t="s">
        <v>63</v>
      </c>
      <c r="O281" t="str">
        <f>VLOOKUP(Table1[[#This Row],[Order ID]],Status!A:B, 2,FALSE)</f>
        <v>Completed</v>
      </c>
      <c r="P281" s="2" t="s">
        <v>82</v>
      </c>
      <c r="Q281" s="2">
        <v>1</v>
      </c>
      <c r="R281" s="2" t="s">
        <v>24</v>
      </c>
      <c r="S281" s="11" t="str">
        <f t="shared" si="23"/>
        <v>Rendah</v>
      </c>
      <c r="T281" s="2" t="str">
        <f t="shared" si="24"/>
        <v>Sangat Rendah</v>
      </c>
    </row>
    <row r="282" spans="1:20" ht="15.75" customHeight="1" x14ac:dyDescent="0.3">
      <c r="A282" s="4" t="s">
        <v>2088</v>
      </c>
      <c r="B282" s="3">
        <v>45865.160798611112</v>
      </c>
      <c r="C282" s="2" t="s">
        <v>142</v>
      </c>
      <c r="D282" s="2" t="s">
        <v>143</v>
      </c>
      <c r="E282" s="2" t="s">
        <v>110</v>
      </c>
      <c r="F282" s="2">
        <v>6000</v>
      </c>
      <c r="G282" s="2">
        <v>5</v>
      </c>
      <c r="H282" s="2">
        <v>15</v>
      </c>
      <c r="I282">
        <f t="shared" si="20"/>
        <v>30000</v>
      </c>
      <c r="J282">
        <f t="shared" si="21"/>
        <v>4500</v>
      </c>
      <c r="K282" s="6">
        <f t="shared" si="22"/>
        <v>25500</v>
      </c>
      <c r="L282" s="2">
        <v>50000</v>
      </c>
      <c r="M282" s="6">
        <f>Table1[[#This Row],[Total Sales]]+Table1[[#This Row],[Shipping Fee]]</f>
        <v>75500</v>
      </c>
      <c r="N282" s="2" t="s">
        <v>22</v>
      </c>
      <c r="O282" t="str">
        <f>VLOOKUP(Table1[[#This Row],[Order ID]],Status!A:B, 2,FALSE)</f>
        <v>Completed</v>
      </c>
      <c r="P282" s="2" t="s">
        <v>46</v>
      </c>
      <c r="Q282" s="2">
        <v>2</v>
      </c>
      <c r="R282" s="2" t="s">
        <v>24</v>
      </c>
      <c r="S282" s="11" t="str">
        <f t="shared" si="23"/>
        <v>Rendah</v>
      </c>
      <c r="T282" s="2" t="str">
        <f t="shared" si="24"/>
        <v>Sangat Rendah</v>
      </c>
    </row>
    <row r="283" spans="1:20" ht="15.75" customHeight="1" x14ac:dyDescent="0.3">
      <c r="A283" s="4" t="s">
        <v>2087</v>
      </c>
      <c r="B283" s="3">
        <v>45865.085636574076</v>
      </c>
      <c r="C283" s="2" t="s">
        <v>794</v>
      </c>
      <c r="D283" s="2" t="s">
        <v>61</v>
      </c>
      <c r="E283" s="2" t="s">
        <v>93</v>
      </c>
      <c r="F283" s="2">
        <v>25000</v>
      </c>
      <c r="G283" s="2">
        <v>5</v>
      </c>
      <c r="H283" s="2">
        <v>5</v>
      </c>
      <c r="I283">
        <f t="shared" si="20"/>
        <v>125000</v>
      </c>
      <c r="J283">
        <f t="shared" si="21"/>
        <v>6250</v>
      </c>
      <c r="K283" s="6">
        <f t="shared" si="22"/>
        <v>118750</v>
      </c>
      <c r="L283" s="2">
        <v>26000</v>
      </c>
      <c r="M283" s="6">
        <f>Table1[[#This Row],[Total Sales]]+Table1[[#This Row],[Shipping Fee]]</f>
        <v>144750</v>
      </c>
      <c r="N283" s="2" t="s">
        <v>63</v>
      </c>
      <c r="O283" t="str">
        <f>VLOOKUP(Table1[[#This Row],[Order ID]],Status!A:B, 2,FALSE)</f>
        <v>Completed</v>
      </c>
      <c r="P283" s="2" t="s">
        <v>23</v>
      </c>
      <c r="Q283" s="2">
        <v>2</v>
      </c>
      <c r="R283" s="2" t="s">
        <v>37</v>
      </c>
      <c r="S283" s="11" t="str">
        <f t="shared" si="23"/>
        <v>Rendah</v>
      </c>
      <c r="T283" s="2" t="str">
        <f t="shared" si="24"/>
        <v>Rendah</v>
      </c>
    </row>
    <row r="284" spans="1:20" ht="15.75" customHeight="1" x14ac:dyDescent="0.3">
      <c r="A284" s="4" t="s">
        <v>2086</v>
      </c>
      <c r="B284" s="3">
        <v>45864.711539351847</v>
      </c>
      <c r="C284" s="2" t="s">
        <v>451</v>
      </c>
      <c r="D284" s="2" t="s">
        <v>116</v>
      </c>
      <c r="E284" s="2" t="s">
        <v>190</v>
      </c>
      <c r="F284" s="2">
        <v>35000</v>
      </c>
      <c r="G284" s="2">
        <v>4</v>
      </c>
      <c r="H284" s="2">
        <v>10</v>
      </c>
      <c r="I284">
        <f t="shared" si="20"/>
        <v>140000</v>
      </c>
      <c r="J284">
        <f t="shared" si="21"/>
        <v>14000</v>
      </c>
      <c r="K284" s="6">
        <f t="shared" si="22"/>
        <v>126000</v>
      </c>
      <c r="L284" s="2">
        <v>72000</v>
      </c>
      <c r="M284" s="6">
        <f>Table1[[#This Row],[Total Sales]]+Table1[[#This Row],[Shipping Fee]]</f>
        <v>198000</v>
      </c>
      <c r="N284" s="2" t="s">
        <v>22</v>
      </c>
      <c r="O284" t="str">
        <f>VLOOKUP(Table1[[#This Row],[Order ID]],Status!A:B, 2,FALSE)</f>
        <v>Completed</v>
      </c>
      <c r="P284" s="2" t="s">
        <v>82</v>
      </c>
      <c r="Q284" s="2">
        <v>3</v>
      </c>
      <c r="R284" s="2" t="s">
        <v>24</v>
      </c>
      <c r="S284" s="11" t="str">
        <f t="shared" si="23"/>
        <v>Standar</v>
      </c>
      <c r="T284" s="2" t="str">
        <f t="shared" si="24"/>
        <v>Normal</v>
      </c>
    </row>
    <row r="285" spans="1:20" ht="15.75" customHeight="1" x14ac:dyDescent="0.3">
      <c r="A285" s="4" t="s">
        <v>2085</v>
      </c>
      <c r="B285" s="3">
        <v>45864.592835648153</v>
      </c>
      <c r="C285" s="2" t="s">
        <v>515</v>
      </c>
      <c r="D285" s="2" t="s">
        <v>182</v>
      </c>
      <c r="E285" s="2" t="s">
        <v>144</v>
      </c>
      <c r="F285" s="2">
        <v>18000</v>
      </c>
      <c r="G285" s="2">
        <v>2</v>
      </c>
      <c r="H285" s="2">
        <v>15</v>
      </c>
      <c r="I285">
        <f t="shared" si="20"/>
        <v>36000</v>
      </c>
      <c r="J285">
        <f t="shared" si="21"/>
        <v>5400</v>
      </c>
      <c r="K285" s="6">
        <f t="shared" si="22"/>
        <v>30600</v>
      </c>
      <c r="L285" s="2">
        <v>48000</v>
      </c>
      <c r="M285" s="6">
        <f>Table1[[#This Row],[Total Sales]]+Table1[[#This Row],[Shipping Fee]]</f>
        <v>78600</v>
      </c>
      <c r="N285" s="2" t="s">
        <v>35</v>
      </c>
      <c r="O285" t="str">
        <f>VLOOKUP(Table1[[#This Row],[Order ID]],Status!A:B, 2,FALSE)</f>
        <v>Completed</v>
      </c>
      <c r="P285" s="2" t="s">
        <v>36</v>
      </c>
      <c r="Q285" s="2">
        <v>5</v>
      </c>
      <c r="R285" s="2" t="s">
        <v>24</v>
      </c>
      <c r="S285" s="11" t="str">
        <f t="shared" si="23"/>
        <v>Bagus</v>
      </c>
      <c r="T285" s="2" t="str">
        <f t="shared" si="24"/>
        <v>Rendah</v>
      </c>
    </row>
    <row r="286" spans="1:20" ht="15.75" customHeight="1" x14ac:dyDescent="0.3">
      <c r="A286" s="4" t="s">
        <v>2084</v>
      </c>
      <c r="B286" s="3">
        <v>45863.798275462963</v>
      </c>
      <c r="C286" s="2" t="s">
        <v>1122</v>
      </c>
      <c r="D286" s="2" t="s">
        <v>33</v>
      </c>
      <c r="E286" s="2" t="s">
        <v>21</v>
      </c>
      <c r="F286" s="2">
        <v>45000</v>
      </c>
      <c r="G286" s="2">
        <v>2</v>
      </c>
      <c r="H286" s="2">
        <v>0</v>
      </c>
      <c r="I286">
        <f t="shared" si="20"/>
        <v>90000</v>
      </c>
      <c r="J286">
        <f t="shared" si="21"/>
        <v>0</v>
      </c>
      <c r="K286" s="6">
        <f t="shared" si="22"/>
        <v>90000</v>
      </c>
      <c r="L286" s="2">
        <v>76000</v>
      </c>
      <c r="M286" s="6">
        <f>Table1[[#This Row],[Total Sales]]+Table1[[#This Row],[Shipping Fee]]</f>
        <v>166000</v>
      </c>
      <c r="N286" s="2" t="s">
        <v>22</v>
      </c>
      <c r="O286" t="str">
        <f>VLOOKUP(Table1[[#This Row],[Order ID]],Status!A:B, 2,FALSE)</f>
        <v>Completed</v>
      </c>
      <c r="P286" s="2" t="s">
        <v>36</v>
      </c>
      <c r="Q286" s="2">
        <v>4</v>
      </c>
      <c r="R286" s="2" t="s">
        <v>24</v>
      </c>
      <c r="S286" s="11" t="str">
        <f t="shared" si="23"/>
        <v>Bagus</v>
      </c>
      <c r="T286" s="2" t="str">
        <f t="shared" si="24"/>
        <v>Sangat Rendah</v>
      </c>
    </row>
    <row r="287" spans="1:20" ht="15.75" customHeight="1" x14ac:dyDescent="0.3">
      <c r="A287" s="4" t="s">
        <v>2083</v>
      </c>
      <c r="B287" s="3">
        <v>45863.770949074067</v>
      </c>
      <c r="C287" s="2" t="s">
        <v>269</v>
      </c>
      <c r="D287" s="2" t="s">
        <v>173</v>
      </c>
      <c r="E287" s="2" t="s">
        <v>174</v>
      </c>
      <c r="F287" s="2">
        <v>10000</v>
      </c>
      <c r="G287" s="2">
        <v>5</v>
      </c>
      <c r="H287" s="2">
        <v>20</v>
      </c>
      <c r="I287">
        <f t="shared" si="20"/>
        <v>50000</v>
      </c>
      <c r="J287">
        <f t="shared" si="21"/>
        <v>10000</v>
      </c>
      <c r="K287" s="6">
        <f t="shared" si="22"/>
        <v>40000</v>
      </c>
      <c r="L287" s="2">
        <v>49000</v>
      </c>
      <c r="M287" s="6">
        <f>Table1[[#This Row],[Total Sales]]+Table1[[#This Row],[Shipping Fee]]</f>
        <v>89000</v>
      </c>
      <c r="N287" s="2" t="s">
        <v>29</v>
      </c>
      <c r="O287" t="str">
        <f>VLOOKUP(Table1[[#This Row],[Order ID]],Status!A:B, 2,FALSE)</f>
        <v>Completed</v>
      </c>
      <c r="P287" s="2" t="s">
        <v>36</v>
      </c>
      <c r="Q287" s="2">
        <v>1</v>
      </c>
      <c r="R287" s="2" t="s">
        <v>37</v>
      </c>
      <c r="S287" s="11" t="str">
        <f t="shared" si="23"/>
        <v>Rendah</v>
      </c>
      <c r="T287" s="2" t="str">
        <f t="shared" si="24"/>
        <v>Rendah</v>
      </c>
    </row>
    <row r="288" spans="1:20" ht="15.75" customHeight="1" x14ac:dyDescent="0.3">
      <c r="A288" s="4" t="s">
        <v>2082</v>
      </c>
      <c r="B288" s="3">
        <v>45863.50476851852</v>
      </c>
      <c r="C288" s="2" t="s">
        <v>827</v>
      </c>
      <c r="D288" s="2" t="s">
        <v>20</v>
      </c>
      <c r="E288" s="2" t="s">
        <v>67</v>
      </c>
      <c r="F288" s="2">
        <v>15000</v>
      </c>
      <c r="G288" s="2">
        <v>4</v>
      </c>
      <c r="H288" s="2">
        <v>15</v>
      </c>
      <c r="I288">
        <f t="shared" si="20"/>
        <v>60000</v>
      </c>
      <c r="J288">
        <f t="shared" si="21"/>
        <v>9000</v>
      </c>
      <c r="K288" s="6">
        <f t="shared" si="22"/>
        <v>51000</v>
      </c>
      <c r="L288" s="2">
        <v>15000</v>
      </c>
      <c r="M288" s="6">
        <f>Table1[[#This Row],[Total Sales]]+Table1[[#This Row],[Shipping Fee]]</f>
        <v>66000</v>
      </c>
      <c r="N288" s="2" t="s">
        <v>63</v>
      </c>
      <c r="O288" t="str">
        <f>VLOOKUP(Table1[[#This Row],[Order ID]],Status!A:B, 2,FALSE)</f>
        <v>Completed</v>
      </c>
      <c r="P288" s="2" t="s">
        <v>46</v>
      </c>
      <c r="Q288" s="2">
        <v>3</v>
      </c>
      <c r="R288" s="2" t="s">
        <v>24</v>
      </c>
      <c r="S288" s="11" t="str">
        <f t="shared" si="23"/>
        <v>Standar</v>
      </c>
      <c r="T288" s="2" t="str">
        <f t="shared" si="24"/>
        <v>Rendah</v>
      </c>
    </row>
    <row r="289" spans="1:20" ht="15.75" customHeight="1" x14ac:dyDescent="0.3">
      <c r="A289" s="4" t="s">
        <v>2081</v>
      </c>
      <c r="B289" s="3">
        <v>45863.151562500003</v>
      </c>
      <c r="C289" s="2" t="s">
        <v>396</v>
      </c>
      <c r="D289" s="2" t="s">
        <v>66</v>
      </c>
      <c r="E289" s="2" t="s">
        <v>104</v>
      </c>
      <c r="F289" s="2">
        <v>30000</v>
      </c>
      <c r="G289" s="2">
        <v>2</v>
      </c>
      <c r="H289" s="2">
        <v>10</v>
      </c>
      <c r="I289">
        <f t="shared" si="20"/>
        <v>60000</v>
      </c>
      <c r="J289">
        <f t="shared" si="21"/>
        <v>6000</v>
      </c>
      <c r="K289" s="6">
        <f t="shared" si="22"/>
        <v>54000</v>
      </c>
      <c r="L289" s="2">
        <v>59000</v>
      </c>
      <c r="M289" s="6">
        <f>Table1[[#This Row],[Total Sales]]+Table1[[#This Row],[Shipping Fee]]</f>
        <v>113000</v>
      </c>
      <c r="N289" s="2" t="s">
        <v>63</v>
      </c>
      <c r="O289" t="str">
        <f>VLOOKUP(Table1[[#This Row],[Order ID]],Status!A:B, 2,FALSE)</f>
        <v>Completed</v>
      </c>
      <c r="P289" s="2" t="s">
        <v>46</v>
      </c>
      <c r="Q289" s="2">
        <v>3</v>
      </c>
      <c r="R289" s="2" t="s">
        <v>37</v>
      </c>
      <c r="S289" s="11" t="str">
        <f t="shared" si="23"/>
        <v>Standar</v>
      </c>
      <c r="T289" s="2" t="str">
        <f t="shared" si="24"/>
        <v>Rendah</v>
      </c>
    </row>
    <row r="290" spans="1:20" ht="15.75" customHeight="1" x14ac:dyDescent="0.3">
      <c r="A290" s="4" t="s">
        <v>2079</v>
      </c>
      <c r="B290" s="3">
        <v>45863.086631944447</v>
      </c>
      <c r="C290" s="2" t="s">
        <v>2080</v>
      </c>
      <c r="D290" s="2" t="s">
        <v>262</v>
      </c>
      <c r="E290" s="2" t="s">
        <v>85</v>
      </c>
      <c r="F290" s="2">
        <v>35000</v>
      </c>
      <c r="G290" s="2">
        <v>3</v>
      </c>
      <c r="H290" s="2">
        <v>15</v>
      </c>
      <c r="I290">
        <f t="shared" si="20"/>
        <v>105000</v>
      </c>
      <c r="J290">
        <f t="shared" si="21"/>
        <v>15750</v>
      </c>
      <c r="K290" s="6">
        <f t="shared" si="22"/>
        <v>89250</v>
      </c>
      <c r="L290" s="2">
        <v>0</v>
      </c>
      <c r="M290" s="6">
        <f>Table1[[#This Row],[Total Sales]]+Table1[[#This Row],[Shipping Fee]]</f>
        <v>89250</v>
      </c>
      <c r="N290" s="2" t="s">
        <v>22</v>
      </c>
      <c r="O290" t="str">
        <f>VLOOKUP(Table1[[#This Row],[Order ID]],Status!A:B, 2,FALSE)</f>
        <v>Completed</v>
      </c>
      <c r="P290" s="2" t="s">
        <v>46</v>
      </c>
      <c r="Q290" s="2">
        <v>2</v>
      </c>
      <c r="R290" s="2" t="s">
        <v>24</v>
      </c>
      <c r="S290" s="11" t="str">
        <f t="shared" si="23"/>
        <v>Rendah</v>
      </c>
      <c r="T290" s="2" t="str">
        <f t="shared" si="24"/>
        <v>Normal</v>
      </c>
    </row>
    <row r="291" spans="1:20" ht="15.75" customHeight="1" x14ac:dyDescent="0.3">
      <c r="A291" s="4" t="s">
        <v>2079</v>
      </c>
      <c r="B291" s="3">
        <v>45863.086631944447</v>
      </c>
      <c r="C291" s="2" t="s">
        <v>2080</v>
      </c>
      <c r="D291" s="2" t="s">
        <v>262</v>
      </c>
      <c r="E291" s="2" t="s">
        <v>75</v>
      </c>
      <c r="F291" s="2">
        <v>55000</v>
      </c>
      <c r="G291" s="2">
        <v>4</v>
      </c>
      <c r="H291" s="2">
        <v>15</v>
      </c>
      <c r="I291">
        <f t="shared" si="20"/>
        <v>220000</v>
      </c>
      <c r="J291">
        <f t="shared" si="21"/>
        <v>33000</v>
      </c>
      <c r="K291" s="6">
        <f t="shared" si="22"/>
        <v>187000</v>
      </c>
      <c r="L291" s="2">
        <v>18000</v>
      </c>
      <c r="M291" s="6">
        <f>Table1[[#This Row],[Total Sales]]+Table1[[#This Row],[Shipping Fee]]</f>
        <v>205000</v>
      </c>
      <c r="N291" s="2" t="s">
        <v>22</v>
      </c>
      <c r="O291" t="str">
        <f>VLOOKUP(Table1[[#This Row],[Order ID]],Status!A:B, 2,FALSE)</f>
        <v>Completed</v>
      </c>
      <c r="P291" s="2" t="s">
        <v>46</v>
      </c>
      <c r="Q291" s="2">
        <v>2</v>
      </c>
      <c r="R291" s="2" t="s">
        <v>24</v>
      </c>
      <c r="S291" s="11" t="str">
        <f t="shared" si="23"/>
        <v>Rendah</v>
      </c>
      <c r="T291" s="2" t="str">
        <f t="shared" si="24"/>
        <v>Tinggi</v>
      </c>
    </row>
    <row r="292" spans="1:20" ht="15.75" customHeight="1" x14ac:dyDescent="0.3">
      <c r="A292" s="4" t="s">
        <v>2078</v>
      </c>
      <c r="B292" s="3">
        <v>45863.019652777781</v>
      </c>
      <c r="C292" s="2" t="s">
        <v>273</v>
      </c>
      <c r="D292" s="2" t="s">
        <v>195</v>
      </c>
      <c r="E292" s="2" t="s">
        <v>136</v>
      </c>
      <c r="F292" s="2">
        <v>12000</v>
      </c>
      <c r="G292" s="2">
        <v>2</v>
      </c>
      <c r="H292" s="2">
        <v>10</v>
      </c>
      <c r="I292">
        <f t="shared" si="20"/>
        <v>24000</v>
      </c>
      <c r="J292">
        <f t="shared" si="21"/>
        <v>2400</v>
      </c>
      <c r="K292" s="6">
        <f t="shared" si="22"/>
        <v>21600</v>
      </c>
      <c r="L292" s="2">
        <v>87000</v>
      </c>
      <c r="M292" s="6">
        <f>Table1[[#This Row],[Total Sales]]+Table1[[#This Row],[Shipping Fee]]</f>
        <v>108600</v>
      </c>
      <c r="N292" s="2" t="s">
        <v>35</v>
      </c>
      <c r="O292" t="str">
        <f>VLOOKUP(Table1[[#This Row],[Order ID]],Status!A:B, 2,FALSE)</f>
        <v>Cancelled</v>
      </c>
      <c r="P292" s="2" t="s">
        <v>36</v>
      </c>
      <c r="Q292" s="2">
        <v>2</v>
      </c>
      <c r="R292" s="2" t="s">
        <v>24</v>
      </c>
      <c r="S292" s="11" t="str">
        <f t="shared" si="23"/>
        <v>Rendah</v>
      </c>
      <c r="T292" s="2" t="str">
        <f t="shared" si="24"/>
        <v>Sangat Rendah</v>
      </c>
    </row>
    <row r="293" spans="1:20" ht="15.75" customHeight="1" x14ac:dyDescent="0.3">
      <c r="A293" s="4" t="s">
        <v>2077</v>
      </c>
      <c r="B293" s="3">
        <v>45862.964467592603</v>
      </c>
      <c r="C293" s="2" t="s">
        <v>774</v>
      </c>
      <c r="D293" s="2" t="s">
        <v>262</v>
      </c>
      <c r="E293" s="2" t="s">
        <v>58</v>
      </c>
      <c r="F293" s="2">
        <v>16000</v>
      </c>
      <c r="G293" s="2">
        <v>4</v>
      </c>
      <c r="H293" s="2">
        <v>15</v>
      </c>
      <c r="I293">
        <f t="shared" si="20"/>
        <v>64000</v>
      </c>
      <c r="J293">
        <f t="shared" si="21"/>
        <v>9600</v>
      </c>
      <c r="K293" s="6">
        <f t="shared" si="22"/>
        <v>54400</v>
      </c>
      <c r="L293" s="2">
        <v>18000</v>
      </c>
      <c r="M293" s="6">
        <f>Table1[[#This Row],[Total Sales]]+Table1[[#This Row],[Shipping Fee]]</f>
        <v>72400</v>
      </c>
      <c r="N293" s="2" t="s">
        <v>63</v>
      </c>
      <c r="O293" t="str">
        <f>VLOOKUP(Table1[[#This Row],[Order ID]],Status!A:B, 2,FALSE)</f>
        <v>Completed</v>
      </c>
      <c r="P293" s="2" t="s">
        <v>36</v>
      </c>
      <c r="Q293" s="2">
        <v>5</v>
      </c>
      <c r="R293" s="2" t="s">
        <v>24</v>
      </c>
      <c r="S293" s="11" t="str">
        <f t="shared" si="23"/>
        <v>Bagus</v>
      </c>
      <c r="T293" s="2" t="str">
        <f t="shared" si="24"/>
        <v>Rendah</v>
      </c>
    </row>
    <row r="294" spans="1:20" ht="15.75" customHeight="1" x14ac:dyDescent="0.3">
      <c r="A294" s="4" t="s">
        <v>2076</v>
      </c>
      <c r="B294" s="3">
        <v>45862.850752314807</v>
      </c>
      <c r="C294" s="2" t="s">
        <v>1173</v>
      </c>
      <c r="D294" s="2" t="s">
        <v>170</v>
      </c>
      <c r="E294" s="2" t="s">
        <v>136</v>
      </c>
      <c r="F294" s="2">
        <v>12000</v>
      </c>
      <c r="G294" s="2">
        <v>5</v>
      </c>
      <c r="H294" s="2">
        <v>10</v>
      </c>
      <c r="I294">
        <f t="shared" si="20"/>
        <v>60000</v>
      </c>
      <c r="J294">
        <f t="shared" si="21"/>
        <v>6000</v>
      </c>
      <c r="K294" s="6">
        <f t="shared" si="22"/>
        <v>54000</v>
      </c>
      <c r="L294" s="2">
        <v>46000</v>
      </c>
      <c r="M294" s="6">
        <f>Table1[[#This Row],[Total Sales]]+Table1[[#This Row],[Shipping Fee]]</f>
        <v>100000</v>
      </c>
      <c r="N294" s="2" t="s">
        <v>22</v>
      </c>
      <c r="O294" t="str">
        <f>VLOOKUP(Table1[[#This Row],[Order ID]],Status!A:B, 2,FALSE)</f>
        <v>Completed</v>
      </c>
      <c r="P294" s="2" t="s">
        <v>36</v>
      </c>
      <c r="Q294" s="2">
        <v>3</v>
      </c>
      <c r="R294" s="2" t="s">
        <v>24</v>
      </c>
      <c r="S294" s="11" t="str">
        <f t="shared" si="23"/>
        <v>Standar</v>
      </c>
      <c r="T294" s="2" t="str">
        <f t="shared" si="24"/>
        <v>Rendah</v>
      </c>
    </row>
    <row r="295" spans="1:20" ht="15.75" customHeight="1" x14ac:dyDescent="0.3">
      <c r="A295" s="4" t="s">
        <v>2075</v>
      </c>
      <c r="B295" s="3">
        <v>45862.785856481481</v>
      </c>
      <c r="C295" s="2" t="s">
        <v>589</v>
      </c>
      <c r="D295" s="2" t="s">
        <v>262</v>
      </c>
      <c r="E295" s="2" t="s">
        <v>38</v>
      </c>
      <c r="F295" s="2">
        <v>28000</v>
      </c>
      <c r="G295" s="2">
        <v>4</v>
      </c>
      <c r="H295" s="2">
        <v>10</v>
      </c>
      <c r="I295">
        <f t="shared" si="20"/>
        <v>112000</v>
      </c>
      <c r="J295">
        <f t="shared" si="21"/>
        <v>11200</v>
      </c>
      <c r="K295" s="6">
        <f t="shared" si="22"/>
        <v>100800</v>
      </c>
      <c r="L295" s="2">
        <v>18000</v>
      </c>
      <c r="M295" s="6">
        <f>Table1[[#This Row],[Total Sales]]+Table1[[#This Row],[Shipping Fee]]</f>
        <v>118800</v>
      </c>
      <c r="N295" s="2" t="s">
        <v>63</v>
      </c>
      <c r="O295" t="str">
        <f>VLOOKUP(Table1[[#This Row],[Order ID]],Status!A:B, 2,FALSE)</f>
        <v>Completed</v>
      </c>
      <c r="P295" s="2" t="s">
        <v>23</v>
      </c>
      <c r="Q295" s="2">
        <v>2</v>
      </c>
      <c r="R295" s="2" t="s">
        <v>37</v>
      </c>
      <c r="S295" s="11" t="str">
        <f t="shared" si="23"/>
        <v>Rendah</v>
      </c>
      <c r="T295" s="2" t="str">
        <f t="shared" si="24"/>
        <v>Normal</v>
      </c>
    </row>
    <row r="296" spans="1:20" ht="15.75" customHeight="1" x14ac:dyDescent="0.3">
      <c r="A296" s="4" t="s">
        <v>2074</v>
      </c>
      <c r="B296" s="3">
        <v>45862.595254629632</v>
      </c>
      <c r="C296" s="2" t="s">
        <v>568</v>
      </c>
      <c r="D296" s="2" t="s">
        <v>435</v>
      </c>
      <c r="E296" s="2" t="s">
        <v>144</v>
      </c>
      <c r="F296" s="2">
        <v>18000</v>
      </c>
      <c r="G296" s="2">
        <v>2</v>
      </c>
      <c r="H296" s="2">
        <v>0</v>
      </c>
      <c r="I296">
        <f t="shared" si="20"/>
        <v>36000</v>
      </c>
      <c r="J296">
        <f t="shared" si="21"/>
        <v>0</v>
      </c>
      <c r="K296" s="6">
        <f t="shared" si="22"/>
        <v>36000</v>
      </c>
      <c r="L296" s="2">
        <v>67000</v>
      </c>
      <c r="M296" s="6">
        <f>Table1[[#This Row],[Total Sales]]+Table1[[#This Row],[Shipping Fee]]</f>
        <v>103000</v>
      </c>
      <c r="N296" s="2" t="s">
        <v>22</v>
      </c>
      <c r="O296" t="str">
        <f>VLOOKUP(Table1[[#This Row],[Order ID]],Status!A:B, 2,FALSE)</f>
        <v>Completed</v>
      </c>
      <c r="P296" s="2" t="s">
        <v>36</v>
      </c>
      <c r="Q296" s="2">
        <v>5</v>
      </c>
      <c r="R296" s="2" t="s">
        <v>24</v>
      </c>
      <c r="S296" s="11" t="str">
        <f t="shared" si="23"/>
        <v>Bagus</v>
      </c>
      <c r="T296" s="2" t="str">
        <f t="shared" si="24"/>
        <v>Sangat Rendah</v>
      </c>
    </row>
    <row r="297" spans="1:20" ht="15.75" customHeight="1" x14ac:dyDescent="0.3">
      <c r="A297" s="4" t="s">
        <v>2073</v>
      </c>
      <c r="B297" s="3">
        <v>45862.320011574076</v>
      </c>
      <c r="C297" s="2" t="s">
        <v>693</v>
      </c>
      <c r="D297" s="2" t="s">
        <v>119</v>
      </c>
      <c r="E297" s="2" t="s">
        <v>81</v>
      </c>
      <c r="F297" s="2">
        <v>17000</v>
      </c>
      <c r="G297" s="2">
        <v>4</v>
      </c>
      <c r="H297" s="2">
        <v>0</v>
      </c>
      <c r="I297">
        <f t="shared" si="20"/>
        <v>68000</v>
      </c>
      <c r="J297">
        <f t="shared" si="21"/>
        <v>0</v>
      </c>
      <c r="K297" s="6">
        <f t="shared" si="22"/>
        <v>68000</v>
      </c>
      <c r="L297" s="2">
        <v>0</v>
      </c>
      <c r="M297" s="6">
        <f>Table1[[#This Row],[Total Sales]]+Table1[[#This Row],[Shipping Fee]]</f>
        <v>68000</v>
      </c>
      <c r="N297" s="2" t="s">
        <v>22</v>
      </c>
      <c r="O297" t="str">
        <f>VLOOKUP(Table1[[#This Row],[Order ID]],Status!A:B, 2,FALSE)</f>
        <v>Returned</v>
      </c>
      <c r="P297" s="2" t="s">
        <v>46</v>
      </c>
      <c r="Q297" s="2">
        <v>4</v>
      </c>
      <c r="R297" s="2" t="s">
        <v>24</v>
      </c>
      <c r="S297" s="11" t="str">
        <f t="shared" si="23"/>
        <v>Bagus</v>
      </c>
      <c r="T297" s="2" t="str">
        <f t="shared" si="24"/>
        <v>Sangat Rendah</v>
      </c>
    </row>
    <row r="298" spans="1:20" ht="15.75" customHeight="1" x14ac:dyDescent="0.3">
      <c r="A298" s="4" t="s">
        <v>2071</v>
      </c>
      <c r="B298" s="3">
        <v>45862.118402777778</v>
      </c>
      <c r="C298" s="2" t="s">
        <v>2072</v>
      </c>
      <c r="D298" s="2" t="s">
        <v>92</v>
      </c>
      <c r="E298" s="2" t="s">
        <v>45</v>
      </c>
      <c r="F298" s="2">
        <v>40000</v>
      </c>
      <c r="G298" s="2">
        <v>1</v>
      </c>
      <c r="H298" s="2">
        <v>5</v>
      </c>
      <c r="I298">
        <f t="shared" si="20"/>
        <v>40000</v>
      </c>
      <c r="J298">
        <f t="shared" si="21"/>
        <v>2000</v>
      </c>
      <c r="K298" s="6">
        <f t="shared" si="22"/>
        <v>38000</v>
      </c>
      <c r="L298" s="2">
        <v>30000</v>
      </c>
      <c r="M298" s="6">
        <f>Table1[[#This Row],[Total Sales]]+Table1[[#This Row],[Shipping Fee]]</f>
        <v>68000</v>
      </c>
      <c r="N298" s="2" t="s">
        <v>63</v>
      </c>
      <c r="O298" t="str">
        <f>VLOOKUP(Table1[[#This Row],[Order ID]],Status!A:B, 2,FALSE)</f>
        <v>Returned</v>
      </c>
      <c r="P298" s="2" t="s">
        <v>36</v>
      </c>
      <c r="Q298" s="2">
        <v>1</v>
      </c>
      <c r="R298" s="2" t="s">
        <v>37</v>
      </c>
      <c r="S298" s="11" t="str">
        <f t="shared" si="23"/>
        <v>Rendah</v>
      </c>
      <c r="T298" s="2" t="str">
        <f t="shared" si="24"/>
        <v>Sangat Rendah</v>
      </c>
    </row>
    <row r="299" spans="1:20" ht="15.75" customHeight="1" x14ac:dyDescent="0.3">
      <c r="A299" s="4" t="s">
        <v>2070</v>
      </c>
      <c r="B299" s="3">
        <v>45862.091469907413</v>
      </c>
      <c r="C299" s="2" t="s">
        <v>867</v>
      </c>
      <c r="D299" s="2" t="s">
        <v>20</v>
      </c>
      <c r="E299" s="2" t="s">
        <v>144</v>
      </c>
      <c r="F299" s="2">
        <v>18000</v>
      </c>
      <c r="G299" s="2">
        <v>5</v>
      </c>
      <c r="H299" s="2">
        <v>20</v>
      </c>
      <c r="I299">
        <f t="shared" si="20"/>
        <v>90000</v>
      </c>
      <c r="J299">
        <f t="shared" si="21"/>
        <v>18000</v>
      </c>
      <c r="K299" s="6">
        <f t="shared" si="22"/>
        <v>72000</v>
      </c>
      <c r="L299" s="2">
        <v>15000</v>
      </c>
      <c r="M299" s="6">
        <f>Table1[[#This Row],[Total Sales]]+Table1[[#This Row],[Shipping Fee]]</f>
        <v>87000</v>
      </c>
      <c r="N299" s="2" t="s">
        <v>63</v>
      </c>
      <c r="O299" t="str">
        <f>VLOOKUP(Table1[[#This Row],[Order ID]],Status!A:B, 2,FALSE)</f>
        <v>Completed</v>
      </c>
      <c r="P299" s="2" t="s">
        <v>46</v>
      </c>
      <c r="Q299" s="2">
        <v>2</v>
      </c>
      <c r="R299" s="2" t="s">
        <v>37</v>
      </c>
      <c r="S299" s="11" t="str">
        <f t="shared" si="23"/>
        <v>Rendah</v>
      </c>
      <c r="T299" s="2" t="str">
        <f t="shared" si="24"/>
        <v>Normal</v>
      </c>
    </row>
    <row r="300" spans="1:20" ht="15.75" customHeight="1" x14ac:dyDescent="0.3">
      <c r="A300" s="4" t="s">
        <v>2070</v>
      </c>
      <c r="B300" s="3">
        <v>45862.091469907413</v>
      </c>
      <c r="C300" s="2" t="s">
        <v>867</v>
      </c>
      <c r="D300" s="2" t="s">
        <v>20</v>
      </c>
      <c r="E300" s="2" t="s">
        <v>85</v>
      </c>
      <c r="F300" s="2">
        <v>35000</v>
      </c>
      <c r="G300" s="2">
        <v>5</v>
      </c>
      <c r="H300" s="2">
        <v>10</v>
      </c>
      <c r="I300">
        <f t="shared" si="20"/>
        <v>175000</v>
      </c>
      <c r="J300">
        <f t="shared" si="21"/>
        <v>17500</v>
      </c>
      <c r="K300" s="6">
        <f t="shared" si="22"/>
        <v>157500</v>
      </c>
      <c r="L300" s="2">
        <v>0</v>
      </c>
      <c r="M300" s="6">
        <f>Table1[[#This Row],[Total Sales]]+Table1[[#This Row],[Shipping Fee]]</f>
        <v>157500</v>
      </c>
      <c r="N300" s="2" t="s">
        <v>63</v>
      </c>
      <c r="O300" t="str">
        <f>VLOOKUP(Table1[[#This Row],[Order ID]],Status!A:B, 2,FALSE)</f>
        <v>Completed</v>
      </c>
      <c r="P300" s="2" t="s">
        <v>46</v>
      </c>
      <c r="Q300" s="2">
        <v>2</v>
      </c>
      <c r="R300" s="2" t="s">
        <v>37</v>
      </c>
      <c r="S300" s="11" t="str">
        <f t="shared" si="23"/>
        <v>Rendah</v>
      </c>
      <c r="T300" s="2" t="str">
        <f t="shared" si="24"/>
        <v>Normal</v>
      </c>
    </row>
    <row r="301" spans="1:20" ht="15.75" customHeight="1" x14ac:dyDescent="0.3">
      <c r="A301" s="4" t="s">
        <v>2069</v>
      </c>
      <c r="B301" s="3">
        <v>45861.886342592603</v>
      </c>
      <c r="C301" s="2" t="s">
        <v>649</v>
      </c>
      <c r="D301" s="2" t="s">
        <v>177</v>
      </c>
      <c r="E301" s="2" t="s">
        <v>190</v>
      </c>
      <c r="F301" s="2">
        <v>35000</v>
      </c>
      <c r="G301" s="2">
        <v>4</v>
      </c>
      <c r="H301" s="2">
        <v>10</v>
      </c>
      <c r="I301">
        <f t="shared" si="20"/>
        <v>140000</v>
      </c>
      <c r="J301">
        <f t="shared" si="21"/>
        <v>14000</v>
      </c>
      <c r="K301" s="6">
        <f t="shared" si="22"/>
        <v>126000</v>
      </c>
      <c r="L301" s="2">
        <v>56000</v>
      </c>
      <c r="M301" s="6">
        <f>Table1[[#This Row],[Total Sales]]+Table1[[#This Row],[Shipping Fee]]</f>
        <v>182000</v>
      </c>
      <c r="N301" s="2" t="s">
        <v>29</v>
      </c>
      <c r="O301" t="str">
        <f>VLOOKUP(Table1[[#This Row],[Order ID]],Status!A:B, 2,FALSE)</f>
        <v>Completed</v>
      </c>
      <c r="P301" s="2" t="s">
        <v>46</v>
      </c>
      <c r="Q301" s="2">
        <v>4</v>
      </c>
      <c r="R301" s="2" t="s">
        <v>24</v>
      </c>
      <c r="S301" s="11" t="str">
        <f t="shared" si="23"/>
        <v>Bagus</v>
      </c>
      <c r="T301" s="2" t="str">
        <f t="shared" si="24"/>
        <v>Normal</v>
      </c>
    </row>
    <row r="302" spans="1:20" ht="15.75" customHeight="1" x14ac:dyDescent="0.3">
      <c r="A302" s="4" t="s">
        <v>2068</v>
      </c>
      <c r="B302" s="3">
        <v>45861.747523148151</v>
      </c>
      <c r="C302" s="2" t="s">
        <v>323</v>
      </c>
      <c r="D302" s="2" t="s">
        <v>103</v>
      </c>
      <c r="E302" s="2" t="s">
        <v>104</v>
      </c>
      <c r="F302" s="2">
        <v>30000</v>
      </c>
      <c r="G302" s="2">
        <v>4</v>
      </c>
      <c r="H302" s="2">
        <v>10</v>
      </c>
      <c r="I302">
        <f t="shared" si="20"/>
        <v>120000</v>
      </c>
      <c r="J302">
        <f t="shared" si="21"/>
        <v>12000</v>
      </c>
      <c r="K302" s="6">
        <f t="shared" si="22"/>
        <v>108000</v>
      </c>
      <c r="L302" s="2">
        <v>85000</v>
      </c>
      <c r="M302" s="6">
        <f>Table1[[#This Row],[Total Sales]]+Table1[[#This Row],[Shipping Fee]]</f>
        <v>193000</v>
      </c>
      <c r="N302" s="2" t="s">
        <v>22</v>
      </c>
      <c r="O302" t="str">
        <f>VLOOKUP(Table1[[#This Row],[Order ID]],Status!A:B, 2,FALSE)</f>
        <v>Completed</v>
      </c>
      <c r="P302" s="2" t="s">
        <v>82</v>
      </c>
      <c r="Q302" s="2">
        <v>3</v>
      </c>
      <c r="R302" s="2" t="s">
        <v>24</v>
      </c>
      <c r="S302" s="11" t="str">
        <f t="shared" si="23"/>
        <v>Standar</v>
      </c>
      <c r="T302" s="2" t="str">
        <f t="shared" si="24"/>
        <v>Normal</v>
      </c>
    </row>
    <row r="303" spans="1:20" ht="15.75" customHeight="1" x14ac:dyDescent="0.3">
      <c r="A303" s="4" t="s">
        <v>2067</v>
      </c>
      <c r="B303" s="3">
        <v>45861.653391203698</v>
      </c>
      <c r="C303" s="2" t="s">
        <v>772</v>
      </c>
      <c r="D303" s="2" t="s">
        <v>113</v>
      </c>
      <c r="E303" s="2" t="s">
        <v>62</v>
      </c>
      <c r="F303" s="2">
        <v>50000</v>
      </c>
      <c r="G303" s="2">
        <v>2</v>
      </c>
      <c r="H303" s="2">
        <v>10</v>
      </c>
      <c r="I303">
        <f t="shared" si="20"/>
        <v>100000</v>
      </c>
      <c r="J303">
        <f t="shared" si="21"/>
        <v>10000</v>
      </c>
      <c r="K303" s="6">
        <f t="shared" si="22"/>
        <v>90000</v>
      </c>
      <c r="L303" s="2">
        <v>18000</v>
      </c>
      <c r="M303" s="6">
        <f>Table1[[#This Row],[Total Sales]]+Table1[[#This Row],[Shipping Fee]]</f>
        <v>108000</v>
      </c>
      <c r="N303" s="2" t="s">
        <v>35</v>
      </c>
      <c r="O303" t="str">
        <f>VLOOKUP(Table1[[#This Row],[Order ID]],Status!A:B, 2,FALSE)</f>
        <v>Completed</v>
      </c>
      <c r="P303" s="2" t="s">
        <v>36</v>
      </c>
      <c r="Q303" s="2">
        <v>2</v>
      </c>
      <c r="R303" s="2" t="s">
        <v>24</v>
      </c>
      <c r="S303" s="11" t="str">
        <f t="shared" si="23"/>
        <v>Rendah</v>
      </c>
      <c r="T303" s="2" t="str">
        <f t="shared" si="24"/>
        <v>Rendah</v>
      </c>
    </row>
    <row r="304" spans="1:20" ht="15.75" customHeight="1" x14ac:dyDescent="0.3">
      <c r="A304" s="4" t="s">
        <v>2066</v>
      </c>
      <c r="B304" s="3">
        <v>45861.652800925927</v>
      </c>
      <c r="C304" s="2" t="s">
        <v>162</v>
      </c>
      <c r="D304" s="2" t="s">
        <v>163</v>
      </c>
      <c r="E304" s="2" t="s">
        <v>34</v>
      </c>
      <c r="F304" s="2">
        <v>16000</v>
      </c>
      <c r="G304" s="2">
        <v>1</v>
      </c>
      <c r="H304" s="2">
        <v>0</v>
      </c>
      <c r="I304">
        <f t="shared" si="20"/>
        <v>16000</v>
      </c>
      <c r="J304">
        <f t="shared" si="21"/>
        <v>0</v>
      </c>
      <c r="K304" s="6">
        <f t="shared" si="22"/>
        <v>16000</v>
      </c>
      <c r="L304" s="2">
        <v>50000</v>
      </c>
      <c r="M304" s="6">
        <f>Table1[[#This Row],[Total Sales]]+Table1[[#This Row],[Shipping Fee]]</f>
        <v>66000</v>
      </c>
      <c r="N304" s="2" t="s">
        <v>35</v>
      </c>
      <c r="O304" t="str">
        <f>VLOOKUP(Table1[[#This Row],[Order ID]],Status!A:B, 2,FALSE)</f>
        <v>Completed</v>
      </c>
      <c r="P304" s="2" t="s">
        <v>30</v>
      </c>
      <c r="Q304" s="2">
        <v>2</v>
      </c>
      <c r="R304" s="2" t="s">
        <v>24</v>
      </c>
      <c r="S304" s="11" t="str">
        <f t="shared" si="23"/>
        <v>Rendah</v>
      </c>
      <c r="T304" s="2" t="str">
        <f t="shared" si="24"/>
        <v>Sangat Rendah</v>
      </c>
    </row>
    <row r="305" spans="1:20" ht="15.75" customHeight="1" x14ac:dyDescent="0.3">
      <c r="A305" s="4" t="s">
        <v>2065</v>
      </c>
      <c r="B305" s="3">
        <v>45861.61309027778</v>
      </c>
      <c r="C305" s="2" t="s">
        <v>499</v>
      </c>
      <c r="D305" s="2" t="s">
        <v>131</v>
      </c>
      <c r="E305" s="2" t="s">
        <v>58</v>
      </c>
      <c r="F305" s="2">
        <v>16000</v>
      </c>
      <c r="G305" s="2">
        <v>4</v>
      </c>
      <c r="H305" s="2">
        <v>15</v>
      </c>
      <c r="I305">
        <f t="shared" si="20"/>
        <v>64000</v>
      </c>
      <c r="J305">
        <f t="shared" si="21"/>
        <v>9600</v>
      </c>
      <c r="K305" s="6">
        <f t="shared" si="22"/>
        <v>54400</v>
      </c>
      <c r="L305" s="2">
        <v>59000</v>
      </c>
      <c r="M305" s="6">
        <f>Table1[[#This Row],[Total Sales]]+Table1[[#This Row],[Shipping Fee]]</f>
        <v>113400</v>
      </c>
      <c r="N305" s="2" t="s">
        <v>22</v>
      </c>
      <c r="O305" t="str">
        <f>VLOOKUP(Table1[[#This Row],[Order ID]],Status!A:B, 2,FALSE)</f>
        <v>Completed</v>
      </c>
      <c r="P305" s="2" t="s">
        <v>46</v>
      </c>
      <c r="Q305" s="2">
        <v>4</v>
      </c>
      <c r="R305" s="2" t="s">
        <v>24</v>
      </c>
      <c r="S305" s="11" t="str">
        <f t="shared" si="23"/>
        <v>Bagus</v>
      </c>
      <c r="T305" s="2" t="str">
        <f t="shared" si="24"/>
        <v>Rendah</v>
      </c>
    </row>
    <row r="306" spans="1:20" ht="15.75" customHeight="1" x14ac:dyDescent="0.3">
      <c r="A306" s="4" t="s">
        <v>2064</v>
      </c>
      <c r="B306" s="3">
        <v>45861.496805555558</v>
      </c>
      <c r="C306" s="2" t="s">
        <v>65</v>
      </c>
      <c r="D306" s="2" t="s">
        <v>66</v>
      </c>
      <c r="E306" s="2" t="s">
        <v>75</v>
      </c>
      <c r="F306" s="2">
        <v>55000</v>
      </c>
      <c r="G306" s="2">
        <v>5</v>
      </c>
      <c r="H306" s="2">
        <v>15</v>
      </c>
      <c r="I306">
        <f t="shared" si="20"/>
        <v>275000</v>
      </c>
      <c r="J306">
        <f t="shared" si="21"/>
        <v>41250</v>
      </c>
      <c r="K306" s="6">
        <f t="shared" si="22"/>
        <v>233750</v>
      </c>
      <c r="L306" s="2">
        <v>59000</v>
      </c>
      <c r="M306" s="6">
        <f>Table1[[#This Row],[Total Sales]]+Table1[[#This Row],[Shipping Fee]]</f>
        <v>292750</v>
      </c>
      <c r="N306" s="2" t="s">
        <v>63</v>
      </c>
      <c r="O306" t="str">
        <f>VLOOKUP(Table1[[#This Row],[Order ID]],Status!A:B, 2,FALSE)</f>
        <v>Completed</v>
      </c>
      <c r="P306" s="2" t="s">
        <v>23</v>
      </c>
      <c r="Q306" s="2">
        <v>2</v>
      </c>
      <c r="R306" s="2" t="s">
        <v>37</v>
      </c>
      <c r="S306" s="11" t="str">
        <f t="shared" si="23"/>
        <v>Rendah</v>
      </c>
      <c r="T306" s="2" t="str">
        <f t="shared" si="24"/>
        <v>Sangat Tinggi</v>
      </c>
    </row>
    <row r="307" spans="1:20" ht="15.75" customHeight="1" x14ac:dyDescent="0.3">
      <c r="A307" s="4" t="s">
        <v>2063</v>
      </c>
      <c r="B307" s="3">
        <v>45861.389467592591</v>
      </c>
      <c r="C307" s="2" t="s">
        <v>275</v>
      </c>
      <c r="D307" s="2" t="s">
        <v>96</v>
      </c>
      <c r="E307" s="2" t="s">
        <v>41</v>
      </c>
      <c r="F307" s="2">
        <v>4000</v>
      </c>
      <c r="G307" s="2">
        <v>2</v>
      </c>
      <c r="H307" s="2">
        <v>10</v>
      </c>
      <c r="I307">
        <f t="shared" si="20"/>
        <v>8000</v>
      </c>
      <c r="J307">
        <f t="shared" si="21"/>
        <v>800</v>
      </c>
      <c r="K307" s="6">
        <f t="shared" si="22"/>
        <v>7200</v>
      </c>
      <c r="L307" s="2">
        <v>49000</v>
      </c>
      <c r="M307" s="6">
        <f>Table1[[#This Row],[Total Sales]]+Table1[[#This Row],[Shipping Fee]]</f>
        <v>56200</v>
      </c>
      <c r="N307" s="2" t="s">
        <v>35</v>
      </c>
      <c r="O307" t="str">
        <f>VLOOKUP(Table1[[#This Row],[Order ID]],Status!A:B, 2,FALSE)</f>
        <v>Completed</v>
      </c>
      <c r="P307" s="2" t="s">
        <v>23</v>
      </c>
      <c r="Q307" s="2">
        <v>3</v>
      </c>
      <c r="R307" s="2" t="s">
        <v>24</v>
      </c>
      <c r="S307" s="11" t="str">
        <f t="shared" si="23"/>
        <v>Standar</v>
      </c>
      <c r="T307" s="2" t="str">
        <f t="shared" si="24"/>
        <v>Sangat Rendah</v>
      </c>
    </row>
    <row r="308" spans="1:20" ht="15.75" customHeight="1" x14ac:dyDescent="0.3">
      <c r="A308" s="4" t="s">
        <v>2062</v>
      </c>
      <c r="B308" s="3">
        <v>45861.243611111109</v>
      </c>
      <c r="C308" s="2" t="s">
        <v>603</v>
      </c>
      <c r="D308" s="2" t="s">
        <v>53</v>
      </c>
      <c r="E308" s="2" t="s">
        <v>186</v>
      </c>
      <c r="F308" s="2">
        <v>45000</v>
      </c>
      <c r="G308" s="2">
        <v>1</v>
      </c>
      <c r="H308" s="2">
        <v>15</v>
      </c>
      <c r="I308">
        <f t="shared" si="20"/>
        <v>45000</v>
      </c>
      <c r="J308">
        <f t="shared" si="21"/>
        <v>6750</v>
      </c>
      <c r="K308" s="6">
        <f t="shared" si="22"/>
        <v>38250</v>
      </c>
      <c r="L308" s="2">
        <v>18000</v>
      </c>
      <c r="M308" s="6">
        <f>Table1[[#This Row],[Total Sales]]+Table1[[#This Row],[Shipping Fee]]</f>
        <v>56250</v>
      </c>
      <c r="N308" s="2" t="s">
        <v>29</v>
      </c>
      <c r="O308" t="str">
        <f>VLOOKUP(Table1[[#This Row],[Order ID]],Status!A:B, 2,FALSE)</f>
        <v>Completed</v>
      </c>
      <c r="P308" s="2" t="s">
        <v>36</v>
      </c>
      <c r="Q308" s="2">
        <v>5</v>
      </c>
      <c r="R308" s="2" t="s">
        <v>24</v>
      </c>
      <c r="S308" s="11" t="str">
        <f t="shared" si="23"/>
        <v>Bagus</v>
      </c>
      <c r="T308" s="2" t="str">
        <f t="shared" si="24"/>
        <v>Rendah</v>
      </c>
    </row>
    <row r="309" spans="1:20" ht="15.75" customHeight="1" x14ac:dyDescent="0.3">
      <c r="A309" s="4" t="s">
        <v>2061</v>
      </c>
      <c r="B309" s="3">
        <v>45861.101261574076</v>
      </c>
      <c r="C309" s="2" t="s">
        <v>1173</v>
      </c>
      <c r="D309" s="2" t="s">
        <v>170</v>
      </c>
      <c r="E309" s="2" t="s">
        <v>110</v>
      </c>
      <c r="F309" s="2">
        <v>6000</v>
      </c>
      <c r="G309" s="2">
        <v>2</v>
      </c>
      <c r="H309" s="2">
        <v>0</v>
      </c>
      <c r="I309">
        <f t="shared" si="20"/>
        <v>12000</v>
      </c>
      <c r="J309">
        <f t="shared" si="21"/>
        <v>0</v>
      </c>
      <c r="K309" s="6">
        <f t="shared" si="22"/>
        <v>12000</v>
      </c>
      <c r="L309" s="2">
        <v>46000</v>
      </c>
      <c r="M309" s="6">
        <f>Table1[[#This Row],[Total Sales]]+Table1[[#This Row],[Shipping Fee]]</f>
        <v>58000</v>
      </c>
      <c r="N309" s="2" t="s">
        <v>63</v>
      </c>
      <c r="O309" t="str">
        <f>VLOOKUP(Table1[[#This Row],[Order ID]],Status!A:B, 2,FALSE)</f>
        <v>Completed</v>
      </c>
      <c r="P309" s="2" t="s">
        <v>46</v>
      </c>
      <c r="Q309" s="2">
        <v>5</v>
      </c>
      <c r="R309" s="2" t="s">
        <v>24</v>
      </c>
      <c r="S309" s="11" t="str">
        <f t="shared" si="23"/>
        <v>Bagus</v>
      </c>
      <c r="T309" s="2" t="str">
        <f t="shared" si="24"/>
        <v>Sangat Rendah</v>
      </c>
    </row>
    <row r="310" spans="1:20" ht="15.75" customHeight="1" x14ac:dyDescent="0.3">
      <c r="A310" s="4" t="s">
        <v>2060</v>
      </c>
      <c r="B310" s="3">
        <v>45860.957337962973</v>
      </c>
      <c r="C310" s="2" t="s">
        <v>631</v>
      </c>
      <c r="D310" s="2" t="s">
        <v>20</v>
      </c>
      <c r="E310" s="2" t="s">
        <v>186</v>
      </c>
      <c r="F310" s="2">
        <v>45000</v>
      </c>
      <c r="G310" s="2">
        <v>3</v>
      </c>
      <c r="H310" s="2">
        <v>10</v>
      </c>
      <c r="I310">
        <f t="shared" si="20"/>
        <v>135000</v>
      </c>
      <c r="J310">
        <f t="shared" si="21"/>
        <v>13500</v>
      </c>
      <c r="K310" s="6">
        <f t="shared" si="22"/>
        <v>121500</v>
      </c>
      <c r="L310" s="2">
        <v>15000</v>
      </c>
      <c r="M310" s="6">
        <f>Table1[[#This Row],[Total Sales]]+Table1[[#This Row],[Shipping Fee]]</f>
        <v>136500</v>
      </c>
      <c r="N310" s="2" t="s">
        <v>29</v>
      </c>
      <c r="O310" t="str">
        <f>VLOOKUP(Table1[[#This Row],[Order ID]],Status!A:B, 2,FALSE)</f>
        <v>Completed</v>
      </c>
      <c r="P310" s="2" t="s">
        <v>82</v>
      </c>
      <c r="Q310" s="2">
        <v>5</v>
      </c>
      <c r="R310" s="2" t="s">
        <v>37</v>
      </c>
      <c r="S310" s="11" t="str">
        <f t="shared" si="23"/>
        <v>Bagus</v>
      </c>
      <c r="T310" s="2" t="str">
        <f t="shared" si="24"/>
        <v>Normal</v>
      </c>
    </row>
    <row r="311" spans="1:20" ht="15.75" customHeight="1" x14ac:dyDescent="0.3">
      <c r="A311" s="4" t="s">
        <v>2059</v>
      </c>
      <c r="B311" s="3">
        <v>45860.891793981478</v>
      </c>
      <c r="C311" s="2" t="s">
        <v>261</v>
      </c>
      <c r="D311" s="2" t="s">
        <v>262</v>
      </c>
      <c r="E311" s="2" t="s">
        <v>71</v>
      </c>
      <c r="F311" s="2">
        <v>40000</v>
      </c>
      <c r="G311" s="2">
        <v>1</v>
      </c>
      <c r="H311" s="2">
        <v>0</v>
      </c>
      <c r="I311">
        <f t="shared" si="20"/>
        <v>40000</v>
      </c>
      <c r="J311">
        <f t="shared" si="21"/>
        <v>0</v>
      </c>
      <c r="K311" s="6">
        <f t="shared" si="22"/>
        <v>40000</v>
      </c>
      <c r="L311" s="2">
        <v>18000</v>
      </c>
      <c r="M311" s="6">
        <f>Table1[[#This Row],[Total Sales]]+Table1[[#This Row],[Shipping Fee]]</f>
        <v>58000</v>
      </c>
      <c r="N311" s="2" t="s">
        <v>63</v>
      </c>
      <c r="O311" t="str">
        <f>VLOOKUP(Table1[[#This Row],[Order ID]],Status!A:B, 2,FALSE)</f>
        <v>Completed</v>
      </c>
      <c r="P311" s="2" t="s">
        <v>30</v>
      </c>
      <c r="Q311" s="2">
        <v>5</v>
      </c>
      <c r="R311" s="2" t="s">
        <v>24</v>
      </c>
      <c r="S311" s="11" t="str">
        <f t="shared" si="23"/>
        <v>Bagus</v>
      </c>
      <c r="T311" s="2" t="str">
        <f t="shared" si="24"/>
        <v>Sangat Rendah</v>
      </c>
    </row>
    <row r="312" spans="1:20" ht="15.75" customHeight="1" x14ac:dyDescent="0.3">
      <c r="A312" s="4" t="s">
        <v>2058</v>
      </c>
      <c r="B312" s="3">
        <v>45860.745578703703</v>
      </c>
      <c r="C312" s="2" t="s">
        <v>130</v>
      </c>
      <c r="D312" s="2" t="s">
        <v>131</v>
      </c>
      <c r="E312" s="2" t="s">
        <v>93</v>
      </c>
      <c r="F312" s="2">
        <v>25000</v>
      </c>
      <c r="G312" s="2">
        <v>4</v>
      </c>
      <c r="H312" s="2">
        <v>0</v>
      </c>
      <c r="I312">
        <f t="shared" si="20"/>
        <v>100000</v>
      </c>
      <c r="J312">
        <f t="shared" si="21"/>
        <v>0</v>
      </c>
      <c r="K312" s="6">
        <f t="shared" si="22"/>
        <v>100000</v>
      </c>
      <c r="L312" s="2">
        <v>59000</v>
      </c>
      <c r="M312" s="6">
        <f>Table1[[#This Row],[Total Sales]]+Table1[[#This Row],[Shipping Fee]]</f>
        <v>159000</v>
      </c>
      <c r="N312" s="2" t="s">
        <v>35</v>
      </c>
      <c r="O312" t="str">
        <f>VLOOKUP(Table1[[#This Row],[Order ID]],Status!A:B, 2,FALSE)</f>
        <v>Cancelled</v>
      </c>
      <c r="P312" s="2" t="s">
        <v>23</v>
      </c>
      <c r="Q312" s="2">
        <v>1</v>
      </c>
      <c r="R312" s="2" t="s">
        <v>24</v>
      </c>
      <c r="S312" s="11" t="str">
        <f t="shared" si="23"/>
        <v>Rendah</v>
      </c>
      <c r="T312" s="2" t="str">
        <f t="shared" si="24"/>
        <v>Sangat Rendah</v>
      </c>
    </row>
    <row r="313" spans="1:20" ht="15.75" customHeight="1" x14ac:dyDescent="0.3">
      <c r="A313" s="4" t="s">
        <v>2057</v>
      </c>
      <c r="B313" s="3">
        <v>45860.716678240737</v>
      </c>
      <c r="C313" s="2" t="s">
        <v>466</v>
      </c>
      <c r="D313" s="2" t="s">
        <v>131</v>
      </c>
      <c r="E313" s="2" t="s">
        <v>190</v>
      </c>
      <c r="F313" s="2">
        <v>35000</v>
      </c>
      <c r="G313" s="2">
        <v>1</v>
      </c>
      <c r="H313" s="2">
        <v>0</v>
      </c>
      <c r="I313">
        <f t="shared" si="20"/>
        <v>35000</v>
      </c>
      <c r="J313">
        <f t="shared" si="21"/>
        <v>0</v>
      </c>
      <c r="K313" s="6">
        <f t="shared" si="22"/>
        <v>35000</v>
      </c>
      <c r="L313" s="2">
        <v>59000</v>
      </c>
      <c r="M313" s="6">
        <f>Table1[[#This Row],[Total Sales]]+Table1[[#This Row],[Shipping Fee]]</f>
        <v>94000</v>
      </c>
      <c r="N313" s="2" t="s">
        <v>63</v>
      </c>
      <c r="O313" t="str">
        <f>VLOOKUP(Table1[[#This Row],[Order ID]],Status!A:B, 2,FALSE)</f>
        <v>Completed</v>
      </c>
      <c r="P313" s="2" t="s">
        <v>36</v>
      </c>
      <c r="Q313" s="2">
        <v>3</v>
      </c>
      <c r="R313" s="2" t="s">
        <v>24</v>
      </c>
      <c r="S313" s="11" t="str">
        <f t="shared" si="23"/>
        <v>Standar</v>
      </c>
      <c r="T313" s="2" t="str">
        <f t="shared" si="24"/>
        <v>Sangat Rendah</v>
      </c>
    </row>
    <row r="314" spans="1:20" ht="15.75" customHeight="1" x14ac:dyDescent="0.3">
      <c r="A314" s="4" t="s">
        <v>2056</v>
      </c>
      <c r="B314" s="3">
        <v>45860.616342592592</v>
      </c>
      <c r="C314" s="2" t="s">
        <v>254</v>
      </c>
      <c r="D314" s="2" t="s">
        <v>61</v>
      </c>
      <c r="E314" s="2" t="s">
        <v>62</v>
      </c>
      <c r="F314" s="2">
        <v>50000</v>
      </c>
      <c r="G314" s="2">
        <v>1</v>
      </c>
      <c r="H314" s="2">
        <v>0</v>
      </c>
      <c r="I314">
        <f t="shared" si="20"/>
        <v>50000</v>
      </c>
      <c r="J314">
        <f t="shared" si="21"/>
        <v>0</v>
      </c>
      <c r="K314" s="6">
        <f t="shared" si="22"/>
        <v>50000</v>
      </c>
      <c r="L314" s="2">
        <v>26000</v>
      </c>
      <c r="M314" s="6">
        <f>Table1[[#This Row],[Total Sales]]+Table1[[#This Row],[Shipping Fee]]</f>
        <v>76000</v>
      </c>
      <c r="N314" s="2" t="s">
        <v>63</v>
      </c>
      <c r="O314" t="str">
        <f>VLOOKUP(Table1[[#This Row],[Order ID]],Status!A:B, 2,FALSE)</f>
        <v>Completed</v>
      </c>
      <c r="P314" s="2" t="s">
        <v>82</v>
      </c>
      <c r="Q314" s="2">
        <v>5</v>
      </c>
      <c r="R314" s="2" t="s">
        <v>24</v>
      </c>
      <c r="S314" s="11" t="str">
        <f t="shared" si="23"/>
        <v>Bagus</v>
      </c>
      <c r="T314" s="2" t="str">
        <f t="shared" si="24"/>
        <v>Sangat Rendah</v>
      </c>
    </row>
    <row r="315" spans="1:20" ht="15.75" customHeight="1" x14ac:dyDescent="0.3">
      <c r="A315" s="4" t="s">
        <v>2055</v>
      </c>
      <c r="B315" s="3">
        <v>45859.833912037036</v>
      </c>
      <c r="C315" s="2" t="s">
        <v>311</v>
      </c>
      <c r="D315" s="2" t="s">
        <v>116</v>
      </c>
      <c r="E315" s="2" t="s">
        <v>136</v>
      </c>
      <c r="F315" s="2">
        <v>12000</v>
      </c>
      <c r="G315" s="2">
        <v>5</v>
      </c>
      <c r="H315" s="2">
        <v>10</v>
      </c>
      <c r="I315">
        <f t="shared" si="20"/>
        <v>60000</v>
      </c>
      <c r="J315">
        <f t="shared" si="21"/>
        <v>6000</v>
      </c>
      <c r="K315" s="6">
        <f t="shared" si="22"/>
        <v>54000</v>
      </c>
      <c r="L315" s="2">
        <v>72000</v>
      </c>
      <c r="M315" s="6">
        <f>Table1[[#This Row],[Total Sales]]+Table1[[#This Row],[Shipping Fee]]</f>
        <v>126000</v>
      </c>
      <c r="N315" s="2" t="s">
        <v>22</v>
      </c>
      <c r="O315" t="str">
        <f>VLOOKUP(Table1[[#This Row],[Order ID]],Status!A:B, 2,FALSE)</f>
        <v>Returned</v>
      </c>
      <c r="P315" s="2" t="s">
        <v>46</v>
      </c>
      <c r="Q315" s="2">
        <v>4</v>
      </c>
      <c r="R315" s="2" t="s">
        <v>24</v>
      </c>
      <c r="S315" s="11" t="str">
        <f t="shared" si="23"/>
        <v>Bagus</v>
      </c>
      <c r="T315" s="2" t="str">
        <f t="shared" si="24"/>
        <v>Rendah</v>
      </c>
    </row>
    <row r="316" spans="1:20" ht="15.75" customHeight="1" x14ac:dyDescent="0.3">
      <c r="A316" s="4" t="s">
        <v>2054</v>
      </c>
      <c r="B316" s="3">
        <v>45859.227777777778</v>
      </c>
      <c r="C316" s="2" t="s">
        <v>451</v>
      </c>
      <c r="D316" s="2" t="s">
        <v>116</v>
      </c>
      <c r="E316" s="2" t="s">
        <v>144</v>
      </c>
      <c r="F316" s="2">
        <v>18000</v>
      </c>
      <c r="G316" s="2">
        <v>2</v>
      </c>
      <c r="H316" s="2">
        <v>5</v>
      </c>
      <c r="I316">
        <f t="shared" si="20"/>
        <v>36000</v>
      </c>
      <c r="J316">
        <f t="shared" si="21"/>
        <v>1800</v>
      </c>
      <c r="K316" s="6">
        <f t="shared" si="22"/>
        <v>34200</v>
      </c>
      <c r="L316" s="2">
        <v>72000</v>
      </c>
      <c r="M316" s="6">
        <f>Table1[[#This Row],[Total Sales]]+Table1[[#This Row],[Shipping Fee]]</f>
        <v>106200</v>
      </c>
      <c r="N316" s="2" t="s">
        <v>22</v>
      </c>
      <c r="O316" t="str">
        <f>VLOOKUP(Table1[[#This Row],[Order ID]],Status!A:B, 2,FALSE)</f>
        <v>Completed</v>
      </c>
      <c r="P316" s="2" t="s">
        <v>36</v>
      </c>
      <c r="Q316" s="2">
        <v>1</v>
      </c>
      <c r="R316" s="2" t="s">
        <v>24</v>
      </c>
      <c r="S316" s="11" t="str">
        <f t="shared" si="23"/>
        <v>Rendah</v>
      </c>
      <c r="T316" s="2" t="str">
        <f t="shared" si="24"/>
        <v>Sangat Rendah</v>
      </c>
    </row>
    <row r="317" spans="1:20" ht="15.75" customHeight="1" x14ac:dyDescent="0.3">
      <c r="A317" s="4" t="s">
        <v>2053</v>
      </c>
      <c r="B317" s="3">
        <v>45859.17732638889</v>
      </c>
      <c r="C317" s="2" t="s">
        <v>128</v>
      </c>
      <c r="D317" s="2" t="s">
        <v>103</v>
      </c>
      <c r="E317" s="2" t="s">
        <v>58</v>
      </c>
      <c r="F317" s="2">
        <v>16000</v>
      </c>
      <c r="G317" s="2">
        <v>5</v>
      </c>
      <c r="H317" s="2">
        <v>20</v>
      </c>
      <c r="I317">
        <f t="shared" si="20"/>
        <v>80000</v>
      </c>
      <c r="J317">
        <f t="shared" si="21"/>
        <v>16000</v>
      </c>
      <c r="K317" s="6">
        <f t="shared" si="22"/>
        <v>64000</v>
      </c>
      <c r="L317" s="2">
        <v>85000</v>
      </c>
      <c r="M317" s="6">
        <f>Table1[[#This Row],[Total Sales]]+Table1[[#This Row],[Shipping Fee]]</f>
        <v>149000</v>
      </c>
      <c r="N317" s="2" t="s">
        <v>29</v>
      </c>
      <c r="O317" t="str">
        <f>VLOOKUP(Table1[[#This Row],[Order ID]],Status!A:B, 2,FALSE)</f>
        <v>Completed</v>
      </c>
      <c r="P317" s="2" t="s">
        <v>46</v>
      </c>
      <c r="Q317" s="2">
        <v>3</v>
      </c>
      <c r="R317" s="2" t="s">
        <v>37</v>
      </c>
      <c r="S317" s="11" t="str">
        <f t="shared" si="23"/>
        <v>Standar</v>
      </c>
      <c r="T317" s="2" t="str">
        <f t="shared" si="24"/>
        <v>Normal</v>
      </c>
    </row>
    <row r="318" spans="1:20" ht="15.75" customHeight="1" x14ac:dyDescent="0.3">
      <c r="A318" s="4" t="s">
        <v>2053</v>
      </c>
      <c r="B318" s="3">
        <v>45859.17732638889</v>
      </c>
      <c r="C318" s="2" t="s">
        <v>128</v>
      </c>
      <c r="D318" s="2" t="s">
        <v>103</v>
      </c>
      <c r="E318" s="2" t="s">
        <v>21</v>
      </c>
      <c r="F318" s="2">
        <v>45000</v>
      </c>
      <c r="G318" s="2">
        <v>1</v>
      </c>
      <c r="H318" s="2">
        <v>20</v>
      </c>
      <c r="I318">
        <f t="shared" si="20"/>
        <v>45000</v>
      </c>
      <c r="J318">
        <f t="shared" si="21"/>
        <v>9000</v>
      </c>
      <c r="K318" s="6">
        <f t="shared" si="22"/>
        <v>36000</v>
      </c>
      <c r="L318" s="2">
        <v>0</v>
      </c>
      <c r="M318" s="6">
        <f>Table1[[#This Row],[Total Sales]]+Table1[[#This Row],[Shipping Fee]]</f>
        <v>36000</v>
      </c>
      <c r="N318" s="2" t="s">
        <v>29</v>
      </c>
      <c r="O318" t="str">
        <f>VLOOKUP(Table1[[#This Row],[Order ID]],Status!A:B, 2,FALSE)</f>
        <v>Completed</v>
      </c>
      <c r="P318" s="2" t="s">
        <v>46</v>
      </c>
      <c r="Q318" s="2">
        <v>3</v>
      </c>
      <c r="R318" s="2" t="s">
        <v>37</v>
      </c>
      <c r="S318" s="11" t="str">
        <f t="shared" si="23"/>
        <v>Standar</v>
      </c>
      <c r="T318" s="2" t="str">
        <f t="shared" si="24"/>
        <v>Rendah</v>
      </c>
    </row>
    <row r="319" spans="1:20" ht="15.75" customHeight="1" x14ac:dyDescent="0.3">
      <c r="A319" s="4" t="s">
        <v>2052</v>
      </c>
      <c r="B319" s="3">
        <v>45859.081643518519</v>
      </c>
      <c r="C319" s="2" t="s">
        <v>557</v>
      </c>
      <c r="D319" s="2" t="s">
        <v>173</v>
      </c>
      <c r="E319" s="2" t="s">
        <v>54</v>
      </c>
      <c r="F319" s="2">
        <v>16000</v>
      </c>
      <c r="G319" s="2">
        <v>4</v>
      </c>
      <c r="H319" s="2">
        <v>10</v>
      </c>
      <c r="I319">
        <f t="shared" si="20"/>
        <v>64000</v>
      </c>
      <c r="J319">
        <f t="shared" si="21"/>
        <v>6400</v>
      </c>
      <c r="K319" s="6">
        <f t="shared" si="22"/>
        <v>57600</v>
      </c>
      <c r="L319" s="2">
        <v>49000</v>
      </c>
      <c r="M319" s="6">
        <f>Table1[[#This Row],[Total Sales]]+Table1[[#This Row],[Shipping Fee]]</f>
        <v>106600</v>
      </c>
      <c r="N319" s="2" t="s">
        <v>22</v>
      </c>
      <c r="O319" t="str">
        <f>VLOOKUP(Table1[[#This Row],[Order ID]],Status!A:B, 2,FALSE)</f>
        <v>Completed</v>
      </c>
      <c r="P319" s="2" t="s">
        <v>30</v>
      </c>
      <c r="Q319" s="2">
        <v>4</v>
      </c>
      <c r="R319" s="2" t="s">
        <v>24</v>
      </c>
      <c r="S319" s="11" t="str">
        <f t="shared" si="23"/>
        <v>Bagus</v>
      </c>
      <c r="T319" s="2" t="str">
        <f t="shared" si="24"/>
        <v>Rendah</v>
      </c>
    </row>
    <row r="320" spans="1:20" ht="15.75" customHeight="1" x14ac:dyDescent="0.3">
      <c r="A320" s="4" t="s">
        <v>2051</v>
      </c>
      <c r="B320" s="3">
        <v>45859.043854166674</v>
      </c>
      <c r="C320" s="2" t="s">
        <v>1055</v>
      </c>
      <c r="D320" s="2" t="s">
        <v>57</v>
      </c>
      <c r="E320" s="2" t="s">
        <v>45</v>
      </c>
      <c r="F320" s="2">
        <v>40000</v>
      </c>
      <c r="G320" s="2">
        <v>4</v>
      </c>
      <c r="H320" s="2">
        <v>20</v>
      </c>
      <c r="I320">
        <f t="shared" si="20"/>
        <v>160000</v>
      </c>
      <c r="J320">
        <f t="shared" si="21"/>
        <v>32000</v>
      </c>
      <c r="K320" s="6">
        <f t="shared" si="22"/>
        <v>128000</v>
      </c>
      <c r="L320" s="2">
        <v>80000</v>
      </c>
      <c r="M320" s="6">
        <f>Table1[[#This Row],[Total Sales]]+Table1[[#This Row],[Shipping Fee]]</f>
        <v>208000</v>
      </c>
      <c r="N320" s="2" t="s">
        <v>22</v>
      </c>
      <c r="O320" t="str">
        <f>VLOOKUP(Table1[[#This Row],[Order ID]],Status!A:B, 2,FALSE)</f>
        <v>Completed</v>
      </c>
      <c r="P320" s="2" t="s">
        <v>46</v>
      </c>
      <c r="Q320" s="2">
        <v>4</v>
      </c>
      <c r="R320" s="2" t="s">
        <v>24</v>
      </c>
      <c r="S320" s="11" t="str">
        <f t="shared" si="23"/>
        <v>Bagus</v>
      </c>
      <c r="T320" s="2" t="str">
        <f t="shared" si="24"/>
        <v>Tinggi</v>
      </c>
    </row>
    <row r="321" spans="1:20" ht="15.75" customHeight="1" x14ac:dyDescent="0.3">
      <c r="A321" s="4" t="s">
        <v>2050</v>
      </c>
      <c r="B321" s="3">
        <v>45858.955439814818</v>
      </c>
      <c r="C321" s="2" t="s">
        <v>87</v>
      </c>
      <c r="D321" s="2" t="s">
        <v>80</v>
      </c>
      <c r="E321" s="2" t="s">
        <v>110</v>
      </c>
      <c r="F321" s="2">
        <v>6000</v>
      </c>
      <c r="G321" s="2">
        <v>4</v>
      </c>
      <c r="H321" s="2">
        <v>20</v>
      </c>
      <c r="I321">
        <f t="shared" si="20"/>
        <v>24000</v>
      </c>
      <c r="J321">
        <f t="shared" si="21"/>
        <v>4800</v>
      </c>
      <c r="K321" s="6">
        <f t="shared" si="22"/>
        <v>19200</v>
      </c>
      <c r="L321" s="2">
        <v>74000</v>
      </c>
      <c r="M321" s="6">
        <f>Table1[[#This Row],[Total Sales]]+Table1[[#This Row],[Shipping Fee]]</f>
        <v>93200</v>
      </c>
      <c r="N321" s="2" t="s">
        <v>35</v>
      </c>
      <c r="O321" t="str">
        <f>VLOOKUP(Table1[[#This Row],[Order ID]],Status!A:B, 2,FALSE)</f>
        <v>Completed</v>
      </c>
      <c r="P321" s="2" t="s">
        <v>82</v>
      </c>
      <c r="Q321" s="2">
        <v>4</v>
      </c>
      <c r="R321" s="2" t="s">
        <v>24</v>
      </c>
      <c r="S321" s="11" t="str">
        <f t="shared" si="23"/>
        <v>Bagus</v>
      </c>
      <c r="T321" s="2" t="str">
        <f t="shared" si="24"/>
        <v>Sangat Rendah</v>
      </c>
    </row>
    <row r="322" spans="1:20" ht="15.75" customHeight="1" x14ac:dyDescent="0.3">
      <c r="A322" s="4" t="s">
        <v>2049</v>
      </c>
      <c r="B322" s="3">
        <v>45858.920138888891</v>
      </c>
      <c r="C322" s="2" t="s">
        <v>683</v>
      </c>
      <c r="D322" s="2" t="s">
        <v>27</v>
      </c>
      <c r="E322" s="2" t="s">
        <v>104</v>
      </c>
      <c r="F322" s="2">
        <v>30000</v>
      </c>
      <c r="G322" s="2">
        <v>4</v>
      </c>
      <c r="H322" s="2">
        <v>5</v>
      </c>
      <c r="I322">
        <f t="shared" ref="I322:I385" si="25">F322*G322</f>
        <v>120000</v>
      </c>
      <c r="J322">
        <f t="shared" ref="J322:J385" si="26">I322*H322/100</f>
        <v>6000</v>
      </c>
      <c r="K322" s="6">
        <f t="shared" ref="K322:K385" si="27">I322-J322</f>
        <v>114000</v>
      </c>
      <c r="L322" s="2">
        <v>17000</v>
      </c>
      <c r="M322" s="6">
        <f>Table1[[#This Row],[Total Sales]]+Table1[[#This Row],[Shipping Fee]]</f>
        <v>131000</v>
      </c>
      <c r="N322" s="2" t="s">
        <v>63</v>
      </c>
      <c r="O322" t="str">
        <f>VLOOKUP(Table1[[#This Row],[Order ID]],Status!A:B, 2,FALSE)</f>
        <v>Completed</v>
      </c>
      <c r="P322" s="2" t="s">
        <v>82</v>
      </c>
      <c r="Q322" s="2">
        <v>2</v>
      </c>
      <c r="R322" s="2" t="s">
        <v>37</v>
      </c>
      <c r="S322" s="11" t="str">
        <f t="shared" ref="S322:S385" si="28">_xlfn.IFS(Q322&gt;3,"Bagus",Q322=3,"Standar",Q322&lt;3,"Rendah")</f>
        <v>Rendah</v>
      </c>
      <c r="T322" s="2" t="str">
        <f t="shared" ref="T322:T385" si="29">_xlfn.IFS(J322&lt;=5000,"Sangat Rendah", J322&lt;=10000,"Rendah", J322&lt;=20000, "Normal", J322&lt;=35000, "Tinggi", J322&lt;= 50000, "Sangat Tinggi", J322&gt;50000, "Clearance")</f>
        <v>Rendah</v>
      </c>
    </row>
    <row r="323" spans="1:20" ht="15.75" customHeight="1" x14ac:dyDescent="0.3">
      <c r="A323" s="4" t="s">
        <v>2048</v>
      </c>
      <c r="B323" s="3">
        <v>45858.871342592603</v>
      </c>
      <c r="C323" s="2" t="s">
        <v>1005</v>
      </c>
      <c r="D323" s="2" t="s">
        <v>122</v>
      </c>
      <c r="E323" s="2" t="s">
        <v>71</v>
      </c>
      <c r="F323" s="2">
        <v>40000</v>
      </c>
      <c r="G323" s="2">
        <v>1</v>
      </c>
      <c r="H323" s="2">
        <v>20</v>
      </c>
      <c r="I323">
        <f t="shared" si="25"/>
        <v>40000</v>
      </c>
      <c r="J323">
        <f t="shared" si="26"/>
        <v>8000</v>
      </c>
      <c r="K323" s="6">
        <f t="shared" si="27"/>
        <v>32000</v>
      </c>
      <c r="L323" s="2">
        <v>78000</v>
      </c>
      <c r="M323" s="6">
        <f>Table1[[#This Row],[Total Sales]]+Table1[[#This Row],[Shipping Fee]]</f>
        <v>110000</v>
      </c>
      <c r="N323" s="2" t="s">
        <v>35</v>
      </c>
      <c r="O323" t="str">
        <f>VLOOKUP(Table1[[#This Row],[Order ID]],Status!A:B, 2,FALSE)</f>
        <v>Completed</v>
      </c>
      <c r="P323" s="2" t="s">
        <v>82</v>
      </c>
      <c r="Q323" s="2">
        <v>1</v>
      </c>
      <c r="R323" s="2" t="s">
        <v>24</v>
      </c>
      <c r="S323" s="11" t="str">
        <f t="shared" si="28"/>
        <v>Rendah</v>
      </c>
      <c r="T323" s="2" t="str">
        <f t="shared" si="29"/>
        <v>Rendah</v>
      </c>
    </row>
    <row r="324" spans="1:20" ht="15.75" customHeight="1" x14ac:dyDescent="0.3">
      <c r="A324" s="4" t="s">
        <v>2047</v>
      </c>
      <c r="B324" s="3">
        <v>45858.574756944443</v>
      </c>
      <c r="C324" s="2" t="s">
        <v>118</v>
      </c>
      <c r="D324" s="2" t="s">
        <v>119</v>
      </c>
      <c r="E324" s="2" t="s">
        <v>75</v>
      </c>
      <c r="F324" s="2">
        <v>55000</v>
      </c>
      <c r="G324" s="2">
        <v>3</v>
      </c>
      <c r="H324" s="2">
        <v>5</v>
      </c>
      <c r="I324">
        <f t="shared" si="25"/>
        <v>165000</v>
      </c>
      <c r="J324">
        <f t="shared" si="26"/>
        <v>8250</v>
      </c>
      <c r="K324" s="6">
        <f t="shared" si="27"/>
        <v>156750</v>
      </c>
      <c r="L324" s="2">
        <v>0</v>
      </c>
      <c r="M324" s="6">
        <f>Table1[[#This Row],[Total Sales]]+Table1[[#This Row],[Shipping Fee]]</f>
        <v>156750</v>
      </c>
      <c r="N324" s="2" t="s">
        <v>29</v>
      </c>
      <c r="O324" t="str">
        <f>VLOOKUP(Table1[[#This Row],[Order ID]],Status!A:B, 2,FALSE)</f>
        <v>Completed</v>
      </c>
      <c r="P324" s="2" t="s">
        <v>36</v>
      </c>
      <c r="Q324" s="2">
        <v>4</v>
      </c>
      <c r="R324" s="2" t="s">
        <v>24</v>
      </c>
      <c r="S324" s="11" t="str">
        <f t="shared" si="28"/>
        <v>Bagus</v>
      </c>
      <c r="T324" s="2" t="str">
        <f t="shared" si="29"/>
        <v>Rendah</v>
      </c>
    </row>
    <row r="325" spans="1:20" ht="15.75" customHeight="1" x14ac:dyDescent="0.3">
      <c r="A325" s="4" t="s">
        <v>2046</v>
      </c>
      <c r="B325" s="3">
        <v>45858.538888888892</v>
      </c>
      <c r="C325" s="2" t="s">
        <v>1561</v>
      </c>
      <c r="D325" s="2" t="s">
        <v>160</v>
      </c>
      <c r="E325" s="2" t="s">
        <v>123</v>
      </c>
      <c r="F325" s="2">
        <v>22000</v>
      </c>
      <c r="G325" s="2">
        <v>4</v>
      </c>
      <c r="H325" s="2">
        <v>0</v>
      </c>
      <c r="I325">
        <f t="shared" si="25"/>
        <v>88000</v>
      </c>
      <c r="J325">
        <f t="shared" si="26"/>
        <v>0</v>
      </c>
      <c r="K325" s="6">
        <f t="shared" si="27"/>
        <v>88000</v>
      </c>
      <c r="L325" s="2">
        <v>68000</v>
      </c>
      <c r="M325" s="6">
        <f>Table1[[#This Row],[Total Sales]]+Table1[[#This Row],[Shipping Fee]]</f>
        <v>156000</v>
      </c>
      <c r="N325" s="2" t="s">
        <v>63</v>
      </c>
      <c r="O325" t="str">
        <f>VLOOKUP(Table1[[#This Row],[Order ID]],Status!A:B, 2,FALSE)</f>
        <v>Returned</v>
      </c>
      <c r="P325" s="2" t="s">
        <v>23</v>
      </c>
      <c r="Q325" s="2">
        <v>5</v>
      </c>
      <c r="R325" s="2" t="s">
        <v>24</v>
      </c>
      <c r="S325" s="11" t="str">
        <f t="shared" si="28"/>
        <v>Bagus</v>
      </c>
      <c r="T325" s="2" t="str">
        <f t="shared" si="29"/>
        <v>Sangat Rendah</v>
      </c>
    </row>
    <row r="326" spans="1:20" ht="15.75" customHeight="1" x14ac:dyDescent="0.3">
      <c r="A326" s="4" t="s">
        <v>2045</v>
      </c>
      <c r="B326" s="3">
        <v>45858.482719907413</v>
      </c>
      <c r="C326" s="2" t="s">
        <v>287</v>
      </c>
      <c r="D326" s="2" t="s">
        <v>262</v>
      </c>
      <c r="E326" s="2" t="s">
        <v>138</v>
      </c>
      <c r="F326" s="2">
        <v>17000</v>
      </c>
      <c r="G326" s="2">
        <v>5</v>
      </c>
      <c r="H326" s="2">
        <v>10</v>
      </c>
      <c r="I326">
        <f t="shared" si="25"/>
        <v>85000</v>
      </c>
      <c r="J326">
        <f t="shared" si="26"/>
        <v>8500</v>
      </c>
      <c r="K326" s="6">
        <f t="shared" si="27"/>
        <v>76500</v>
      </c>
      <c r="L326" s="2">
        <v>18000</v>
      </c>
      <c r="M326" s="6">
        <f>Table1[[#This Row],[Total Sales]]+Table1[[#This Row],[Shipping Fee]]</f>
        <v>94500</v>
      </c>
      <c r="N326" s="2" t="s">
        <v>35</v>
      </c>
      <c r="O326" t="str">
        <f>VLOOKUP(Table1[[#This Row],[Order ID]],Status!A:B, 2,FALSE)</f>
        <v>Completed</v>
      </c>
      <c r="P326" s="2" t="s">
        <v>36</v>
      </c>
      <c r="Q326" s="2">
        <v>2</v>
      </c>
      <c r="R326" s="2" t="s">
        <v>24</v>
      </c>
      <c r="S326" s="11" t="str">
        <f t="shared" si="28"/>
        <v>Rendah</v>
      </c>
      <c r="T326" s="2" t="str">
        <f t="shared" si="29"/>
        <v>Rendah</v>
      </c>
    </row>
    <row r="327" spans="1:20" ht="15.75" customHeight="1" x14ac:dyDescent="0.3">
      <c r="A327" s="4" t="s">
        <v>2044</v>
      </c>
      <c r="B327" s="3">
        <v>45858.306689814817</v>
      </c>
      <c r="C327" s="2" t="s">
        <v>1259</v>
      </c>
      <c r="D327" s="2" t="s">
        <v>107</v>
      </c>
      <c r="E327" s="2" t="s">
        <v>88</v>
      </c>
      <c r="F327" s="2">
        <v>14000</v>
      </c>
      <c r="G327" s="2">
        <v>2</v>
      </c>
      <c r="H327" s="2">
        <v>5</v>
      </c>
      <c r="I327">
        <f t="shared" si="25"/>
        <v>28000</v>
      </c>
      <c r="J327">
        <f t="shared" si="26"/>
        <v>1400</v>
      </c>
      <c r="K327" s="6">
        <f t="shared" si="27"/>
        <v>26600</v>
      </c>
      <c r="L327" s="2">
        <v>97000</v>
      </c>
      <c r="M327" s="6">
        <f>Table1[[#This Row],[Total Sales]]+Table1[[#This Row],[Shipping Fee]]</f>
        <v>123600</v>
      </c>
      <c r="N327" s="2" t="s">
        <v>22</v>
      </c>
      <c r="O327" t="str">
        <f>VLOOKUP(Table1[[#This Row],[Order ID]],Status!A:B, 2,FALSE)</f>
        <v>Completed</v>
      </c>
      <c r="P327" s="2" t="s">
        <v>23</v>
      </c>
      <c r="Q327" s="2">
        <v>2</v>
      </c>
      <c r="R327" s="2" t="s">
        <v>37</v>
      </c>
      <c r="S327" s="11" t="str">
        <f t="shared" si="28"/>
        <v>Rendah</v>
      </c>
      <c r="T327" s="2" t="str">
        <f t="shared" si="29"/>
        <v>Sangat Rendah</v>
      </c>
    </row>
    <row r="328" spans="1:20" ht="15.75" customHeight="1" x14ac:dyDescent="0.3">
      <c r="A328" s="4" t="s">
        <v>2044</v>
      </c>
      <c r="B328" s="3">
        <v>45858.306689814817</v>
      </c>
      <c r="C328" s="2" t="s">
        <v>1259</v>
      </c>
      <c r="D328" s="2" t="s">
        <v>107</v>
      </c>
      <c r="E328" s="2" t="s">
        <v>28</v>
      </c>
      <c r="F328" s="2">
        <v>5000</v>
      </c>
      <c r="G328" s="2">
        <v>4</v>
      </c>
      <c r="H328" s="2">
        <v>0</v>
      </c>
      <c r="I328">
        <f t="shared" si="25"/>
        <v>20000</v>
      </c>
      <c r="J328">
        <f t="shared" si="26"/>
        <v>0</v>
      </c>
      <c r="K328" s="6">
        <f t="shared" si="27"/>
        <v>20000</v>
      </c>
      <c r="L328" s="2">
        <v>0</v>
      </c>
      <c r="M328" s="6">
        <f>Table1[[#This Row],[Total Sales]]+Table1[[#This Row],[Shipping Fee]]</f>
        <v>20000</v>
      </c>
      <c r="N328" s="2" t="s">
        <v>22</v>
      </c>
      <c r="O328" t="str">
        <f>VLOOKUP(Table1[[#This Row],[Order ID]],Status!A:B, 2,FALSE)</f>
        <v>Completed</v>
      </c>
      <c r="P328" s="2" t="s">
        <v>23</v>
      </c>
      <c r="Q328" s="2">
        <v>2</v>
      </c>
      <c r="R328" s="2" t="s">
        <v>37</v>
      </c>
      <c r="S328" s="11" t="str">
        <f t="shared" si="28"/>
        <v>Rendah</v>
      </c>
      <c r="T328" s="2" t="str">
        <f t="shared" si="29"/>
        <v>Sangat Rendah</v>
      </c>
    </row>
    <row r="329" spans="1:20" ht="15.75" customHeight="1" x14ac:dyDescent="0.3">
      <c r="A329" s="4" t="s">
        <v>2043</v>
      </c>
      <c r="B329" s="3">
        <v>45857.767280092587</v>
      </c>
      <c r="C329" s="2" t="s">
        <v>451</v>
      </c>
      <c r="D329" s="2" t="s">
        <v>116</v>
      </c>
      <c r="E329" s="2" t="s">
        <v>58</v>
      </c>
      <c r="F329" s="2">
        <v>16000</v>
      </c>
      <c r="G329" s="2">
        <v>3</v>
      </c>
      <c r="H329" s="2">
        <v>10</v>
      </c>
      <c r="I329">
        <f t="shared" si="25"/>
        <v>48000</v>
      </c>
      <c r="J329">
        <f t="shared" si="26"/>
        <v>4800</v>
      </c>
      <c r="K329" s="6">
        <f t="shared" si="27"/>
        <v>43200</v>
      </c>
      <c r="L329" s="2">
        <v>72000</v>
      </c>
      <c r="M329" s="6">
        <f>Table1[[#This Row],[Total Sales]]+Table1[[#This Row],[Shipping Fee]]</f>
        <v>115200</v>
      </c>
      <c r="N329" s="2" t="s">
        <v>63</v>
      </c>
      <c r="O329" t="str">
        <f>VLOOKUP(Table1[[#This Row],[Order ID]],Status!A:B, 2,FALSE)</f>
        <v>Completed</v>
      </c>
      <c r="P329" s="2" t="s">
        <v>46</v>
      </c>
      <c r="Q329" s="2">
        <v>4</v>
      </c>
      <c r="R329" s="2" t="s">
        <v>24</v>
      </c>
      <c r="S329" s="11" t="str">
        <f t="shared" si="28"/>
        <v>Bagus</v>
      </c>
      <c r="T329" s="2" t="str">
        <f t="shared" si="29"/>
        <v>Sangat Rendah</v>
      </c>
    </row>
    <row r="330" spans="1:20" ht="15.75" customHeight="1" x14ac:dyDescent="0.3">
      <c r="A330" s="4" t="s">
        <v>2042</v>
      </c>
      <c r="B330" s="3">
        <v>45857.624537037038</v>
      </c>
      <c r="C330" s="2" t="s">
        <v>589</v>
      </c>
      <c r="D330" s="2" t="s">
        <v>262</v>
      </c>
      <c r="E330" s="2" t="s">
        <v>54</v>
      </c>
      <c r="F330" s="2">
        <v>16000</v>
      </c>
      <c r="G330" s="2">
        <v>2</v>
      </c>
      <c r="H330" s="2">
        <v>5</v>
      </c>
      <c r="I330">
        <f t="shared" si="25"/>
        <v>32000</v>
      </c>
      <c r="J330">
        <f t="shared" si="26"/>
        <v>1600</v>
      </c>
      <c r="K330" s="6">
        <f t="shared" si="27"/>
        <v>30400</v>
      </c>
      <c r="L330" s="2">
        <v>18000</v>
      </c>
      <c r="M330" s="6">
        <f>Table1[[#This Row],[Total Sales]]+Table1[[#This Row],[Shipping Fee]]</f>
        <v>48400</v>
      </c>
      <c r="N330" s="2" t="s">
        <v>29</v>
      </c>
      <c r="O330" t="str">
        <f>VLOOKUP(Table1[[#This Row],[Order ID]],Status!A:B, 2,FALSE)</f>
        <v>Completed</v>
      </c>
      <c r="P330" s="2" t="s">
        <v>36</v>
      </c>
      <c r="Q330" s="2">
        <v>2</v>
      </c>
      <c r="R330" s="2" t="s">
        <v>37</v>
      </c>
      <c r="S330" s="11" t="str">
        <f t="shared" si="28"/>
        <v>Rendah</v>
      </c>
      <c r="T330" s="2" t="str">
        <f t="shared" si="29"/>
        <v>Sangat Rendah</v>
      </c>
    </row>
    <row r="331" spans="1:20" ht="15.75" customHeight="1" x14ac:dyDescent="0.3">
      <c r="A331" s="4" t="s">
        <v>2042</v>
      </c>
      <c r="B331" s="3">
        <v>45857.624537037038</v>
      </c>
      <c r="C331" s="2" t="s">
        <v>589</v>
      </c>
      <c r="D331" s="2" t="s">
        <v>262</v>
      </c>
      <c r="E331" s="2" t="s">
        <v>250</v>
      </c>
      <c r="F331" s="2">
        <v>18000</v>
      </c>
      <c r="G331" s="2">
        <v>4</v>
      </c>
      <c r="H331" s="2">
        <v>10</v>
      </c>
      <c r="I331">
        <f t="shared" si="25"/>
        <v>72000</v>
      </c>
      <c r="J331">
        <f t="shared" si="26"/>
        <v>7200</v>
      </c>
      <c r="K331" s="6">
        <f t="shared" si="27"/>
        <v>64800</v>
      </c>
      <c r="L331" s="2">
        <v>0</v>
      </c>
      <c r="M331" s="6">
        <f>Table1[[#This Row],[Total Sales]]+Table1[[#This Row],[Shipping Fee]]</f>
        <v>64800</v>
      </c>
      <c r="N331" s="2" t="s">
        <v>29</v>
      </c>
      <c r="O331" t="str">
        <f>VLOOKUP(Table1[[#This Row],[Order ID]],Status!A:B, 2,FALSE)</f>
        <v>Completed</v>
      </c>
      <c r="P331" s="2" t="s">
        <v>36</v>
      </c>
      <c r="Q331" s="2">
        <v>2</v>
      </c>
      <c r="R331" s="2" t="s">
        <v>37</v>
      </c>
      <c r="S331" s="11" t="str">
        <f t="shared" si="28"/>
        <v>Rendah</v>
      </c>
      <c r="T331" s="2" t="str">
        <f t="shared" si="29"/>
        <v>Rendah</v>
      </c>
    </row>
    <row r="332" spans="1:20" ht="15.75" customHeight="1" x14ac:dyDescent="0.3">
      <c r="A332" s="4" t="s">
        <v>2041</v>
      </c>
      <c r="B332" s="3">
        <v>45857.549756944441</v>
      </c>
      <c r="C332" s="2" t="s">
        <v>593</v>
      </c>
      <c r="D332" s="2" t="s">
        <v>195</v>
      </c>
      <c r="E332" s="2" t="s">
        <v>93</v>
      </c>
      <c r="F332" s="2">
        <v>25000</v>
      </c>
      <c r="G332" s="2">
        <v>3</v>
      </c>
      <c r="H332" s="2">
        <v>5</v>
      </c>
      <c r="I332">
        <f t="shared" si="25"/>
        <v>75000</v>
      </c>
      <c r="J332">
        <f t="shared" si="26"/>
        <v>3750</v>
      </c>
      <c r="K332" s="6">
        <f t="shared" si="27"/>
        <v>71250</v>
      </c>
      <c r="L332" s="2">
        <v>87000</v>
      </c>
      <c r="M332" s="6">
        <f>Table1[[#This Row],[Total Sales]]+Table1[[#This Row],[Shipping Fee]]</f>
        <v>158250</v>
      </c>
      <c r="N332" s="2" t="s">
        <v>22</v>
      </c>
      <c r="O332" t="str">
        <f>VLOOKUP(Table1[[#This Row],[Order ID]],Status!A:B, 2,FALSE)</f>
        <v>Completed</v>
      </c>
      <c r="P332" s="2" t="s">
        <v>36</v>
      </c>
      <c r="Q332" s="2">
        <v>3</v>
      </c>
      <c r="R332" s="2" t="s">
        <v>24</v>
      </c>
      <c r="S332" s="11" t="str">
        <f t="shared" si="28"/>
        <v>Standar</v>
      </c>
      <c r="T332" s="2" t="str">
        <f t="shared" si="29"/>
        <v>Sangat Rendah</v>
      </c>
    </row>
    <row r="333" spans="1:20" ht="15.75" customHeight="1" x14ac:dyDescent="0.3">
      <c r="A333" s="4" t="s">
        <v>2040</v>
      </c>
      <c r="B333" s="3">
        <v>45857.491909722223</v>
      </c>
      <c r="C333" s="2" t="s">
        <v>233</v>
      </c>
      <c r="D333" s="2" t="s">
        <v>113</v>
      </c>
      <c r="E333" s="2" t="s">
        <v>136</v>
      </c>
      <c r="F333" s="2">
        <v>12000</v>
      </c>
      <c r="G333" s="2">
        <v>4</v>
      </c>
      <c r="H333" s="2">
        <v>5</v>
      </c>
      <c r="I333">
        <f t="shared" si="25"/>
        <v>48000</v>
      </c>
      <c r="J333">
        <f t="shared" si="26"/>
        <v>2400</v>
      </c>
      <c r="K333" s="6">
        <f t="shared" si="27"/>
        <v>45600</v>
      </c>
      <c r="L333" s="2">
        <v>18000</v>
      </c>
      <c r="M333" s="6">
        <f>Table1[[#This Row],[Total Sales]]+Table1[[#This Row],[Shipping Fee]]</f>
        <v>63600</v>
      </c>
      <c r="N333" s="2" t="s">
        <v>22</v>
      </c>
      <c r="O333" t="str">
        <f>VLOOKUP(Table1[[#This Row],[Order ID]],Status!A:B, 2,FALSE)</f>
        <v>Completed</v>
      </c>
      <c r="P333" s="2" t="s">
        <v>23</v>
      </c>
      <c r="Q333" s="2">
        <v>1</v>
      </c>
      <c r="R333" s="2" t="s">
        <v>37</v>
      </c>
      <c r="S333" s="11" t="str">
        <f t="shared" si="28"/>
        <v>Rendah</v>
      </c>
      <c r="T333" s="2" t="str">
        <f t="shared" si="29"/>
        <v>Sangat Rendah</v>
      </c>
    </row>
    <row r="334" spans="1:20" ht="15.75" customHeight="1" x14ac:dyDescent="0.3">
      <c r="A334" s="4" t="s">
        <v>2039</v>
      </c>
      <c r="B334" s="3">
        <v>45857.402997685182</v>
      </c>
      <c r="C334" s="2" t="s">
        <v>205</v>
      </c>
      <c r="D334" s="2" t="s">
        <v>96</v>
      </c>
      <c r="E334" s="2" t="s">
        <v>88</v>
      </c>
      <c r="F334" s="2">
        <v>14000</v>
      </c>
      <c r="G334" s="2">
        <v>5</v>
      </c>
      <c r="H334" s="2">
        <v>15</v>
      </c>
      <c r="I334">
        <f t="shared" si="25"/>
        <v>70000</v>
      </c>
      <c r="J334">
        <f t="shared" si="26"/>
        <v>10500</v>
      </c>
      <c r="K334" s="6">
        <f t="shared" si="27"/>
        <v>59500</v>
      </c>
      <c r="L334" s="2">
        <v>49000</v>
      </c>
      <c r="M334" s="6">
        <f>Table1[[#This Row],[Total Sales]]+Table1[[#This Row],[Shipping Fee]]</f>
        <v>108500</v>
      </c>
      <c r="N334" s="2" t="s">
        <v>35</v>
      </c>
      <c r="O334" t="str">
        <f>VLOOKUP(Table1[[#This Row],[Order ID]],Status!A:B, 2,FALSE)</f>
        <v>Returned</v>
      </c>
      <c r="P334" s="2" t="s">
        <v>36</v>
      </c>
      <c r="Q334" s="2">
        <v>4</v>
      </c>
      <c r="R334" s="2" t="s">
        <v>24</v>
      </c>
      <c r="S334" s="11" t="str">
        <f t="shared" si="28"/>
        <v>Bagus</v>
      </c>
      <c r="T334" s="2" t="str">
        <f t="shared" si="29"/>
        <v>Normal</v>
      </c>
    </row>
    <row r="335" spans="1:20" ht="15.75" customHeight="1" x14ac:dyDescent="0.3">
      <c r="A335" s="4" t="s">
        <v>2038</v>
      </c>
      <c r="B335" s="3">
        <v>45857.396944444437</v>
      </c>
      <c r="C335" s="2" t="s">
        <v>231</v>
      </c>
      <c r="D335" s="2" t="s">
        <v>66</v>
      </c>
      <c r="E335" s="2" t="s">
        <v>62</v>
      </c>
      <c r="F335" s="2">
        <v>50000</v>
      </c>
      <c r="G335" s="2">
        <v>5</v>
      </c>
      <c r="H335" s="2">
        <v>20</v>
      </c>
      <c r="I335">
        <f t="shared" si="25"/>
        <v>250000</v>
      </c>
      <c r="J335">
        <f t="shared" si="26"/>
        <v>50000</v>
      </c>
      <c r="K335" s="6">
        <f t="shared" si="27"/>
        <v>200000</v>
      </c>
      <c r="L335" s="2">
        <v>59000</v>
      </c>
      <c r="M335" s="6">
        <f>Table1[[#This Row],[Total Sales]]+Table1[[#This Row],[Shipping Fee]]</f>
        <v>259000</v>
      </c>
      <c r="N335" s="2" t="s">
        <v>35</v>
      </c>
      <c r="O335" t="str">
        <f>VLOOKUP(Table1[[#This Row],[Order ID]],Status!A:B, 2,FALSE)</f>
        <v>Completed</v>
      </c>
      <c r="P335" s="2" t="s">
        <v>46</v>
      </c>
      <c r="Q335" s="2">
        <v>4</v>
      </c>
      <c r="R335" s="2" t="s">
        <v>24</v>
      </c>
      <c r="S335" s="11" t="str">
        <f t="shared" si="28"/>
        <v>Bagus</v>
      </c>
      <c r="T335" s="2" t="str">
        <f t="shared" si="29"/>
        <v>Sangat Tinggi</v>
      </c>
    </row>
    <row r="336" spans="1:20" ht="15.75" customHeight="1" x14ac:dyDescent="0.3">
      <c r="A336" s="4" t="s">
        <v>2037</v>
      </c>
      <c r="B336" s="3">
        <v>45857.095925925933</v>
      </c>
      <c r="C336" s="2" t="s">
        <v>530</v>
      </c>
      <c r="D336" s="2" t="s">
        <v>151</v>
      </c>
      <c r="E336" s="2" t="s">
        <v>81</v>
      </c>
      <c r="F336" s="2">
        <v>17000</v>
      </c>
      <c r="G336" s="2">
        <v>3</v>
      </c>
      <c r="H336" s="2">
        <v>20</v>
      </c>
      <c r="I336">
        <f t="shared" si="25"/>
        <v>51000</v>
      </c>
      <c r="J336">
        <f t="shared" si="26"/>
        <v>10200</v>
      </c>
      <c r="K336" s="6">
        <f t="shared" si="27"/>
        <v>40800</v>
      </c>
      <c r="L336" s="2">
        <v>55000</v>
      </c>
      <c r="M336" s="6">
        <f>Table1[[#This Row],[Total Sales]]+Table1[[#This Row],[Shipping Fee]]</f>
        <v>95800</v>
      </c>
      <c r="N336" s="2" t="s">
        <v>22</v>
      </c>
      <c r="O336" t="str">
        <f>VLOOKUP(Table1[[#This Row],[Order ID]],Status!A:B, 2,FALSE)</f>
        <v>Completed</v>
      </c>
      <c r="P336" s="2" t="s">
        <v>46</v>
      </c>
      <c r="Q336" s="2">
        <v>2</v>
      </c>
      <c r="R336" s="2" t="s">
        <v>24</v>
      </c>
      <c r="S336" s="11" t="str">
        <f t="shared" si="28"/>
        <v>Rendah</v>
      </c>
      <c r="T336" s="2" t="str">
        <f t="shared" si="29"/>
        <v>Normal</v>
      </c>
    </row>
    <row r="337" spans="1:20" ht="15.75" customHeight="1" x14ac:dyDescent="0.3">
      <c r="A337" s="4" t="s">
        <v>2036</v>
      </c>
      <c r="B337" s="3">
        <v>45856.813368055547</v>
      </c>
      <c r="C337" s="2" t="s">
        <v>1981</v>
      </c>
      <c r="D337" s="2" t="s">
        <v>53</v>
      </c>
      <c r="E337" s="2" t="s">
        <v>88</v>
      </c>
      <c r="F337" s="2">
        <v>14000</v>
      </c>
      <c r="G337" s="2">
        <v>5</v>
      </c>
      <c r="H337" s="2">
        <v>0</v>
      </c>
      <c r="I337">
        <f t="shared" si="25"/>
        <v>70000</v>
      </c>
      <c r="J337">
        <f t="shared" si="26"/>
        <v>0</v>
      </c>
      <c r="K337" s="6">
        <f t="shared" si="27"/>
        <v>70000</v>
      </c>
      <c r="L337" s="2">
        <v>18000</v>
      </c>
      <c r="M337" s="6">
        <f>Table1[[#This Row],[Total Sales]]+Table1[[#This Row],[Shipping Fee]]</f>
        <v>88000</v>
      </c>
      <c r="N337" s="2" t="s">
        <v>29</v>
      </c>
      <c r="O337" t="str">
        <f>VLOOKUP(Table1[[#This Row],[Order ID]],Status!A:B, 2,FALSE)</f>
        <v>Completed</v>
      </c>
      <c r="P337" s="2" t="s">
        <v>23</v>
      </c>
      <c r="Q337" s="2">
        <v>3</v>
      </c>
      <c r="R337" s="2" t="s">
        <v>24</v>
      </c>
      <c r="S337" s="11" t="str">
        <f t="shared" si="28"/>
        <v>Standar</v>
      </c>
      <c r="T337" s="2" t="str">
        <f t="shared" si="29"/>
        <v>Sangat Rendah</v>
      </c>
    </row>
    <row r="338" spans="1:20" ht="15.75" customHeight="1" x14ac:dyDescent="0.3">
      <c r="A338" s="4" t="s">
        <v>2036</v>
      </c>
      <c r="B338" s="3">
        <v>45856.813368055547</v>
      </c>
      <c r="C338" s="2" t="s">
        <v>1981</v>
      </c>
      <c r="D338" s="2" t="s">
        <v>53</v>
      </c>
      <c r="E338" s="2" t="s">
        <v>34</v>
      </c>
      <c r="F338" s="2">
        <v>16000</v>
      </c>
      <c r="G338" s="2">
        <v>2</v>
      </c>
      <c r="H338" s="2">
        <v>5</v>
      </c>
      <c r="I338">
        <f t="shared" si="25"/>
        <v>32000</v>
      </c>
      <c r="J338">
        <f t="shared" si="26"/>
        <v>1600</v>
      </c>
      <c r="K338" s="6">
        <f t="shared" si="27"/>
        <v>30400</v>
      </c>
      <c r="L338" s="2">
        <v>0</v>
      </c>
      <c r="M338" s="6">
        <f>Table1[[#This Row],[Total Sales]]+Table1[[#This Row],[Shipping Fee]]</f>
        <v>30400</v>
      </c>
      <c r="N338" s="2" t="s">
        <v>29</v>
      </c>
      <c r="O338" t="str">
        <f>VLOOKUP(Table1[[#This Row],[Order ID]],Status!A:B, 2,FALSE)</f>
        <v>Completed</v>
      </c>
      <c r="P338" s="2" t="s">
        <v>23</v>
      </c>
      <c r="Q338" s="2">
        <v>3</v>
      </c>
      <c r="R338" s="2" t="s">
        <v>24</v>
      </c>
      <c r="S338" s="11" t="str">
        <f t="shared" si="28"/>
        <v>Standar</v>
      </c>
      <c r="T338" s="2" t="str">
        <f t="shared" si="29"/>
        <v>Sangat Rendah</v>
      </c>
    </row>
    <row r="339" spans="1:20" ht="15.75" customHeight="1" x14ac:dyDescent="0.3">
      <c r="A339" s="4" t="s">
        <v>2035</v>
      </c>
      <c r="B339" s="3">
        <v>45856.258298611108</v>
      </c>
      <c r="C339" s="2" t="s">
        <v>834</v>
      </c>
      <c r="D339" s="2" t="s">
        <v>177</v>
      </c>
      <c r="E339" s="2" t="s">
        <v>136</v>
      </c>
      <c r="F339" s="2">
        <v>12000</v>
      </c>
      <c r="G339" s="2">
        <v>1</v>
      </c>
      <c r="H339" s="2">
        <v>15</v>
      </c>
      <c r="I339">
        <f t="shared" si="25"/>
        <v>12000</v>
      </c>
      <c r="J339">
        <f t="shared" si="26"/>
        <v>1800</v>
      </c>
      <c r="K339" s="6">
        <f t="shared" si="27"/>
        <v>10200</v>
      </c>
      <c r="L339" s="2">
        <v>56000</v>
      </c>
      <c r="M339" s="6">
        <f>Table1[[#This Row],[Total Sales]]+Table1[[#This Row],[Shipping Fee]]</f>
        <v>66200</v>
      </c>
      <c r="N339" s="2" t="s">
        <v>63</v>
      </c>
      <c r="O339" t="str">
        <f>VLOOKUP(Table1[[#This Row],[Order ID]],Status!A:B, 2,FALSE)</f>
        <v>Completed</v>
      </c>
      <c r="P339" s="2" t="s">
        <v>30</v>
      </c>
      <c r="Q339" s="2">
        <v>3</v>
      </c>
      <c r="R339" s="2" t="s">
        <v>37</v>
      </c>
      <c r="S339" s="11" t="str">
        <f t="shared" si="28"/>
        <v>Standar</v>
      </c>
      <c r="T339" s="2" t="str">
        <f t="shared" si="29"/>
        <v>Sangat Rendah</v>
      </c>
    </row>
    <row r="340" spans="1:20" ht="15.75" customHeight="1" x14ac:dyDescent="0.3">
      <c r="A340" s="4" t="s">
        <v>2034</v>
      </c>
      <c r="B340" s="3">
        <v>45856.179965277777</v>
      </c>
      <c r="C340" s="2" t="s">
        <v>374</v>
      </c>
      <c r="D340" s="2" t="s">
        <v>375</v>
      </c>
      <c r="E340" s="2" t="s">
        <v>41</v>
      </c>
      <c r="F340" s="2">
        <v>4000</v>
      </c>
      <c r="G340" s="2">
        <v>1</v>
      </c>
      <c r="H340" s="2">
        <v>0</v>
      </c>
      <c r="I340">
        <f t="shared" si="25"/>
        <v>4000</v>
      </c>
      <c r="J340">
        <f t="shared" si="26"/>
        <v>0</v>
      </c>
      <c r="K340" s="6">
        <f t="shared" si="27"/>
        <v>4000</v>
      </c>
      <c r="L340" s="2">
        <v>21000</v>
      </c>
      <c r="M340" s="6">
        <f>Table1[[#This Row],[Total Sales]]+Table1[[#This Row],[Shipping Fee]]</f>
        <v>25000</v>
      </c>
      <c r="N340" s="2" t="s">
        <v>63</v>
      </c>
      <c r="O340" t="str">
        <f>VLOOKUP(Table1[[#This Row],[Order ID]],Status!A:B, 2,FALSE)</f>
        <v>Completed</v>
      </c>
      <c r="P340" s="2" t="s">
        <v>30</v>
      </c>
      <c r="Q340" s="2">
        <v>3</v>
      </c>
      <c r="R340" s="2" t="s">
        <v>37</v>
      </c>
      <c r="S340" s="11" t="str">
        <f t="shared" si="28"/>
        <v>Standar</v>
      </c>
      <c r="T340" s="2" t="str">
        <f t="shared" si="29"/>
        <v>Sangat Rendah</v>
      </c>
    </row>
    <row r="341" spans="1:20" ht="15.75" customHeight="1" x14ac:dyDescent="0.3">
      <c r="A341" s="4" t="s">
        <v>2033</v>
      </c>
      <c r="B341" s="3">
        <v>45856.031817129631</v>
      </c>
      <c r="C341" s="2" t="s">
        <v>565</v>
      </c>
      <c r="D341" s="2" t="s">
        <v>163</v>
      </c>
      <c r="E341" s="2" t="s">
        <v>110</v>
      </c>
      <c r="F341" s="2">
        <v>6000</v>
      </c>
      <c r="G341" s="2">
        <v>2</v>
      </c>
      <c r="H341" s="2">
        <v>15</v>
      </c>
      <c r="I341">
        <f t="shared" si="25"/>
        <v>12000</v>
      </c>
      <c r="J341">
        <f t="shared" si="26"/>
        <v>1800</v>
      </c>
      <c r="K341" s="6">
        <f t="shared" si="27"/>
        <v>10200</v>
      </c>
      <c r="L341" s="2">
        <v>50000</v>
      </c>
      <c r="M341" s="6">
        <f>Table1[[#This Row],[Total Sales]]+Table1[[#This Row],[Shipping Fee]]</f>
        <v>60200</v>
      </c>
      <c r="N341" s="2" t="s">
        <v>22</v>
      </c>
      <c r="O341" t="str">
        <f>VLOOKUP(Table1[[#This Row],[Order ID]],Status!A:B, 2,FALSE)</f>
        <v>Completed</v>
      </c>
      <c r="P341" s="2" t="s">
        <v>82</v>
      </c>
      <c r="Q341" s="2">
        <v>2</v>
      </c>
      <c r="R341" s="2" t="s">
        <v>24</v>
      </c>
      <c r="S341" s="11" t="str">
        <f t="shared" si="28"/>
        <v>Rendah</v>
      </c>
      <c r="T341" s="2" t="str">
        <f t="shared" si="29"/>
        <v>Sangat Rendah</v>
      </c>
    </row>
    <row r="342" spans="1:20" ht="15.75" customHeight="1" x14ac:dyDescent="0.3">
      <c r="A342" s="4" t="s">
        <v>2033</v>
      </c>
      <c r="B342" s="3">
        <v>45856.031817129631</v>
      </c>
      <c r="C342" s="2" t="s">
        <v>565</v>
      </c>
      <c r="D342" s="2" t="s">
        <v>163</v>
      </c>
      <c r="E342" s="2" t="s">
        <v>62</v>
      </c>
      <c r="F342" s="2">
        <v>50000</v>
      </c>
      <c r="G342" s="2">
        <v>5</v>
      </c>
      <c r="H342" s="2">
        <v>10</v>
      </c>
      <c r="I342">
        <f t="shared" si="25"/>
        <v>250000</v>
      </c>
      <c r="J342">
        <f t="shared" si="26"/>
        <v>25000</v>
      </c>
      <c r="K342" s="6">
        <f t="shared" si="27"/>
        <v>225000</v>
      </c>
      <c r="L342" s="2">
        <v>0</v>
      </c>
      <c r="M342" s="6">
        <f>Table1[[#This Row],[Total Sales]]+Table1[[#This Row],[Shipping Fee]]</f>
        <v>225000</v>
      </c>
      <c r="N342" s="2" t="s">
        <v>22</v>
      </c>
      <c r="O342" t="str">
        <f>VLOOKUP(Table1[[#This Row],[Order ID]],Status!A:B, 2,FALSE)</f>
        <v>Completed</v>
      </c>
      <c r="P342" s="2" t="s">
        <v>82</v>
      </c>
      <c r="Q342" s="2">
        <v>2</v>
      </c>
      <c r="R342" s="2" t="s">
        <v>24</v>
      </c>
      <c r="S342" s="11" t="str">
        <f t="shared" si="28"/>
        <v>Rendah</v>
      </c>
      <c r="T342" s="2" t="str">
        <f t="shared" si="29"/>
        <v>Tinggi</v>
      </c>
    </row>
    <row r="343" spans="1:20" ht="15.75" customHeight="1" x14ac:dyDescent="0.3">
      <c r="A343" s="4" t="s">
        <v>2032</v>
      </c>
      <c r="B343" s="3">
        <v>45855.630289351851</v>
      </c>
      <c r="C343" s="2" t="s">
        <v>729</v>
      </c>
      <c r="D343" s="2" t="s">
        <v>74</v>
      </c>
      <c r="E343" s="2" t="s">
        <v>54</v>
      </c>
      <c r="F343" s="2">
        <v>16000</v>
      </c>
      <c r="G343" s="2">
        <v>5</v>
      </c>
      <c r="H343" s="2">
        <v>20</v>
      </c>
      <c r="I343">
        <f t="shared" si="25"/>
        <v>80000</v>
      </c>
      <c r="J343">
        <f t="shared" si="26"/>
        <v>16000</v>
      </c>
      <c r="K343" s="6">
        <f t="shared" si="27"/>
        <v>64000</v>
      </c>
      <c r="L343" s="2">
        <v>87000</v>
      </c>
      <c r="M343" s="6">
        <f>Table1[[#This Row],[Total Sales]]+Table1[[#This Row],[Shipping Fee]]</f>
        <v>151000</v>
      </c>
      <c r="N343" s="2" t="s">
        <v>29</v>
      </c>
      <c r="O343" t="str">
        <f>VLOOKUP(Table1[[#This Row],[Order ID]],Status!A:B, 2,FALSE)</f>
        <v>Completed</v>
      </c>
      <c r="P343" s="2" t="s">
        <v>23</v>
      </c>
      <c r="Q343" s="2">
        <v>3</v>
      </c>
      <c r="R343" s="2" t="s">
        <v>24</v>
      </c>
      <c r="S343" s="11" t="str">
        <f t="shared" si="28"/>
        <v>Standar</v>
      </c>
      <c r="T343" s="2" t="str">
        <f t="shared" si="29"/>
        <v>Normal</v>
      </c>
    </row>
    <row r="344" spans="1:20" ht="15.75" customHeight="1" x14ac:dyDescent="0.3">
      <c r="A344" s="4" t="s">
        <v>2031</v>
      </c>
      <c r="B344" s="3">
        <v>45855.61546296296</v>
      </c>
      <c r="C344" s="2" t="s">
        <v>1136</v>
      </c>
      <c r="D344" s="2" t="s">
        <v>195</v>
      </c>
      <c r="E344" s="2" t="s">
        <v>93</v>
      </c>
      <c r="F344" s="2">
        <v>25000</v>
      </c>
      <c r="G344" s="2">
        <v>3</v>
      </c>
      <c r="H344" s="2">
        <v>10</v>
      </c>
      <c r="I344">
        <f t="shared" si="25"/>
        <v>75000</v>
      </c>
      <c r="J344">
        <f t="shared" si="26"/>
        <v>7500</v>
      </c>
      <c r="K344" s="6">
        <f t="shared" si="27"/>
        <v>67500</v>
      </c>
      <c r="L344" s="2">
        <v>87000</v>
      </c>
      <c r="M344" s="6">
        <f>Table1[[#This Row],[Total Sales]]+Table1[[#This Row],[Shipping Fee]]</f>
        <v>154500</v>
      </c>
      <c r="N344" s="2" t="s">
        <v>29</v>
      </c>
      <c r="O344" t="str">
        <f>VLOOKUP(Table1[[#This Row],[Order ID]],Status!A:B, 2,FALSE)</f>
        <v>Cancelled</v>
      </c>
      <c r="P344" s="2" t="s">
        <v>36</v>
      </c>
      <c r="Q344" s="2">
        <v>2</v>
      </c>
      <c r="R344" s="2" t="s">
        <v>24</v>
      </c>
      <c r="S344" s="11" t="str">
        <f t="shared" si="28"/>
        <v>Rendah</v>
      </c>
      <c r="T344" s="2" t="str">
        <f t="shared" si="29"/>
        <v>Rendah</v>
      </c>
    </row>
    <row r="345" spans="1:20" ht="15.75" customHeight="1" x14ac:dyDescent="0.3">
      <c r="A345" s="4" t="s">
        <v>2030</v>
      </c>
      <c r="B345" s="3">
        <v>45855.577488425923</v>
      </c>
      <c r="C345" s="2" t="s">
        <v>716</v>
      </c>
      <c r="D345" s="2" t="s">
        <v>66</v>
      </c>
      <c r="E345" s="2" t="s">
        <v>110</v>
      </c>
      <c r="F345" s="2">
        <v>6000</v>
      </c>
      <c r="G345" s="2">
        <v>2</v>
      </c>
      <c r="H345" s="2">
        <v>0</v>
      </c>
      <c r="I345">
        <f t="shared" si="25"/>
        <v>12000</v>
      </c>
      <c r="J345">
        <f t="shared" si="26"/>
        <v>0</v>
      </c>
      <c r="K345" s="6">
        <f t="shared" si="27"/>
        <v>12000</v>
      </c>
      <c r="L345" s="2">
        <v>59000</v>
      </c>
      <c r="M345" s="6">
        <f>Table1[[#This Row],[Total Sales]]+Table1[[#This Row],[Shipping Fee]]</f>
        <v>71000</v>
      </c>
      <c r="N345" s="2" t="s">
        <v>35</v>
      </c>
      <c r="O345" t="str">
        <f>VLOOKUP(Table1[[#This Row],[Order ID]],Status!A:B, 2,FALSE)</f>
        <v>Completed</v>
      </c>
      <c r="P345" s="2" t="s">
        <v>46</v>
      </c>
      <c r="Q345" s="2">
        <v>2</v>
      </c>
      <c r="R345" s="2" t="s">
        <v>24</v>
      </c>
      <c r="S345" s="11" t="str">
        <f t="shared" si="28"/>
        <v>Rendah</v>
      </c>
      <c r="T345" s="2" t="str">
        <f t="shared" si="29"/>
        <v>Sangat Rendah</v>
      </c>
    </row>
    <row r="346" spans="1:20" ht="15.75" customHeight="1" x14ac:dyDescent="0.3">
      <c r="A346" s="4" t="s">
        <v>2029</v>
      </c>
      <c r="B346" s="3">
        <v>45855.469814814824</v>
      </c>
      <c r="C346" s="2" t="s">
        <v>350</v>
      </c>
      <c r="D346" s="2" t="s">
        <v>195</v>
      </c>
      <c r="E346" s="2" t="s">
        <v>62</v>
      </c>
      <c r="F346" s="2">
        <v>50000</v>
      </c>
      <c r="G346" s="2">
        <v>3</v>
      </c>
      <c r="H346" s="2">
        <v>20</v>
      </c>
      <c r="I346">
        <f t="shared" si="25"/>
        <v>150000</v>
      </c>
      <c r="J346">
        <f t="shared" si="26"/>
        <v>30000</v>
      </c>
      <c r="K346" s="6">
        <f t="shared" si="27"/>
        <v>120000</v>
      </c>
      <c r="L346" s="2">
        <v>87000</v>
      </c>
      <c r="M346" s="6">
        <f>Table1[[#This Row],[Total Sales]]+Table1[[#This Row],[Shipping Fee]]</f>
        <v>207000</v>
      </c>
      <c r="N346" s="2" t="s">
        <v>29</v>
      </c>
      <c r="O346" t="str">
        <f>VLOOKUP(Table1[[#This Row],[Order ID]],Status!A:B, 2,FALSE)</f>
        <v>Completed</v>
      </c>
      <c r="P346" s="2" t="s">
        <v>23</v>
      </c>
      <c r="Q346" s="2">
        <v>4</v>
      </c>
      <c r="R346" s="2" t="s">
        <v>37</v>
      </c>
      <c r="S346" s="11" t="str">
        <f t="shared" si="28"/>
        <v>Bagus</v>
      </c>
      <c r="T346" s="2" t="str">
        <f t="shared" si="29"/>
        <v>Tinggi</v>
      </c>
    </row>
    <row r="347" spans="1:20" ht="15.75" customHeight="1" x14ac:dyDescent="0.3">
      <c r="A347" s="4" t="s">
        <v>2027</v>
      </c>
      <c r="B347" s="3">
        <v>45855.430914351848</v>
      </c>
      <c r="C347" s="2" t="s">
        <v>2028</v>
      </c>
      <c r="D347" s="2" t="s">
        <v>122</v>
      </c>
      <c r="E347" s="2" t="s">
        <v>144</v>
      </c>
      <c r="F347" s="2">
        <v>18000</v>
      </c>
      <c r="G347" s="2">
        <v>5</v>
      </c>
      <c r="H347" s="2">
        <v>20</v>
      </c>
      <c r="I347">
        <f t="shared" si="25"/>
        <v>90000</v>
      </c>
      <c r="J347">
        <f t="shared" si="26"/>
        <v>18000</v>
      </c>
      <c r="K347" s="6">
        <f t="shared" si="27"/>
        <v>72000</v>
      </c>
      <c r="L347" s="2">
        <v>78000</v>
      </c>
      <c r="M347" s="6">
        <f>Table1[[#This Row],[Total Sales]]+Table1[[#This Row],[Shipping Fee]]</f>
        <v>150000</v>
      </c>
      <c r="N347" s="2" t="s">
        <v>22</v>
      </c>
      <c r="O347" t="str">
        <f>VLOOKUP(Table1[[#This Row],[Order ID]],Status!A:B, 2,FALSE)</f>
        <v>Completed</v>
      </c>
      <c r="P347" s="2" t="s">
        <v>46</v>
      </c>
      <c r="Q347" s="2">
        <v>4</v>
      </c>
      <c r="R347" s="2" t="s">
        <v>37</v>
      </c>
      <c r="S347" s="11" t="str">
        <f t="shared" si="28"/>
        <v>Bagus</v>
      </c>
      <c r="T347" s="2" t="str">
        <f t="shared" si="29"/>
        <v>Normal</v>
      </c>
    </row>
    <row r="348" spans="1:20" ht="15.75" customHeight="1" x14ac:dyDescent="0.3">
      <c r="A348" s="4" t="s">
        <v>2026</v>
      </c>
      <c r="B348" s="3">
        <v>45855.388379629629</v>
      </c>
      <c r="C348" s="2" t="s">
        <v>1250</v>
      </c>
      <c r="D348" s="2" t="s">
        <v>195</v>
      </c>
      <c r="E348" s="2" t="s">
        <v>138</v>
      </c>
      <c r="F348" s="2">
        <v>17000</v>
      </c>
      <c r="G348" s="2">
        <v>3</v>
      </c>
      <c r="H348" s="2">
        <v>15</v>
      </c>
      <c r="I348">
        <f t="shared" si="25"/>
        <v>51000</v>
      </c>
      <c r="J348">
        <f t="shared" si="26"/>
        <v>7650</v>
      </c>
      <c r="K348" s="6">
        <f t="shared" si="27"/>
        <v>43350</v>
      </c>
      <c r="L348" s="2">
        <v>87000</v>
      </c>
      <c r="M348" s="6">
        <f>Table1[[#This Row],[Total Sales]]+Table1[[#This Row],[Shipping Fee]]</f>
        <v>130350</v>
      </c>
      <c r="N348" s="2" t="s">
        <v>63</v>
      </c>
      <c r="O348" t="str">
        <f>VLOOKUP(Table1[[#This Row],[Order ID]],Status!A:B, 2,FALSE)</f>
        <v>Completed</v>
      </c>
      <c r="P348" s="2" t="s">
        <v>23</v>
      </c>
      <c r="Q348" s="2">
        <v>2</v>
      </c>
      <c r="R348" s="2" t="s">
        <v>24</v>
      </c>
      <c r="S348" s="11" t="str">
        <f t="shared" si="28"/>
        <v>Rendah</v>
      </c>
      <c r="T348" s="2" t="str">
        <f t="shared" si="29"/>
        <v>Rendah</v>
      </c>
    </row>
    <row r="349" spans="1:20" ht="15.75" customHeight="1" x14ac:dyDescent="0.3">
      <c r="A349" s="4" t="s">
        <v>2025</v>
      </c>
      <c r="B349" s="3">
        <v>45855.032141203701</v>
      </c>
      <c r="C349" s="2" t="s">
        <v>530</v>
      </c>
      <c r="D349" s="2" t="s">
        <v>151</v>
      </c>
      <c r="E349" s="2" t="s">
        <v>50</v>
      </c>
      <c r="F349" s="2">
        <v>14000</v>
      </c>
      <c r="G349" s="2">
        <v>1</v>
      </c>
      <c r="H349" s="2">
        <v>15</v>
      </c>
      <c r="I349">
        <f t="shared" si="25"/>
        <v>14000</v>
      </c>
      <c r="J349">
        <f t="shared" si="26"/>
        <v>2100</v>
      </c>
      <c r="K349" s="6">
        <f t="shared" si="27"/>
        <v>11900</v>
      </c>
      <c r="L349" s="2">
        <v>55000</v>
      </c>
      <c r="M349" s="6">
        <f>Table1[[#This Row],[Total Sales]]+Table1[[#This Row],[Shipping Fee]]</f>
        <v>66900</v>
      </c>
      <c r="N349" s="2" t="s">
        <v>29</v>
      </c>
      <c r="O349" t="str">
        <f>VLOOKUP(Table1[[#This Row],[Order ID]],Status!A:B, 2,FALSE)</f>
        <v>Completed</v>
      </c>
      <c r="P349" s="2" t="s">
        <v>30</v>
      </c>
      <c r="Q349" s="2">
        <v>3</v>
      </c>
      <c r="R349" s="2" t="s">
        <v>24</v>
      </c>
      <c r="S349" s="11" t="str">
        <f t="shared" si="28"/>
        <v>Standar</v>
      </c>
      <c r="T349" s="2" t="str">
        <f t="shared" si="29"/>
        <v>Sangat Rendah</v>
      </c>
    </row>
    <row r="350" spans="1:20" ht="15.75" customHeight="1" x14ac:dyDescent="0.3">
      <c r="A350" s="4" t="s">
        <v>2024</v>
      </c>
      <c r="B350" s="3">
        <v>45854.672384259262</v>
      </c>
      <c r="C350" s="2" t="s">
        <v>626</v>
      </c>
      <c r="D350" s="2" t="s">
        <v>296</v>
      </c>
      <c r="E350" s="2" t="s">
        <v>174</v>
      </c>
      <c r="F350" s="2">
        <v>10000</v>
      </c>
      <c r="G350" s="2">
        <v>1</v>
      </c>
      <c r="H350" s="2">
        <v>0</v>
      </c>
      <c r="I350">
        <f t="shared" si="25"/>
        <v>10000</v>
      </c>
      <c r="J350">
        <f t="shared" si="26"/>
        <v>0</v>
      </c>
      <c r="K350" s="6">
        <f t="shared" si="27"/>
        <v>10000</v>
      </c>
      <c r="L350" s="2">
        <v>79000</v>
      </c>
      <c r="M350" s="6">
        <f>Table1[[#This Row],[Total Sales]]+Table1[[#This Row],[Shipping Fee]]</f>
        <v>89000</v>
      </c>
      <c r="N350" s="2" t="s">
        <v>22</v>
      </c>
      <c r="O350" t="str">
        <f>VLOOKUP(Table1[[#This Row],[Order ID]],Status!A:B, 2,FALSE)</f>
        <v>Completed</v>
      </c>
      <c r="P350" s="2" t="s">
        <v>82</v>
      </c>
      <c r="Q350" s="2">
        <v>1</v>
      </c>
      <c r="R350" s="2" t="s">
        <v>24</v>
      </c>
      <c r="S350" s="11" t="str">
        <f t="shared" si="28"/>
        <v>Rendah</v>
      </c>
      <c r="T350" s="2" t="str">
        <f t="shared" si="29"/>
        <v>Sangat Rendah</v>
      </c>
    </row>
    <row r="351" spans="1:20" ht="15.75" customHeight="1" x14ac:dyDescent="0.3">
      <c r="A351" s="4" t="s">
        <v>2023</v>
      </c>
      <c r="B351" s="3">
        <v>45854.162187499998</v>
      </c>
      <c r="C351" s="2" t="s">
        <v>1270</v>
      </c>
      <c r="D351" s="2" t="s">
        <v>182</v>
      </c>
      <c r="E351" s="2" t="s">
        <v>110</v>
      </c>
      <c r="F351" s="2">
        <v>6000</v>
      </c>
      <c r="G351" s="2">
        <v>1</v>
      </c>
      <c r="H351" s="2">
        <v>20</v>
      </c>
      <c r="I351">
        <f t="shared" si="25"/>
        <v>6000</v>
      </c>
      <c r="J351">
        <f t="shared" si="26"/>
        <v>1200</v>
      </c>
      <c r="K351" s="6">
        <f t="shared" si="27"/>
        <v>4800</v>
      </c>
      <c r="L351" s="2">
        <v>48000</v>
      </c>
      <c r="M351" s="6">
        <f>Table1[[#This Row],[Total Sales]]+Table1[[#This Row],[Shipping Fee]]</f>
        <v>52800</v>
      </c>
      <c r="N351" s="2" t="s">
        <v>63</v>
      </c>
      <c r="O351" t="str">
        <f>VLOOKUP(Table1[[#This Row],[Order ID]],Status!A:B, 2,FALSE)</f>
        <v>Returned</v>
      </c>
      <c r="P351" s="2" t="s">
        <v>23</v>
      </c>
      <c r="Q351" s="2">
        <v>1</v>
      </c>
      <c r="R351" s="2" t="s">
        <v>24</v>
      </c>
      <c r="S351" s="11" t="str">
        <f t="shared" si="28"/>
        <v>Rendah</v>
      </c>
      <c r="T351" s="2" t="str">
        <f t="shared" si="29"/>
        <v>Sangat Rendah</v>
      </c>
    </row>
    <row r="352" spans="1:20" ht="15.75" customHeight="1" x14ac:dyDescent="0.3">
      <c r="A352" s="4" t="s">
        <v>2023</v>
      </c>
      <c r="B352" s="3">
        <v>45854.162187499998</v>
      </c>
      <c r="C352" s="2" t="s">
        <v>1270</v>
      </c>
      <c r="D352" s="2" t="s">
        <v>182</v>
      </c>
      <c r="E352" s="2" t="s">
        <v>45</v>
      </c>
      <c r="F352" s="2">
        <v>40000</v>
      </c>
      <c r="G352" s="2">
        <v>4</v>
      </c>
      <c r="H352" s="2">
        <v>15</v>
      </c>
      <c r="I352">
        <f t="shared" si="25"/>
        <v>160000</v>
      </c>
      <c r="J352">
        <f t="shared" si="26"/>
        <v>24000</v>
      </c>
      <c r="K352" s="6">
        <f t="shared" si="27"/>
        <v>136000</v>
      </c>
      <c r="L352" s="2">
        <v>0</v>
      </c>
      <c r="M352" s="6">
        <f>Table1[[#This Row],[Total Sales]]+Table1[[#This Row],[Shipping Fee]]</f>
        <v>136000</v>
      </c>
      <c r="N352" s="2" t="s">
        <v>63</v>
      </c>
      <c r="O352" t="str">
        <f>VLOOKUP(Table1[[#This Row],[Order ID]],Status!A:B, 2,FALSE)</f>
        <v>Returned</v>
      </c>
      <c r="P352" s="2" t="s">
        <v>23</v>
      </c>
      <c r="Q352" s="2">
        <v>1</v>
      </c>
      <c r="R352" s="2" t="s">
        <v>24</v>
      </c>
      <c r="S352" s="11" t="str">
        <f t="shared" si="28"/>
        <v>Rendah</v>
      </c>
      <c r="T352" s="2" t="str">
        <f t="shared" si="29"/>
        <v>Tinggi</v>
      </c>
    </row>
    <row r="353" spans="1:20" ht="15.75" customHeight="1" x14ac:dyDescent="0.3">
      <c r="A353" s="4" t="s">
        <v>2022</v>
      </c>
      <c r="B353" s="3">
        <v>45853.678819444453</v>
      </c>
      <c r="C353" s="2" t="s">
        <v>537</v>
      </c>
      <c r="D353" s="2" t="s">
        <v>57</v>
      </c>
      <c r="E353" s="2" t="s">
        <v>67</v>
      </c>
      <c r="F353" s="2">
        <v>15000</v>
      </c>
      <c r="G353" s="2">
        <v>5</v>
      </c>
      <c r="H353" s="2">
        <v>10</v>
      </c>
      <c r="I353">
        <f t="shared" si="25"/>
        <v>75000</v>
      </c>
      <c r="J353">
        <f t="shared" si="26"/>
        <v>7500</v>
      </c>
      <c r="K353" s="6">
        <f t="shared" si="27"/>
        <v>67500</v>
      </c>
      <c r="L353" s="2">
        <v>80000</v>
      </c>
      <c r="M353" s="6">
        <f>Table1[[#This Row],[Total Sales]]+Table1[[#This Row],[Shipping Fee]]</f>
        <v>147500</v>
      </c>
      <c r="N353" s="2" t="s">
        <v>22</v>
      </c>
      <c r="O353" t="str">
        <f>VLOOKUP(Table1[[#This Row],[Order ID]],Status!A:B, 2,FALSE)</f>
        <v>Completed</v>
      </c>
      <c r="P353" s="2" t="s">
        <v>30</v>
      </c>
      <c r="Q353" s="2">
        <v>3</v>
      </c>
      <c r="R353" s="2" t="s">
        <v>37</v>
      </c>
      <c r="S353" s="11" t="str">
        <f t="shared" si="28"/>
        <v>Standar</v>
      </c>
      <c r="T353" s="2" t="str">
        <f t="shared" si="29"/>
        <v>Rendah</v>
      </c>
    </row>
    <row r="354" spans="1:20" ht="15.75" customHeight="1" x14ac:dyDescent="0.3">
      <c r="A354" s="4" t="s">
        <v>2021</v>
      </c>
      <c r="B354" s="3">
        <v>45853.613599537042</v>
      </c>
      <c r="C354" s="2" t="s">
        <v>593</v>
      </c>
      <c r="D354" s="2" t="s">
        <v>195</v>
      </c>
      <c r="E354" s="2" t="s">
        <v>85</v>
      </c>
      <c r="F354" s="2">
        <v>35000</v>
      </c>
      <c r="G354" s="2">
        <v>4</v>
      </c>
      <c r="H354" s="2">
        <v>0</v>
      </c>
      <c r="I354">
        <f t="shared" si="25"/>
        <v>140000</v>
      </c>
      <c r="J354">
        <f t="shared" si="26"/>
        <v>0</v>
      </c>
      <c r="K354" s="6">
        <f t="shared" si="27"/>
        <v>140000</v>
      </c>
      <c r="L354" s="2">
        <v>87000</v>
      </c>
      <c r="M354" s="6">
        <f>Table1[[#This Row],[Total Sales]]+Table1[[#This Row],[Shipping Fee]]</f>
        <v>227000</v>
      </c>
      <c r="N354" s="2" t="s">
        <v>35</v>
      </c>
      <c r="O354" t="str">
        <f>VLOOKUP(Table1[[#This Row],[Order ID]],Status!A:B, 2,FALSE)</f>
        <v>Cancelled</v>
      </c>
      <c r="P354" s="2" t="s">
        <v>82</v>
      </c>
      <c r="Q354" s="2">
        <v>4</v>
      </c>
      <c r="R354" s="2" t="s">
        <v>24</v>
      </c>
      <c r="S354" s="11" t="str">
        <f t="shared" si="28"/>
        <v>Bagus</v>
      </c>
      <c r="T354" s="2" t="str">
        <f t="shared" si="29"/>
        <v>Sangat Rendah</v>
      </c>
    </row>
    <row r="355" spans="1:20" ht="15.75" customHeight="1" x14ac:dyDescent="0.3">
      <c r="A355" s="4" t="s">
        <v>2020</v>
      </c>
      <c r="B355" s="3">
        <v>45853.602650462963</v>
      </c>
      <c r="C355" s="2" t="s">
        <v>1073</v>
      </c>
      <c r="D355" s="2" t="s">
        <v>27</v>
      </c>
      <c r="E355" s="2" t="s">
        <v>81</v>
      </c>
      <c r="F355" s="2">
        <v>17000</v>
      </c>
      <c r="G355" s="2">
        <v>3</v>
      </c>
      <c r="H355" s="2">
        <v>0</v>
      </c>
      <c r="I355">
        <f t="shared" si="25"/>
        <v>51000</v>
      </c>
      <c r="J355">
        <f t="shared" si="26"/>
        <v>0</v>
      </c>
      <c r="K355" s="6">
        <f t="shared" si="27"/>
        <v>51000</v>
      </c>
      <c r="L355" s="2">
        <v>17000</v>
      </c>
      <c r="M355" s="6">
        <f>Table1[[#This Row],[Total Sales]]+Table1[[#This Row],[Shipping Fee]]</f>
        <v>68000</v>
      </c>
      <c r="N355" s="2" t="s">
        <v>63</v>
      </c>
      <c r="O355" t="str">
        <f>VLOOKUP(Table1[[#This Row],[Order ID]],Status!A:B, 2,FALSE)</f>
        <v>Completed</v>
      </c>
      <c r="P355" s="2" t="s">
        <v>30</v>
      </c>
      <c r="Q355" s="2">
        <v>5</v>
      </c>
      <c r="R355" s="2" t="s">
        <v>24</v>
      </c>
      <c r="S355" s="11" t="str">
        <f t="shared" si="28"/>
        <v>Bagus</v>
      </c>
      <c r="T355" s="2" t="str">
        <f t="shared" si="29"/>
        <v>Sangat Rendah</v>
      </c>
    </row>
    <row r="356" spans="1:20" ht="15.75" customHeight="1" x14ac:dyDescent="0.3">
      <c r="A356" s="4" t="s">
        <v>2019</v>
      </c>
      <c r="B356" s="3">
        <v>45853.582314814812</v>
      </c>
      <c r="C356" s="2" t="s">
        <v>497</v>
      </c>
      <c r="D356" s="2" t="s">
        <v>173</v>
      </c>
      <c r="E356" s="2" t="s">
        <v>174</v>
      </c>
      <c r="F356" s="2">
        <v>10000</v>
      </c>
      <c r="G356" s="2">
        <v>5</v>
      </c>
      <c r="H356" s="2">
        <v>0</v>
      </c>
      <c r="I356">
        <f t="shared" si="25"/>
        <v>50000</v>
      </c>
      <c r="J356">
        <f t="shared" si="26"/>
        <v>0</v>
      </c>
      <c r="K356" s="6">
        <f t="shared" si="27"/>
        <v>50000</v>
      </c>
      <c r="L356" s="2">
        <v>49000</v>
      </c>
      <c r="M356" s="6">
        <f>Table1[[#This Row],[Total Sales]]+Table1[[#This Row],[Shipping Fee]]</f>
        <v>99000</v>
      </c>
      <c r="N356" s="2" t="s">
        <v>63</v>
      </c>
      <c r="O356" t="str">
        <f>VLOOKUP(Table1[[#This Row],[Order ID]],Status!A:B, 2,FALSE)</f>
        <v>Completed</v>
      </c>
      <c r="P356" s="2" t="s">
        <v>30</v>
      </c>
      <c r="Q356" s="2">
        <v>1</v>
      </c>
      <c r="R356" s="2" t="s">
        <v>37</v>
      </c>
      <c r="S356" s="11" t="str">
        <f t="shared" si="28"/>
        <v>Rendah</v>
      </c>
      <c r="T356" s="2" t="str">
        <f t="shared" si="29"/>
        <v>Sangat Rendah</v>
      </c>
    </row>
    <row r="357" spans="1:20" ht="15.75" customHeight="1" x14ac:dyDescent="0.3">
      <c r="A357" s="4" t="s">
        <v>2018</v>
      </c>
      <c r="B357" s="3">
        <v>45853.565960648149</v>
      </c>
      <c r="C357" s="2" t="s">
        <v>784</v>
      </c>
      <c r="D357" s="2" t="s">
        <v>116</v>
      </c>
      <c r="E357" s="2" t="s">
        <v>110</v>
      </c>
      <c r="F357" s="2">
        <v>6000</v>
      </c>
      <c r="G357" s="2">
        <v>2</v>
      </c>
      <c r="H357" s="2">
        <v>0</v>
      </c>
      <c r="I357">
        <f t="shared" si="25"/>
        <v>12000</v>
      </c>
      <c r="J357">
        <f t="shared" si="26"/>
        <v>0</v>
      </c>
      <c r="K357" s="6">
        <f t="shared" si="27"/>
        <v>12000</v>
      </c>
      <c r="L357" s="2">
        <v>72000</v>
      </c>
      <c r="M357" s="6">
        <f>Table1[[#This Row],[Total Sales]]+Table1[[#This Row],[Shipping Fee]]</f>
        <v>84000</v>
      </c>
      <c r="N357" s="2" t="s">
        <v>35</v>
      </c>
      <c r="O357" t="str">
        <f>VLOOKUP(Table1[[#This Row],[Order ID]],Status!A:B, 2,FALSE)</f>
        <v>Completed</v>
      </c>
      <c r="P357" s="2" t="s">
        <v>46</v>
      </c>
      <c r="Q357" s="2">
        <v>3</v>
      </c>
      <c r="R357" s="2" t="s">
        <v>24</v>
      </c>
      <c r="S357" s="11" t="str">
        <f t="shared" si="28"/>
        <v>Standar</v>
      </c>
      <c r="T357" s="2" t="str">
        <f t="shared" si="29"/>
        <v>Sangat Rendah</v>
      </c>
    </row>
    <row r="358" spans="1:20" ht="15.75" customHeight="1" x14ac:dyDescent="0.3">
      <c r="A358" s="4" t="s">
        <v>2017</v>
      </c>
      <c r="B358" s="3">
        <v>45853.499895833331</v>
      </c>
      <c r="C358" s="2" t="s">
        <v>142</v>
      </c>
      <c r="D358" s="2" t="s">
        <v>143</v>
      </c>
      <c r="E358" s="2" t="s">
        <v>28</v>
      </c>
      <c r="F358" s="2">
        <v>5000</v>
      </c>
      <c r="G358" s="2">
        <v>1</v>
      </c>
      <c r="H358" s="2">
        <v>10</v>
      </c>
      <c r="I358">
        <f t="shared" si="25"/>
        <v>5000</v>
      </c>
      <c r="J358">
        <f t="shared" si="26"/>
        <v>500</v>
      </c>
      <c r="K358" s="6">
        <f t="shared" si="27"/>
        <v>4500</v>
      </c>
      <c r="L358" s="2">
        <v>50000</v>
      </c>
      <c r="M358" s="6">
        <f>Table1[[#This Row],[Total Sales]]+Table1[[#This Row],[Shipping Fee]]</f>
        <v>54500</v>
      </c>
      <c r="N358" s="2" t="s">
        <v>35</v>
      </c>
      <c r="O358" t="str">
        <f>VLOOKUP(Table1[[#This Row],[Order ID]],Status!A:B, 2,FALSE)</f>
        <v>Returned</v>
      </c>
      <c r="P358" s="2" t="s">
        <v>82</v>
      </c>
      <c r="Q358" s="2">
        <v>3</v>
      </c>
      <c r="R358" s="2" t="s">
        <v>24</v>
      </c>
      <c r="S358" s="11" t="str">
        <f t="shared" si="28"/>
        <v>Standar</v>
      </c>
      <c r="T358" s="2" t="str">
        <f t="shared" si="29"/>
        <v>Sangat Rendah</v>
      </c>
    </row>
    <row r="359" spans="1:20" ht="15.75" customHeight="1" x14ac:dyDescent="0.3">
      <c r="A359" s="4" t="s">
        <v>2016</v>
      </c>
      <c r="B359" s="3">
        <v>45853.313946759263</v>
      </c>
      <c r="C359" s="2" t="s">
        <v>557</v>
      </c>
      <c r="D359" s="2" t="s">
        <v>173</v>
      </c>
      <c r="E359" s="2" t="s">
        <v>67</v>
      </c>
      <c r="F359" s="2">
        <v>15000</v>
      </c>
      <c r="G359" s="2">
        <v>2</v>
      </c>
      <c r="H359" s="2">
        <v>20</v>
      </c>
      <c r="I359">
        <f t="shared" si="25"/>
        <v>30000</v>
      </c>
      <c r="J359">
        <f t="shared" si="26"/>
        <v>6000</v>
      </c>
      <c r="K359" s="6">
        <f t="shared" si="27"/>
        <v>24000</v>
      </c>
      <c r="L359" s="2">
        <v>49000</v>
      </c>
      <c r="M359" s="6">
        <f>Table1[[#This Row],[Total Sales]]+Table1[[#This Row],[Shipping Fee]]</f>
        <v>73000</v>
      </c>
      <c r="N359" s="2" t="s">
        <v>35</v>
      </c>
      <c r="O359" t="str">
        <f>VLOOKUP(Table1[[#This Row],[Order ID]],Status!A:B, 2,FALSE)</f>
        <v>Completed</v>
      </c>
      <c r="P359" s="2" t="s">
        <v>46</v>
      </c>
      <c r="Q359" s="2">
        <v>5</v>
      </c>
      <c r="R359" s="2" t="s">
        <v>24</v>
      </c>
      <c r="S359" s="11" t="str">
        <f t="shared" si="28"/>
        <v>Bagus</v>
      </c>
      <c r="T359" s="2" t="str">
        <f t="shared" si="29"/>
        <v>Rendah</v>
      </c>
    </row>
    <row r="360" spans="1:20" ht="15.75" customHeight="1" x14ac:dyDescent="0.3">
      <c r="A360" s="4" t="s">
        <v>2015</v>
      </c>
      <c r="B360" s="3">
        <v>45853.188425925917</v>
      </c>
      <c r="C360" s="2" t="s">
        <v>918</v>
      </c>
      <c r="D360" s="2" t="s">
        <v>296</v>
      </c>
      <c r="E360" s="2" t="s">
        <v>67</v>
      </c>
      <c r="F360" s="2">
        <v>15000</v>
      </c>
      <c r="G360" s="2">
        <v>2</v>
      </c>
      <c r="H360" s="2">
        <v>5</v>
      </c>
      <c r="I360">
        <f t="shared" si="25"/>
        <v>30000</v>
      </c>
      <c r="J360">
        <f t="shared" si="26"/>
        <v>1500</v>
      </c>
      <c r="K360" s="6">
        <f t="shared" si="27"/>
        <v>28500</v>
      </c>
      <c r="L360" s="2">
        <v>79000</v>
      </c>
      <c r="M360" s="6">
        <f>Table1[[#This Row],[Total Sales]]+Table1[[#This Row],[Shipping Fee]]</f>
        <v>107500</v>
      </c>
      <c r="N360" s="2" t="s">
        <v>22</v>
      </c>
      <c r="O360" t="str">
        <f>VLOOKUP(Table1[[#This Row],[Order ID]],Status!A:B, 2,FALSE)</f>
        <v>Completed</v>
      </c>
      <c r="P360" s="2" t="s">
        <v>36</v>
      </c>
      <c r="Q360" s="2">
        <v>5</v>
      </c>
      <c r="R360" s="2" t="s">
        <v>24</v>
      </c>
      <c r="S360" s="11" t="str">
        <f t="shared" si="28"/>
        <v>Bagus</v>
      </c>
      <c r="T360" s="2" t="str">
        <f t="shared" si="29"/>
        <v>Sangat Rendah</v>
      </c>
    </row>
    <row r="361" spans="1:20" ht="15.75" customHeight="1" x14ac:dyDescent="0.3">
      <c r="A361" s="4" t="s">
        <v>2014</v>
      </c>
      <c r="B361" s="3">
        <v>45853.121249999997</v>
      </c>
      <c r="C361" s="2" t="s">
        <v>656</v>
      </c>
      <c r="D361" s="2" t="s">
        <v>195</v>
      </c>
      <c r="E361" s="2" t="s">
        <v>144</v>
      </c>
      <c r="F361" s="2">
        <v>18000</v>
      </c>
      <c r="G361" s="2">
        <v>5</v>
      </c>
      <c r="H361" s="2">
        <v>5</v>
      </c>
      <c r="I361">
        <f t="shared" si="25"/>
        <v>90000</v>
      </c>
      <c r="J361">
        <f t="shared" si="26"/>
        <v>4500</v>
      </c>
      <c r="K361" s="6">
        <f t="shared" si="27"/>
        <v>85500</v>
      </c>
      <c r="L361" s="2">
        <v>87000</v>
      </c>
      <c r="M361" s="6">
        <f>Table1[[#This Row],[Total Sales]]+Table1[[#This Row],[Shipping Fee]]</f>
        <v>172500</v>
      </c>
      <c r="N361" s="2" t="s">
        <v>63</v>
      </c>
      <c r="O361" t="str">
        <f>VLOOKUP(Table1[[#This Row],[Order ID]],Status!A:B, 2,FALSE)</f>
        <v>Completed</v>
      </c>
      <c r="P361" s="2" t="s">
        <v>82</v>
      </c>
      <c r="Q361" s="2">
        <v>5</v>
      </c>
      <c r="R361" s="2" t="s">
        <v>37</v>
      </c>
      <c r="S361" s="11" t="str">
        <f t="shared" si="28"/>
        <v>Bagus</v>
      </c>
      <c r="T361" s="2" t="str">
        <f t="shared" si="29"/>
        <v>Sangat Rendah</v>
      </c>
    </row>
    <row r="362" spans="1:20" ht="15.75" customHeight="1" x14ac:dyDescent="0.3">
      <c r="A362" s="4" t="s">
        <v>2013</v>
      </c>
      <c r="B362" s="3">
        <v>45853.05872685185</v>
      </c>
      <c r="C362" s="2" t="s">
        <v>150</v>
      </c>
      <c r="D362" s="2" t="s">
        <v>151</v>
      </c>
      <c r="E362" s="2" t="s">
        <v>81</v>
      </c>
      <c r="F362" s="2">
        <v>17000</v>
      </c>
      <c r="G362" s="2">
        <v>3</v>
      </c>
      <c r="H362" s="2">
        <v>5</v>
      </c>
      <c r="I362">
        <f t="shared" si="25"/>
        <v>51000</v>
      </c>
      <c r="J362">
        <f t="shared" si="26"/>
        <v>2550</v>
      </c>
      <c r="K362" s="6">
        <f t="shared" si="27"/>
        <v>48450</v>
      </c>
      <c r="L362" s="2">
        <v>55000</v>
      </c>
      <c r="M362" s="6">
        <f>Table1[[#This Row],[Total Sales]]+Table1[[#This Row],[Shipping Fee]]</f>
        <v>103450</v>
      </c>
      <c r="N362" s="2" t="s">
        <v>35</v>
      </c>
      <c r="O362" t="str">
        <f>VLOOKUP(Table1[[#This Row],[Order ID]],Status!A:B, 2,FALSE)</f>
        <v>Completed</v>
      </c>
      <c r="P362" s="2" t="s">
        <v>36</v>
      </c>
      <c r="Q362" s="2">
        <v>1</v>
      </c>
      <c r="R362" s="2" t="s">
        <v>37</v>
      </c>
      <c r="S362" s="11" t="str">
        <f t="shared" si="28"/>
        <v>Rendah</v>
      </c>
      <c r="T362" s="2" t="str">
        <f t="shared" si="29"/>
        <v>Sangat Rendah</v>
      </c>
    </row>
    <row r="363" spans="1:20" ht="15.75" customHeight="1" x14ac:dyDescent="0.3">
      <c r="A363" s="4" t="s">
        <v>2012</v>
      </c>
      <c r="B363" s="3">
        <v>45853.048391203702</v>
      </c>
      <c r="C363" s="2" t="s">
        <v>142</v>
      </c>
      <c r="D363" s="2" t="s">
        <v>143</v>
      </c>
      <c r="E363" s="2" t="s">
        <v>41</v>
      </c>
      <c r="F363" s="2">
        <v>4000</v>
      </c>
      <c r="G363" s="2">
        <v>1</v>
      </c>
      <c r="H363" s="2">
        <v>20</v>
      </c>
      <c r="I363">
        <f t="shared" si="25"/>
        <v>4000</v>
      </c>
      <c r="J363">
        <f t="shared" si="26"/>
        <v>800</v>
      </c>
      <c r="K363" s="6">
        <f t="shared" si="27"/>
        <v>3200</v>
      </c>
      <c r="L363" s="2">
        <v>50000</v>
      </c>
      <c r="M363" s="6">
        <f>Table1[[#This Row],[Total Sales]]+Table1[[#This Row],[Shipping Fee]]</f>
        <v>53200</v>
      </c>
      <c r="N363" s="2" t="s">
        <v>29</v>
      </c>
      <c r="O363" t="str">
        <f>VLOOKUP(Table1[[#This Row],[Order ID]],Status!A:B, 2,FALSE)</f>
        <v>Completed</v>
      </c>
      <c r="P363" s="2" t="s">
        <v>46</v>
      </c>
      <c r="Q363" s="2">
        <v>3</v>
      </c>
      <c r="R363" s="2" t="s">
        <v>24</v>
      </c>
      <c r="S363" s="11" t="str">
        <f t="shared" si="28"/>
        <v>Standar</v>
      </c>
      <c r="T363" s="2" t="str">
        <f t="shared" si="29"/>
        <v>Sangat Rendah</v>
      </c>
    </row>
    <row r="364" spans="1:20" ht="15.75" customHeight="1" x14ac:dyDescent="0.3">
      <c r="A364" s="4" t="s">
        <v>2011</v>
      </c>
      <c r="B364" s="3">
        <v>45853.031782407408</v>
      </c>
      <c r="C364" s="2" t="s">
        <v>140</v>
      </c>
      <c r="D364" s="2" t="s">
        <v>92</v>
      </c>
      <c r="E364" s="2" t="s">
        <v>62</v>
      </c>
      <c r="F364" s="2">
        <v>50000</v>
      </c>
      <c r="G364" s="2">
        <v>5</v>
      </c>
      <c r="H364" s="2">
        <v>10</v>
      </c>
      <c r="I364">
        <f t="shared" si="25"/>
        <v>250000</v>
      </c>
      <c r="J364">
        <f t="shared" si="26"/>
        <v>25000</v>
      </c>
      <c r="K364" s="6">
        <f t="shared" si="27"/>
        <v>225000</v>
      </c>
      <c r="L364" s="2">
        <v>30000</v>
      </c>
      <c r="M364" s="6">
        <f>Table1[[#This Row],[Total Sales]]+Table1[[#This Row],[Shipping Fee]]</f>
        <v>255000</v>
      </c>
      <c r="N364" s="2" t="s">
        <v>22</v>
      </c>
      <c r="O364" t="str">
        <f>VLOOKUP(Table1[[#This Row],[Order ID]],Status!A:B, 2,FALSE)</f>
        <v>Returned</v>
      </c>
      <c r="P364" s="2" t="s">
        <v>30</v>
      </c>
      <c r="Q364" s="2">
        <v>5</v>
      </c>
      <c r="R364" s="2" t="s">
        <v>24</v>
      </c>
      <c r="S364" s="11" t="str">
        <f t="shared" si="28"/>
        <v>Bagus</v>
      </c>
      <c r="T364" s="2" t="str">
        <f t="shared" si="29"/>
        <v>Tinggi</v>
      </c>
    </row>
    <row r="365" spans="1:20" ht="15.75" customHeight="1" x14ac:dyDescent="0.3">
      <c r="A365" s="4" t="s">
        <v>2010</v>
      </c>
      <c r="B365" s="3">
        <v>45852.729560185187</v>
      </c>
      <c r="C365" s="2" t="s">
        <v>155</v>
      </c>
      <c r="D365" s="2" t="s">
        <v>92</v>
      </c>
      <c r="E365" s="2" t="s">
        <v>41</v>
      </c>
      <c r="F365" s="2">
        <v>4000</v>
      </c>
      <c r="G365" s="2">
        <v>3</v>
      </c>
      <c r="H365" s="2">
        <v>5</v>
      </c>
      <c r="I365">
        <f t="shared" si="25"/>
        <v>12000</v>
      </c>
      <c r="J365">
        <f t="shared" si="26"/>
        <v>600</v>
      </c>
      <c r="K365" s="6">
        <f t="shared" si="27"/>
        <v>11400</v>
      </c>
      <c r="L365" s="2">
        <v>30000</v>
      </c>
      <c r="M365" s="6">
        <f>Table1[[#This Row],[Total Sales]]+Table1[[#This Row],[Shipping Fee]]</f>
        <v>41400</v>
      </c>
      <c r="N365" s="2" t="s">
        <v>22</v>
      </c>
      <c r="O365" t="str">
        <f>VLOOKUP(Table1[[#This Row],[Order ID]],Status!A:B, 2,FALSE)</f>
        <v>Completed</v>
      </c>
      <c r="P365" s="2" t="s">
        <v>46</v>
      </c>
      <c r="Q365" s="2">
        <v>5</v>
      </c>
      <c r="R365" s="2" t="s">
        <v>24</v>
      </c>
      <c r="S365" s="11" t="str">
        <f t="shared" si="28"/>
        <v>Bagus</v>
      </c>
      <c r="T365" s="2" t="str">
        <f t="shared" si="29"/>
        <v>Sangat Rendah</v>
      </c>
    </row>
    <row r="366" spans="1:20" ht="15.75" customHeight="1" x14ac:dyDescent="0.3">
      <c r="A366" s="4" t="s">
        <v>2008</v>
      </c>
      <c r="B366" s="3">
        <v>45852.491527777784</v>
      </c>
      <c r="C366" s="2" t="s">
        <v>2009</v>
      </c>
      <c r="D366" s="2" t="s">
        <v>49</v>
      </c>
      <c r="E366" s="2" t="s">
        <v>38</v>
      </c>
      <c r="F366" s="2">
        <v>28000</v>
      </c>
      <c r="G366" s="2">
        <v>2</v>
      </c>
      <c r="H366" s="2">
        <v>15</v>
      </c>
      <c r="I366">
        <f t="shared" si="25"/>
        <v>56000</v>
      </c>
      <c r="J366">
        <f t="shared" si="26"/>
        <v>8400</v>
      </c>
      <c r="K366" s="6">
        <f t="shared" si="27"/>
        <v>47600</v>
      </c>
      <c r="L366" s="2">
        <v>43000</v>
      </c>
      <c r="M366" s="6">
        <f>Table1[[#This Row],[Total Sales]]+Table1[[#This Row],[Shipping Fee]]</f>
        <v>90600</v>
      </c>
      <c r="N366" s="2" t="s">
        <v>29</v>
      </c>
      <c r="O366" t="str">
        <f>VLOOKUP(Table1[[#This Row],[Order ID]],Status!A:B, 2,FALSE)</f>
        <v>Completed</v>
      </c>
      <c r="P366" s="2" t="s">
        <v>23</v>
      </c>
      <c r="Q366" s="2">
        <v>5</v>
      </c>
      <c r="R366" s="2" t="s">
        <v>24</v>
      </c>
      <c r="S366" s="11" t="str">
        <f t="shared" si="28"/>
        <v>Bagus</v>
      </c>
      <c r="T366" s="2" t="str">
        <f t="shared" si="29"/>
        <v>Rendah</v>
      </c>
    </row>
    <row r="367" spans="1:20" ht="15.75" customHeight="1" x14ac:dyDescent="0.3">
      <c r="A367" s="4" t="s">
        <v>2007</v>
      </c>
      <c r="B367" s="3">
        <v>45852.398240740738</v>
      </c>
      <c r="C367" s="2" t="s">
        <v>419</v>
      </c>
      <c r="D367" s="2" t="s">
        <v>103</v>
      </c>
      <c r="E367" s="2" t="s">
        <v>21</v>
      </c>
      <c r="F367" s="2">
        <v>45000</v>
      </c>
      <c r="G367" s="2">
        <v>5</v>
      </c>
      <c r="H367" s="2">
        <v>5</v>
      </c>
      <c r="I367">
        <f t="shared" si="25"/>
        <v>225000</v>
      </c>
      <c r="J367">
        <f t="shared" si="26"/>
        <v>11250</v>
      </c>
      <c r="K367" s="6">
        <f t="shared" si="27"/>
        <v>213750</v>
      </c>
      <c r="L367" s="2">
        <v>85000</v>
      </c>
      <c r="M367" s="6">
        <f>Table1[[#This Row],[Total Sales]]+Table1[[#This Row],[Shipping Fee]]</f>
        <v>298750</v>
      </c>
      <c r="N367" s="2" t="s">
        <v>29</v>
      </c>
      <c r="O367" t="str">
        <f>VLOOKUP(Table1[[#This Row],[Order ID]],Status!A:B, 2,FALSE)</f>
        <v>Completed</v>
      </c>
      <c r="P367" s="2" t="s">
        <v>36</v>
      </c>
      <c r="Q367" s="2">
        <v>3</v>
      </c>
      <c r="R367" s="2" t="s">
        <v>37</v>
      </c>
      <c r="S367" s="11" t="str">
        <f t="shared" si="28"/>
        <v>Standar</v>
      </c>
      <c r="T367" s="2" t="str">
        <f t="shared" si="29"/>
        <v>Normal</v>
      </c>
    </row>
    <row r="368" spans="1:20" ht="15.75" customHeight="1" x14ac:dyDescent="0.3">
      <c r="A368" s="4" t="s">
        <v>2006</v>
      </c>
      <c r="B368" s="3">
        <v>45852.000694444447</v>
      </c>
      <c r="C368" s="2" t="s">
        <v>256</v>
      </c>
      <c r="D368" s="2" t="s">
        <v>107</v>
      </c>
      <c r="E368" s="2" t="s">
        <v>144</v>
      </c>
      <c r="F368" s="2">
        <v>18000</v>
      </c>
      <c r="G368" s="2">
        <v>5</v>
      </c>
      <c r="H368" s="2">
        <v>5</v>
      </c>
      <c r="I368">
        <f t="shared" si="25"/>
        <v>90000</v>
      </c>
      <c r="J368">
        <f t="shared" si="26"/>
        <v>4500</v>
      </c>
      <c r="K368" s="6">
        <f t="shared" si="27"/>
        <v>85500</v>
      </c>
      <c r="L368" s="2">
        <v>97000</v>
      </c>
      <c r="M368" s="6">
        <f>Table1[[#This Row],[Total Sales]]+Table1[[#This Row],[Shipping Fee]]</f>
        <v>182500</v>
      </c>
      <c r="N368" s="2" t="s">
        <v>29</v>
      </c>
      <c r="O368" t="str">
        <f>VLOOKUP(Table1[[#This Row],[Order ID]],Status!A:B, 2,FALSE)</f>
        <v>Completed</v>
      </c>
      <c r="P368" s="2" t="s">
        <v>46</v>
      </c>
      <c r="Q368" s="2">
        <v>2</v>
      </c>
      <c r="R368" s="2" t="s">
        <v>24</v>
      </c>
      <c r="S368" s="11" t="str">
        <f t="shared" si="28"/>
        <v>Rendah</v>
      </c>
      <c r="T368" s="2" t="str">
        <f t="shared" si="29"/>
        <v>Sangat Rendah</v>
      </c>
    </row>
    <row r="369" spans="1:20" ht="15.75" customHeight="1" x14ac:dyDescent="0.3">
      <c r="A369" s="4" t="s">
        <v>2005</v>
      </c>
      <c r="B369" s="3">
        <v>45851.981817129628</v>
      </c>
      <c r="C369" s="2" t="s">
        <v>150</v>
      </c>
      <c r="D369" s="2" t="s">
        <v>151</v>
      </c>
      <c r="E369" s="2" t="s">
        <v>45</v>
      </c>
      <c r="F369" s="2">
        <v>40000</v>
      </c>
      <c r="G369" s="2">
        <v>3</v>
      </c>
      <c r="H369" s="2">
        <v>10</v>
      </c>
      <c r="I369">
        <f t="shared" si="25"/>
        <v>120000</v>
      </c>
      <c r="J369">
        <f t="shared" si="26"/>
        <v>12000</v>
      </c>
      <c r="K369" s="6">
        <f t="shared" si="27"/>
        <v>108000</v>
      </c>
      <c r="L369" s="2">
        <v>55000</v>
      </c>
      <c r="M369" s="6">
        <f>Table1[[#This Row],[Total Sales]]+Table1[[#This Row],[Shipping Fee]]</f>
        <v>163000</v>
      </c>
      <c r="N369" s="2" t="s">
        <v>35</v>
      </c>
      <c r="O369" t="str">
        <f>VLOOKUP(Table1[[#This Row],[Order ID]],Status!A:B, 2,FALSE)</f>
        <v>Completed</v>
      </c>
      <c r="P369" s="2" t="s">
        <v>23</v>
      </c>
      <c r="Q369" s="2">
        <v>2</v>
      </c>
      <c r="R369" s="2" t="s">
        <v>37</v>
      </c>
      <c r="S369" s="11" t="str">
        <f t="shared" si="28"/>
        <v>Rendah</v>
      </c>
      <c r="T369" s="2" t="str">
        <f t="shared" si="29"/>
        <v>Normal</v>
      </c>
    </row>
    <row r="370" spans="1:20" ht="15.75" customHeight="1" x14ac:dyDescent="0.3">
      <c r="A370" s="4" t="s">
        <v>2004</v>
      </c>
      <c r="B370" s="3">
        <v>45851.9140625</v>
      </c>
      <c r="C370" s="2" t="s">
        <v>690</v>
      </c>
      <c r="D370" s="2" t="s">
        <v>173</v>
      </c>
      <c r="E370" s="2" t="s">
        <v>41</v>
      </c>
      <c r="F370" s="2">
        <v>4000</v>
      </c>
      <c r="G370" s="2">
        <v>3</v>
      </c>
      <c r="H370" s="2">
        <v>15</v>
      </c>
      <c r="I370">
        <f t="shared" si="25"/>
        <v>12000</v>
      </c>
      <c r="J370">
        <f t="shared" si="26"/>
        <v>1800</v>
      </c>
      <c r="K370" s="6">
        <f t="shared" si="27"/>
        <v>10200</v>
      </c>
      <c r="L370" s="2">
        <v>49000</v>
      </c>
      <c r="M370" s="6">
        <f>Table1[[#This Row],[Total Sales]]+Table1[[#This Row],[Shipping Fee]]</f>
        <v>59200</v>
      </c>
      <c r="N370" s="2" t="s">
        <v>29</v>
      </c>
      <c r="O370" t="str">
        <f>VLOOKUP(Table1[[#This Row],[Order ID]],Status!A:B, 2,FALSE)</f>
        <v>Completed</v>
      </c>
      <c r="P370" s="2" t="s">
        <v>36</v>
      </c>
      <c r="Q370" s="2">
        <v>1</v>
      </c>
      <c r="R370" s="2" t="s">
        <v>37</v>
      </c>
      <c r="S370" s="11" t="str">
        <f t="shared" si="28"/>
        <v>Rendah</v>
      </c>
      <c r="T370" s="2" t="str">
        <f t="shared" si="29"/>
        <v>Sangat Rendah</v>
      </c>
    </row>
    <row r="371" spans="1:20" ht="15.75" customHeight="1" x14ac:dyDescent="0.3">
      <c r="A371" s="4" t="s">
        <v>2003</v>
      </c>
      <c r="B371" s="3">
        <v>45851.78570601852</v>
      </c>
      <c r="C371" s="2" t="s">
        <v>256</v>
      </c>
      <c r="D371" s="2" t="s">
        <v>107</v>
      </c>
      <c r="E371" s="2" t="s">
        <v>45</v>
      </c>
      <c r="F371" s="2">
        <v>40000</v>
      </c>
      <c r="G371" s="2">
        <v>5</v>
      </c>
      <c r="H371" s="2">
        <v>5</v>
      </c>
      <c r="I371">
        <f t="shared" si="25"/>
        <v>200000</v>
      </c>
      <c r="J371">
        <f t="shared" si="26"/>
        <v>10000</v>
      </c>
      <c r="K371" s="6">
        <f t="shared" si="27"/>
        <v>190000</v>
      </c>
      <c r="L371" s="2">
        <v>97000</v>
      </c>
      <c r="M371" s="6">
        <f>Table1[[#This Row],[Total Sales]]+Table1[[#This Row],[Shipping Fee]]</f>
        <v>287000</v>
      </c>
      <c r="N371" s="2" t="s">
        <v>63</v>
      </c>
      <c r="O371" t="str">
        <f>VLOOKUP(Table1[[#This Row],[Order ID]],Status!A:B, 2,FALSE)</f>
        <v>Completed</v>
      </c>
      <c r="P371" s="2" t="s">
        <v>30</v>
      </c>
      <c r="Q371" s="2">
        <v>5</v>
      </c>
      <c r="R371" s="2" t="s">
        <v>24</v>
      </c>
      <c r="S371" s="11" t="str">
        <f t="shared" si="28"/>
        <v>Bagus</v>
      </c>
      <c r="T371" s="2" t="str">
        <f t="shared" si="29"/>
        <v>Rendah</v>
      </c>
    </row>
    <row r="372" spans="1:20" ht="15.75" customHeight="1" x14ac:dyDescent="0.3">
      <c r="A372" s="4" t="s">
        <v>2002</v>
      </c>
      <c r="B372" s="3">
        <v>45851.378194444442</v>
      </c>
      <c r="C372" s="2" t="s">
        <v>758</v>
      </c>
      <c r="D372" s="2" t="s">
        <v>238</v>
      </c>
      <c r="E372" s="2" t="s">
        <v>67</v>
      </c>
      <c r="F372" s="2">
        <v>15000</v>
      </c>
      <c r="G372" s="2">
        <v>4</v>
      </c>
      <c r="H372" s="2">
        <v>5</v>
      </c>
      <c r="I372">
        <f t="shared" si="25"/>
        <v>60000</v>
      </c>
      <c r="J372">
        <f t="shared" si="26"/>
        <v>3000</v>
      </c>
      <c r="K372" s="6">
        <f t="shared" si="27"/>
        <v>57000</v>
      </c>
      <c r="L372" s="2">
        <v>28000</v>
      </c>
      <c r="M372" s="6">
        <f>Table1[[#This Row],[Total Sales]]+Table1[[#This Row],[Shipping Fee]]</f>
        <v>85000</v>
      </c>
      <c r="N372" s="2" t="s">
        <v>35</v>
      </c>
      <c r="O372" t="str">
        <f>VLOOKUP(Table1[[#This Row],[Order ID]],Status!A:B, 2,FALSE)</f>
        <v>Completed</v>
      </c>
      <c r="P372" s="2" t="s">
        <v>46</v>
      </c>
      <c r="Q372" s="2">
        <v>2</v>
      </c>
      <c r="R372" s="2" t="s">
        <v>24</v>
      </c>
      <c r="S372" s="11" t="str">
        <f t="shared" si="28"/>
        <v>Rendah</v>
      </c>
      <c r="T372" s="2" t="str">
        <f t="shared" si="29"/>
        <v>Sangat Rendah</v>
      </c>
    </row>
    <row r="373" spans="1:20" ht="15.75" customHeight="1" x14ac:dyDescent="0.3">
      <c r="A373" s="4" t="s">
        <v>2001</v>
      </c>
      <c r="B373" s="3">
        <v>45850.999803240738</v>
      </c>
      <c r="C373" s="2" t="s">
        <v>56</v>
      </c>
      <c r="D373" s="2" t="s">
        <v>57</v>
      </c>
      <c r="E373" s="2" t="s">
        <v>104</v>
      </c>
      <c r="F373" s="2">
        <v>30000</v>
      </c>
      <c r="G373" s="2">
        <v>2</v>
      </c>
      <c r="H373" s="2">
        <v>15</v>
      </c>
      <c r="I373">
        <f t="shared" si="25"/>
        <v>60000</v>
      </c>
      <c r="J373">
        <f t="shared" si="26"/>
        <v>9000</v>
      </c>
      <c r="K373" s="6">
        <f t="shared" si="27"/>
        <v>51000</v>
      </c>
      <c r="L373" s="2">
        <v>80000</v>
      </c>
      <c r="M373" s="6">
        <f>Table1[[#This Row],[Total Sales]]+Table1[[#This Row],[Shipping Fee]]</f>
        <v>131000</v>
      </c>
      <c r="N373" s="2" t="s">
        <v>63</v>
      </c>
      <c r="O373" t="str">
        <f>VLOOKUP(Table1[[#This Row],[Order ID]],Status!A:B, 2,FALSE)</f>
        <v>Completed</v>
      </c>
      <c r="P373" s="2" t="s">
        <v>46</v>
      </c>
      <c r="Q373" s="2">
        <v>4</v>
      </c>
      <c r="R373" s="2" t="s">
        <v>24</v>
      </c>
      <c r="S373" s="11" t="str">
        <f t="shared" si="28"/>
        <v>Bagus</v>
      </c>
      <c r="T373" s="2" t="str">
        <f t="shared" si="29"/>
        <v>Rendah</v>
      </c>
    </row>
    <row r="374" spans="1:20" ht="15.75" customHeight="1" x14ac:dyDescent="0.3">
      <c r="A374" s="4" t="s">
        <v>2000</v>
      </c>
      <c r="B374" s="3">
        <v>45850.254374999997</v>
      </c>
      <c r="C374" s="2" t="s">
        <v>615</v>
      </c>
      <c r="D374" s="2" t="s">
        <v>92</v>
      </c>
      <c r="E374" s="2" t="s">
        <v>250</v>
      </c>
      <c r="F374" s="2">
        <v>18000</v>
      </c>
      <c r="G374" s="2">
        <v>4</v>
      </c>
      <c r="H374" s="2">
        <v>15</v>
      </c>
      <c r="I374">
        <f t="shared" si="25"/>
        <v>72000</v>
      </c>
      <c r="J374">
        <f t="shared" si="26"/>
        <v>10800</v>
      </c>
      <c r="K374" s="6">
        <f t="shared" si="27"/>
        <v>61200</v>
      </c>
      <c r="L374" s="2">
        <v>30000</v>
      </c>
      <c r="M374" s="6">
        <f>Table1[[#This Row],[Total Sales]]+Table1[[#This Row],[Shipping Fee]]</f>
        <v>91200</v>
      </c>
      <c r="N374" s="2" t="s">
        <v>35</v>
      </c>
      <c r="O374" t="str">
        <f>VLOOKUP(Table1[[#This Row],[Order ID]],Status!A:B, 2,FALSE)</f>
        <v>Completed</v>
      </c>
      <c r="P374" s="2" t="s">
        <v>82</v>
      </c>
      <c r="Q374" s="2">
        <v>4</v>
      </c>
      <c r="R374" s="2" t="s">
        <v>24</v>
      </c>
      <c r="S374" s="11" t="str">
        <f t="shared" si="28"/>
        <v>Bagus</v>
      </c>
      <c r="T374" s="2" t="str">
        <f t="shared" si="29"/>
        <v>Normal</v>
      </c>
    </row>
    <row r="375" spans="1:20" ht="15.75" customHeight="1" x14ac:dyDescent="0.3">
      <c r="A375" s="4" t="s">
        <v>1999</v>
      </c>
      <c r="B375" s="3">
        <v>45850.207638888889</v>
      </c>
      <c r="C375" s="2" t="s">
        <v>504</v>
      </c>
      <c r="D375" s="2" t="s">
        <v>195</v>
      </c>
      <c r="E375" s="2" t="s">
        <v>54</v>
      </c>
      <c r="F375" s="2">
        <v>16000</v>
      </c>
      <c r="G375" s="2">
        <v>3</v>
      </c>
      <c r="H375" s="2">
        <v>5</v>
      </c>
      <c r="I375">
        <f t="shared" si="25"/>
        <v>48000</v>
      </c>
      <c r="J375">
        <f t="shared" si="26"/>
        <v>2400</v>
      </c>
      <c r="K375" s="6">
        <f t="shared" si="27"/>
        <v>45600</v>
      </c>
      <c r="L375" s="2">
        <v>87000</v>
      </c>
      <c r="M375" s="6">
        <f>Table1[[#This Row],[Total Sales]]+Table1[[#This Row],[Shipping Fee]]</f>
        <v>132600</v>
      </c>
      <c r="N375" s="2" t="s">
        <v>22</v>
      </c>
      <c r="O375" t="str">
        <f>VLOOKUP(Table1[[#This Row],[Order ID]],Status!A:B, 2,FALSE)</f>
        <v>Completed</v>
      </c>
      <c r="P375" s="2" t="s">
        <v>30</v>
      </c>
      <c r="Q375" s="2">
        <v>1</v>
      </c>
      <c r="R375" s="2" t="s">
        <v>24</v>
      </c>
      <c r="S375" s="11" t="str">
        <f t="shared" si="28"/>
        <v>Rendah</v>
      </c>
      <c r="T375" s="2" t="str">
        <f t="shared" si="29"/>
        <v>Sangat Rendah</v>
      </c>
    </row>
    <row r="376" spans="1:20" ht="15.75" customHeight="1" x14ac:dyDescent="0.3">
      <c r="A376" s="4" t="s">
        <v>1998</v>
      </c>
      <c r="B376" s="3">
        <v>45849.963599537034</v>
      </c>
      <c r="C376" s="2" t="s">
        <v>1259</v>
      </c>
      <c r="D376" s="2" t="s">
        <v>107</v>
      </c>
      <c r="E376" s="2" t="s">
        <v>144</v>
      </c>
      <c r="F376" s="2">
        <v>18000</v>
      </c>
      <c r="G376" s="2">
        <v>4</v>
      </c>
      <c r="H376" s="2">
        <v>5</v>
      </c>
      <c r="I376">
        <f t="shared" si="25"/>
        <v>72000</v>
      </c>
      <c r="J376">
        <f t="shared" si="26"/>
        <v>3600</v>
      </c>
      <c r="K376" s="6">
        <f t="shared" si="27"/>
        <v>68400</v>
      </c>
      <c r="L376" s="2">
        <v>97000</v>
      </c>
      <c r="M376" s="6">
        <f>Table1[[#This Row],[Total Sales]]+Table1[[#This Row],[Shipping Fee]]</f>
        <v>165400</v>
      </c>
      <c r="N376" s="2" t="s">
        <v>29</v>
      </c>
      <c r="O376" t="str">
        <f>VLOOKUP(Table1[[#This Row],[Order ID]],Status!A:B, 2,FALSE)</f>
        <v>Returned</v>
      </c>
      <c r="P376" s="2" t="s">
        <v>30</v>
      </c>
      <c r="Q376" s="2">
        <v>2</v>
      </c>
      <c r="R376" s="2" t="s">
        <v>37</v>
      </c>
      <c r="S376" s="11" t="str">
        <f t="shared" si="28"/>
        <v>Rendah</v>
      </c>
      <c r="T376" s="2" t="str">
        <f t="shared" si="29"/>
        <v>Sangat Rendah</v>
      </c>
    </row>
    <row r="377" spans="1:20" ht="15.75" customHeight="1" x14ac:dyDescent="0.3">
      <c r="A377" s="4" t="s">
        <v>1997</v>
      </c>
      <c r="B377" s="3">
        <v>45849.777025462958</v>
      </c>
      <c r="C377" s="2" t="s">
        <v>275</v>
      </c>
      <c r="D377" s="2" t="s">
        <v>96</v>
      </c>
      <c r="E377" s="2" t="s">
        <v>190</v>
      </c>
      <c r="F377" s="2">
        <v>35000</v>
      </c>
      <c r="G377" s="2">
        <v>2</v>
      </c>
      <c r="H377" s="2">
        <v>10</v>
      </c>
      <c r="I377">
        <f t="shared" si="25"/>
        <v>70000</v>
      </c>
      <c r="J377">
        <f t="shared" si="26"/>
        <v>7000</v>
      </c>
      <c r="K377" s="6">
        <f t="shared" si="27"/>
        <v>63000</v>
      </c>
      <c r="L377" s="2">
        <v>49000</v>
      </c>
      <c r="M377" s="6">
        <f>Table1[[#This Row],[Total Sales]]+Table1[[#This Row],[Shipping Fee]]</f>
        <v>112000</v>
      </c>
      <c r="N377" s="2" t="s">
        <v>35</v>
      </c>
      <c r="O377" t="str">
        <f>VLOOKUP(Table1[[#This Row],[Order ID]],Status!A:B, 2,FALSE)</f>
        <v>Completed</v>
      </c>
      <c r="P377" s="2" t="s">
        <v>23</v>
      </c>
      <c r="Q377" s="2">
        <v>2</v>
      </c>
      <c r="R377" s="2" t="s">
        <v>24</v>
      </c>
      <c r="S377" s="11" t="str">
        <f t="shared" si="28"/>
        <v>Rendah</v>
      </c>
      <c r="T377" s="2" t="str">
        <f t="shared" si="29"/>
        <v>Rendah</v>
      </c>
    </row>
    <row r="378" spans="1:20" ht="15.75" customHeight="1" x14ac:dyDescent="0.3">
      <c r="A378" s="4" t="s">
        <v>1997</v>
      </c>
      <c r="B378" s="3">
        <v>45849.777025462958</v>
      </c>
      <c r="C378" s="2" t="s">
        <v>275</v>
      </c>
      <c r="D378" s="2" t="s">
        <v>96</v>
      </c>
      <c r="E378" s="2" t="s">
        <v>123</v>
      </c>
      <c r="F378" s="2">
        <v>22000</v>
      </c>
      <c r="G378" s="2">
        <v>1</v>
      </c>
      <c r="H378" s="2">
        <v>15</v>
      </c>
      <c r="I378">
        <f t="shared" si="25"/>
        <v>22000</v>
      </c>
      <c r="J378">
        <f t="shared" si="26"/>
        <v>3300</v>
      </c>
      <c r="K378" s="6">
        <f t="shared" si="27"/>
        <v>18700</v>
      </c>
      <c r="L378" s="2">
        <v>0</v>
      </c>
      <c r="M378" s="6">
        <f>Table1[[#This Row],[Total Sales]]+Table1[[#This Row],[Shipping Fee]]</f>
        <v>18700</v>
      </c>
      <c r="N378" s="2" t="s">
        <v>35</v>
      </c>
      <c r="O378" t="str">
        <f>VLOOKUP(Table1[[#This Row],[Order ID]],Status!A:B, 2,FALSE)</f>
        <v>Completed</v>
      </c>
      <c r="P378" s="2" t="s">
        <v>23</v>
      </c>
      <c r="Q378" s="2">
        <v>2</v>
      </c>
      <c r="R378" s="2" t="s">
        <v>24</v>
      </c>
      <c r="S378" s="11" t="str">
        <f t="shared" si="28"/>
        <v>Rendah</v>
      </c>
      <c r="T378" s="2" t="str">
        <f t="shared" si="29"/>
        <v>Sangat Rendah</v>
      </c>
    </row>
    <row r="379" spans="1:20" ht="15.75" customHeight="1" x14ac:dyDescent="0.3">
      <c r="A379" s="4" t="s">
        <v>1996</v>
      </c>
      <c r="B379" s="3">
        <v>45849.703344907408</v>
      </c>
      <c r="C379" s="2" t="s">
        <v>192</v>
      </c>
      <c r="D379" s="2" t="s">
        <v>107</v>
      </c>
      <c r="E379" s="2" t="s">
        <v>138</v>
      </c>
      <c r="F379" s="2">
        <v>17000</v>
      </c>
      <c r="G379" s="2">
        <v>4</v>
      </c>
      <c r="H379" s="2">
        <v>20</v>
      </c>
      <c r="I379">
        <f t="shared" si="25"/>
        <v>68000</v>
      </c>
      <c r="J379">
        <f t="shared" si="26"/>
        <v>13600</v>
      </c>
      <c r="K379" s="6">
        <f t="shared" si="27"/>
        <v>54400</v>
      </c>
      <c r="L379" s="2">
        <v>97000</v>
      </c>
      <c r="M379" s="6">
        <f>Table1[[#This Row],[Total Sales]]+Table1[[#This Row],[Shipping Fee]]</f>
        <v>151400</v>
      </c>
      <c r="N379" s="2" t="s">
        <v>29</v>
      </c>
      <c r="O379" t="str">
        <f>VLOOKUP(Table1[[#This Row],[Order ID]],Status!A:B, 2,FALSE)</f>
        <v>Completed</v>
      </c>
      <c r="P379" s="2" t="s">
        <v>82</v>
      </c>
      <c r="Q379" s="2">
        <v>1</v>
      </c>
      <c r="R379" s="2" t="s">
        <v>24</v>
      </c>
      <c r="S379" s="11" t="str">
        <f t="shared" si="28"/>
        <v>Rendah</v>
      </c>
      <c r="T379" s="2" t="str">
        <f t="shared" si="29"/>
        <v>Normal</v>
      </c>
    </row>
    <row r="380" spans="1:20" ht="15.75" customHeight="1" x14ac:dyDescent="0.3">
      <c r="A380" s="4" t="s">
        <v>1995</v>
      </c>
      <c r="B380" s="3">
        <v>45849.61210648148</v>
      </c>
      <c r="C380" s="2" t="s">
        <v>1574</v>
      </c>
      <c r="D380" s="2" t="s">
        <v>33</v>
      </c>
      <c r="E380" s="2" t="s">
        <v>67</v>
      </c>
      <c r="F380" s="2">
        <v>15000</v>
      </c>
      <c r="G380" s="2">
        <v>1</v>
      </c>
      <c r="H380" s="2">
        <v>10</v>
      </c>
      <c r="I380">
        <f t="shared" si="25"/>
        <v>15000</v>
      </c>
      <c r="J380">
        <f t="shared" si="26"/>
        <v>1500</v>
      </c>
      <c r="K380" s="6">
        <f t="shared" si="27"/>
        <v>13500</v>
      </c>
      <c r="L380" s="2">
        <v>76000</v>
      </c>
      <c r="M380" s="6">
        <f>Table1[[#This Row],[Total Sales]]+Table1[[#This Row],[Shipping Fee]]</f>
        <v>89500</v>
      </c>
      <c r="N380" s="2" t="s">
        <v>63</v>
      </c>
      <c r="O380" t="str">
        <f>VLOOKUP(Table1[[#This Row],[Order ID]],Status!A:B, 2,FALSE)</f>
        <v>Returned</v>
      </c>
      <c r="P380" s="2" t="s">
        <v>36</v>
      </c>
      <c r="Q380" s="2">
        <v>4</v>
      </c>
      <c r="R380" s="2" t="s">
        <v>24</v>
      </c>
      <c r="S380" s="11" t="str">
        <f t="shared" si="28"/>
        <v>Bagus</v>
      </c>
      <c r="T380" s="2" t="str">
        <f t="shared" si="29"/>
        <v>Sangat Rendah</v>
      </c>
    </row>
    <row r="381" spans="1:20" ht="15.75" customHeight="1" x14ac:dyDescent="0.3">
      <c r="A381" s="4" t="s">
        <v>1994</v>
      </c>
      <c r="B381" s="3">
        <v>45849.604583333326</v>
      </c>
      <c r="C381" s="2" t="s">
        <v>443</v>
      </c>
      <c r="D381" s="2" t="s">
        <v>53</v>
      </c>
      <c r="E381" s="2" t="s">
        <v>54</v>
      </c>
      <c r="F381" s="2">
        <v>16000</v>
      </c>
      <c r="G381" s="2">
        <v>1</v>
      </c>
      <c r="H381" s="2">
        <v>15</v>
      </c>
      <c r="I381">
        <f t="shared" si="25"/>
        <v>16000</v>
      </c>
      <c r="J381">
        <f t="shared" si="26"/>
        <v>2400</v>
      </c>
      <c r="K381" s="6">
        <f t="shared" si="27"/>
        <v>13600</v>
      </c>
      <c r="L381" s="2">
        <v>18000</v>
      </c>
      <c r="M381" s="6">
        <f>Table1[[#This Row],[Total Sales]]+Table1[[#This Row],[Shipping Fee]]</f>
        <v>31600</v>
      </c>
      <c r="N381" s="2" t="s">
        <v>22</v>
      </c>
      <c r="O381" t="str">
        <f>VLOOKUP(Table1[[#This Row],[Order ID]],Status!A:B, 2,FALSE)</f>
        <v>Completed</v>
      </c>
      <c r="P381" s="2" t="s">
        <v>36</v>
      </c>
      <c r="Q381" s="2">
        <v>2</v>
      </c>
      <c r="R381" s="2" t="s">
        <v>24</v>
      </c>
      <c r="S381" s="11" t="str">
        <f t="shared" si="28"/>
        <v>Rendah</v>
      </c>
      <c r="T381" s="2" t="str">
        <f t="shared" si="29"/>
        <v>Sangat Rendah</v>
      </c>
    </row>
    <row r="382" spans="1:20" ht="15.75" customHeight="1" x14ac:dyDescent="0.3">
      <c r="A382" s="4" t="s">
        <v>1993</v>
      </c>
      <c r="B382" s="3">
        <v>45849.283321759263</v>
      </c>
      <c r="C382" s="2" t="s">
        <v>741</v>
      </c>
      <c r="D382" s="2" t="s">
        <v>189</v>
      </c>
      <c r="E382" s="2" t="s">
        <v>34</v>
      </c>
      <c r="F382" s="2">
        <v>16000</v>
      </c>
      <c r="G382" s="2">
        <v>3</v>
      </c>
      <c r="H382" s="2">
        <v>5</v>
      </c>
      <c r="I382">
        <f t="shared" si="25"/>
        <v>48000</v>
      </c>
      <c r="J382">
        <f t="shared" si="26"/>
        <v>2400</v>
      </c>
      <c r="K382" s="6">
        <f t="shared" si="27"/>
        <v>45600</v>
      </c>
      <c r="L382" s="2">
        <v>57000</v>
      </c>
      <c r="M382" s="6">
        <f>Table1[[#This Row],[Total Sales]]+Table1[[#This Row],[Shipping Fee]]</f>
        <v>102600</v>
      </c>
      <c r="N382" s="2" t="s">
        <v>63</v>
      </c>
      <c r="O382" t="str">
        <f>VLOOKUP(Table1[[#This Row],[Order ID]],Status!A:B, 2,FALSE)</f>
        <v>Completed</v>
      </c>
      <c r="P382" s="2" t="s">
        <v>36</v>
      </c>
      <c r="Q382" s="2">
        <v>4</v>
      </c>
      <c r="R382" s="2" t="s">
        <v>24</v>
      </c>
      <c r="S382" s="11" t="str">
        <f t="shared" si="28"/>
        <v>Bagus</v>
      </c>
      <c r="T382" s="2" t="str">
        <f t="shared" si="29"/>
        <v>Sangat Rendah</v>
      </c>
    </row>
    <row r="383" spans="1:20" ht="15.75" customHeight="1" x14ac:dyDescent="0.3">
      <c r="A383" s="4" t="s">
        <v>1992</v>
      </c>
      <c r="B383" s="3">
        <v>45849.229178240741</v>
      </c>
      <c r="C383" s="2" t="s">
        <v>1981</v>
      </c>
      <c r="D383" s="2" t="s">
        <v>53</v>
      </c>
      <c r="E383" s="2" t="s">
        <v>28</v>
      </c>
      <c r="F383" s="2">
        <v>5000</v>
      </c>
      <c r="G383" s="2">
        <v>4</v>
      </c>
      <c r="H383" s="2">
        <v>0</v>
      </c>
      <c r="I383">
        <f t="shared" si="25"/>
        <v>20000</v>
      </c>
      <c r="J383">
        <f t="shared" si="26"/>
        <v>0</v>
      </c>
      <c r="K383" s="6">
        <f t="shared" si="27"/>
        <v>20000</v>
      </c>
      <c r="L383" s="2">
        <v>18000</v>
      </c>
      <c r="M383" s="6">
        <f>Table1[[#This Row],[Total Sales]]+Table1[[#This Row],[Shipping Fee]]</f>
        <v>38000</v>
      </c>
      <c r="N383" s="2" t="s">
        <v>29</v>
      </c>
      <c r="O383" t="str">
        <f>VLOOKUP(Table1[[#This Row],[Order ID]],Status!A:B, 2,FALSE)</f>
        <v>Completed</v>
      </c>
      <c r="P383" s="2" t="s">
        <v>30</v>
      </c>
      <c r="Q383" s="2">
        <v>1</v>
      </c>
      <c r="R383" s="2" t="s">
        <v>24</v>
      </c>
      <c r="S383" s="11" t="str">
        <f t="shared" si="28"/>
        <v>Rendah</v>
      </c>
      <c r="T383" s="2" t="str">
        <f t="shared" si="29"/>
        <v>Sangat Rendah</v>
      </c>
    </row>
    <row r="384" spans="1:20" ht="15.75" customHeight="1" x14ac:dyDescent="0.3">
      <c r="A384" s="4" t="s">
        <v>1991</v>
      </c>
      <c r="B384" s="3">
        <v>45849.123298611114</v>
      </c>
      <c r="C384" s="2" t="s">
        <v>285</v>
      </c>
      <c r="D384" s="2" t="s">
        <v>20</v>
      </c>
      <c r="E384" s="2" t="s">
        <v>75</v>
      </c>
      <c r="F384" s="2">
        <v>55000</v>
      </c>
      <c r="G384" s="2">
        <v>5</v>
      </c>
      <c r="H384" s="2">
        <v>10</v>
      </c>
      <c r="I384">
        <f t="shared" si="25"/>
        <v>275000</v>
      </c>
      <c r="J384">
        <f t="shared" si="26"/>
        <v>27500</v>
      </c>
      <c r="K384" s="6">
        <f t="shared" si="27"/>
        <v>247500</v>
      </c>
      <c r="L384" s="2">
        <v>15000</v>
      </c>
      <c r="M384" s="6">
        <f>Table1[[#This Row],[Total Sales]]+Table1[[#This Row],[Shipping Fee]]</f>
        <v>262500</v>
      </c>
      <c r="N384" s="2" t="s">
        <v>35</v>
      </c>
      <c r="O384" t="str">
        <f>VLOOKUP(Table1[[#This Row],[Order ID]],Status!A:B, 2,FALSE)</f>
        <v>Completed</v>
      </c>
      <c r="P384" s="2" t="s">
        <v>36</v>
      </c>
      <c r="Q384" s="2">
        <v>2</v>
      </c>
      <c r="R384" s="2" t="s">
        <v>37</v>
      </c>
      <c r="S384" s="11" t="str">
        <f t="shared" si="28"/>
        <v>Rendah</v>
      </c>
      <c r="T384" s="2" t="str">
        <f t="shared" si="29"/>
        <v>Tinggi</v>
      </c>
    </row>
    <row r="385" spans="1:20" ht="15.75" customHeight="1" x14ac:dyDescent="0.3">
      <c r="A385" s="4" t="s">
        <v>1990</v>
      </c>
      <c r="B385" s="3">
        <v>45849.088379629633</v>
      </c>
      <c r="C385" s="2" t="s">
        <v>1582</v>
      </c>
      <c r="D385" s="2" t="s">
        <v>80</v>
      </c>
      <c r="E385" s="2" t="s">
        <v>110</v>
      </c>
      <c r="F385" s="2">
        <v>6000</v>
      </c>
      <c r="G385" s="2">
        <v>2</v>
      </c>
      <c r="H385" s="2">
        <v>10</v>
      </c>
      <c r="I385">
        <f t="shared" si="25"/>
        <v>12000</v>
      </c>
      <c r="J385">
        <f t="shared" si="26"/>
        <v>1200</v>
      </c>
      <c r="K385" s="6">
        <f t="shared" si="27"/>
        <v>10800</v>
      </c>
      <c r="L385" s="2">
        <v>74000</v>
      </c>
      <c r="M385" s="6">
        <f>Table1[[#This Row],[Total Sales]]+Table1[[#This Row],[Shipping Fee]]</f>
        <v>84800</v>
      </c>
      <c r="N385" s="2" t="s">
        <v>29</v>
      </c>
      <c r="O385" t="str">
        <f>VLOOKUP(Table1[[#This Row],[Order ID]],Status!A:B, 2,FALSE)</f>
        <v>Returned</v>
      </c>
      <c r="P385" s="2" t="s">
        <v>23</v>
      </c>
      <c r="Q385" s="2">
        <v>4</v>
      </c>
      <c r="R385" s="2" t="s">
        <v>24</v>
      </c>
      <c r="S385" s="11" t="str">
        <f t="shared" si="28"/>
        <v>Bagus</v>
      </c>
      <c r="T385" s="2" t="str">
        <f t="shared" si="29"/>
        <v>Sangat Rendah</v>
      </c>
    </row>
    <row r="386" spans="1:20" ht="15.75" customHeight="1" x14ac:dyDescent="0.3">
      <c r="A386" s="4" t="s">
        <v>1989</v>
      </c>
      <c r="B386" s="3">
        <v>45849.076111111113</v>
      </c>
      <c r="C386" s="2" t="s">
        <v>582</v>
      </c>
      <c r="D386" s="2" t="s">
        <v>435</v>
      </c>
      <c r="E386" s="2" t="s">
        <v>123</v>
      </c>
      <c r="F386" s="2">
        <v>22000</v>
      </c>
      <c r="G386" s="2">
        <v>2</v>
      </c>
      <c r="H386" s="2">
        <v>5</v>
      </c>
      <c r="I386">
        <f t="shared" ref="I386:I449" si="30">F386*G386</f>
        <v>44000</v>
      </c>
      <c r="J386">
        <f t="shared" ref="J386:J449" si="31">I386*H386/100</f>
        <v>2200</v>
      </c>
      <c r="K386" s="6">
        <f t="shared" ref="K386:K449" si="32">I386-J386</f>
        <v>41800</v>
      </c>
      <c r="L386" s="2">
        <v>67000</v>
      </c>
      <c r="M386" s="6">
        <f>Table1[[#This Row],[Total Sales]]+Table1[[#This Row],[Shipping Fee]]</f>
        <v>108800</v>
      </c>
      <c r="N386" s="2" t="s">
        <v>22</v>
      </c>
      <c r="O386" t="str">
        <f>VLOOKUP(Table1[[#This Row],[Order ID]],Status!A:B, 2,FALSE)</f>
        <v>Completed</v>
      </c>
      <c r="P386" s="2" t="s">
        <v>23</v>
      </c>
      <c r="Q386" s="2">
        <v>3</v>
      </c>
      <c r="R386" s="2" t="s">
        <v>24</v>
      </c>
      <c r="S386" s="11" t="str">
        <f t="shared" ref="S386:S449" si="33">_xlfn.IFS(Q386&gt;3,"Bagus",Q386=3,"Standar",Q386&lt;3,"Rendah")</f>
        <v>Standar</v>
      </c>
      <c r="T386" s="2" t="str">
        <f t="shared" ref="T386:T449" si="34">_xlfn.IFS(J386&lt;=5000,"Sangat Rendah", J386&lt;=10000,"Rendah", J386&lt;=20000, "Normal", J386&lt;=35000, "Tinggi", J386&lt;= 50000, "Sangat Tinggi", J386&gt;50000, "Clearance")</f>
        <v>Sangat Rendah</v>
      </c>
    </row>
    <row r="387" spans="1:20" ht="15.75" customHeight="1" x14ac:dyDescent="0.3">
      <c r="A387" s="4" t="s">
        <v>1988</v>
      </c>
      <c r="B387" s="3">
        <v>45849.034849537027</v>
      </c>
      <c r="C387" s="2" t="s">
        <v>1033</v>
      </c>
      <c r="D387" s="2" t="s">
        <v>122</v>
      </c>
      <c r="E387" s="2" t="s">
        <v>104</v>
      </c>
      <c r="F387" s="2">
        <v>30000</v>
      </c>
      <c r="G387" s="2">
        <v>4</v>
      </c>
      <c r="H387" s="2">
        <v>0</v>
      </c>
      <c r="I387">
        <f t="shared" si="30"/>
        <v>120000</v>
      </c>
      <c r="J387">
        <f t="shared" si="31"/>
        <v>0</v>
      </c>
      <c r="K387" s="6">
        <f t="shared" si="32"/>
        <v>120000</v>
      </c>
      <c r="L387" s="2">
        <v>78000</v>
      </c>
      <c r="M387" s="6">
        <f>Table1[[#This Row],[Total Sales]]+Table1[[#This Row],[Shipping Fee]]</f>
        <v>198000</v>
      </c>
      <c r="N387" s="2" t="s">
        <v>22</v>
      </c>
      <c r="O387" t="str">
        <f>VLOOKUP(Table1[[#This Row],[Order ID]],Status!A:B, 2,FALSE)</f>
        <v>Completed</v>
      </c>
      <c r="P387" s="2" t="s">
        <v>23</v>
      </c>
      <c r="Q387" s="2">
        <v>3</v>
      </c>
      <c r="R387" s="2" t="s">
        <v>24</v>
      </c>
      <c r="S387" s="11" t="str">
        <f t="shared" si="33"/>
        <v>Standar</v>
      </c>
      <c r="T387" s="2" t="str">
        <f t="shared" si="34"/>
        <v>Sangat Rendah</v>
      </c>
    </row>
    <row r="388" spans="1:20" ht="15.75" customHeight="1" x14ac:dyDescent="0.3">
      <c r="A388" s="4" t="s">
        <v>1987</v>
      </c>
      <c r="B388" s="3">
        <v>45849.028819444437</v>
      </c>
      <c r="C388" s="2" t="s">
        <v>1091</v>
      </c>
      <c r="D388" s="2" t="s">
        <v>160</v>
      </c>
      <c r="E388" s="2" t="s">
        <v>21</v>
      </c>
      <c r="F388" s="2">
        <v>45000</v>
      </c>
      <c r="G388" s="2">
        <v>3</v>
      </c>
      <c r="H388" s="2">
        <v>10</v>
      </c>
      <c r="I388">
        <f t="shared" si="30"/>
        <v>135000</v>
      </c>
      <c r="J388">
        <f t="shared" si="31"/>
        <v>13500</v>
      </c>
      <c r="K388" s="6">
        <f t="shared" si="32"/>
        <v>121500</v>
      </c>
      <c r="L388" s="2">
        <v>68000</v>
      </c>
      <c r="M388" s="6">
        <f>Table1[[#This Row],[Total Sales]]+Table1[[#This Row],[Shipping Fee]]</f>
        <v>189500</v>
      </c>
      <c r="N388" s="2" t="s">
        <v>29</v>
      </c>
      <c r="O388" t="str">
        <f>VLOOKUP(Table1[[#This Row],[Order ID]],Status!A:B, 2,FALSE)</f>
        <v>Completed</v>
      </c>
      <c r="P388" s="2" t="s">
        <v>46</v>
      </c>
      <c r="Q388" s="2">
        <v>2</v>
      </c>
      <c r="R388" s="2" t="s">
        <v>37</v>
      </c>
      <c r="S388" s="11" t="str">
        <f t="shared" si="33"/>
        <v>Rendah</v>
      </c>
      <c r="T388" s="2" t="str">
        <f t="shared" si="34"/>
        <v>Normal</v>
      </c>
    </row>
    <row r="389" spans="1:20" ht="15.75" customHeight="1" x14ac:dyDescent="0.3">
      <c r="A389" s="4" t="s">
        <v>1986</v>
      </c>
      <c r="B389" s="3">
        <v>45848.957627314812</v>
      </c>
      <c r="C389" s="2" t="s">
        <v>307</v>
      </c>
      <c r="D389" s="2" t="s">
        <v>70</v>
      </c>
      <c r="E389" s="2" t="s">
        <v>110</v>
      </c>
      <c r="F389" s="2">
        <v>6000</v>
      </c>
      <c r="G389" s="2">
        <v>2</v>
      </c>
      <c r="H389" s="2">
        <v>0</v>
      </c>
      <c r="I389">
        <f t="shared" si="30"/>
        <v>12000</v>
      </c>
      <c r="J389">
        <f t="shared" si="31"/>
        <v>0</v>
      </c>
      <c r="K389" s="6">
        <f t="shared" si="32"/>
        <v>12000</v>
      </c>
      <c r="L389" s="2">
        <v>89000</v>
      </c>
      <c r="M389" s="6">
        <f>Table1[[#This Row],[Total Sales]]+Table1[[#This Row],[Shipping Fee]]</f>
        <v>101000</v>
      </c>
      <c r="N389" s="2" t="s">
        <v>22</v>
      </c>
      <c r="O389" t="str">
        <f>VLOOKUP(Table1[[#This Row],[Order ID]],Status!A:B, 2,FALSE)</f>
        <v>Completed</v>
      </c>
      <c r="P389" s="2" t="s">
        <v>82</v>
      </c>
      <c r="Q389" s="2">
        <v>3</v>
      </c>
      <c r="R389" s="2" t="s">
        <v>24</v>
      </c>
      <c r="S389" s="11" t="str">
        <f t="shared" si="33"/>
        <v>Standar</v>
      </c>
      <c r="T389" s="2" t="str">
        <f t="shared" si="34"/>
        <v>Sangat Rendah</v>
      </c>
    </row>
    <row r="390" spans="1:20" ht="15.75" customHeight="1" x14ac:dyDescent="0.3">
      <c r="A390" s="4" t="s">
        <v>1984</v>
      </c>
      <c r="B390" s="3">
        <v>45848.851747685178</v>
      </c>
      <c r="C390" s="2" t="s">
        <v>1985</v>
      </c>
      <c r="D390" s="2" t="s">
        <v>20</v>
      </c>
      <c r="E390" s="2" t="s">
        <v>67</v>
      </c>
      <c r="F390" s="2">
        <v>15000</v>
      </c>
      <c r="G390" s="2">
        <v>5</v>
      </c>
      <c r="H390" s="2">
        <v>5</v>
      </c>
      <c r="I390">
        <f t="shared" si="30"/>
        <v>75000</v>
      </c>
      <c r="J390">
        <f t="shared" si="31"/>
        <v>3750</v>
      </c>
      <c r="K390" s="6">
        <f t="shared" si="32"/>
        <v>71250</v>
      </c>
      <c r="L390" s="2">
        <v>15000</v>
      </c>
      <c r="M390" s="6">
        <f>Table1[[#This Row],[Total Sales]]+Table1[[#This Row],[Shipping Fee]]</f>
        <v>86250</v>
      </c>
      <c r="N390" s="2" t="s">
        <v>35</v>
      </c>
      <c r="O390" t="str">
        <f>VLOOKUP(Table1[[#This Row],[Order ID]],Status!A:B, 2,FALSE)</f>
        <v>Completed</v>
      </c>
      <c r="P390" s="2" t="s">
        <v>82</v>
      </c>
      <c r="Q390" s="2">
        <v>4</v>
      </c>
      <c r="R390" s="2" t="s">
        <v>24</v>
      </c>
      <c r="S390" s="11" t="str">
        <f t="shared" si="33"/>
        <v>Bagus</v>
      </c>
      <c r="T390" s="2" t="str">
        <f t="shared" si="34"/>
        <v>Sangat Rendah</v>
      </c>
    </row>
    <row r="391" spans="1:20" ht="15.75" customHeight="1" x14ac:dyDescent="0.3">
      <c r="A391" s="4" t="s">
        <v>1983</v>
      </c>
      <c r="B391" s="3">
        <v>45848.737233796302</v>
      </c>
      <c r="C391" s="2" t="s">
        <v>48</v>
      </c>
      <c r="D391" s="2" t="s">
        <v>49</v>
      </c>
      <c r="E391" s="2" t="s">
        <v>110</v>
      </c>
      <c r="F391" s="2">
        <v>6000</v>
      </c>
      <c r="G391" s="2">
        <v>4</v>
      </c>
      <c r="H391" s="2">
        <v>0</v>
      </c>
      <c r="I391">
        <f t="shared" si="30"/>
        <v>24000</v>
      </c>
      <c r="J391">
        <f t="shared" si="31"/>
        <v>0</v>
      </c>
      <c r="K391" s="6">
        <f t="shared" si="32"/>
        <v>24000</v>
      </c>
      <c r="L391" s="2">
        <v>43000</v>
      </c>
      <c r="M391" s="6">
        <f>Table1[[#This Row],[Total Sales]]+Table1[[#This Row],[Shipping Fee]]</f>
        <v>67000</v>
      </c>
      <c r="N391" s="2" t="s">
        <v>35</v>
      </c>
      <c r="O391" t="str">
        <f>VLOOKUP(Table1[[#This Row],[Order ID]],Status!A:B, 2,FALSE)</f>
        <v>Completed</v>
      </c>
      <c r="P391" s="2" t="s">
        <v>36</v>
      </c>
      <c r="Q391" s="2">
        <v>4</v>
      </c>
      <c r="R391" s="2" t="s">
        <v>24</v>
      </c>
      <c r="S391" s="11" t="str">
        <f t="shared" si="33"/>
        <v>Bagus</v>
      </c>
      <c r="T391" s="2" t="str">
        <f t="shared" si="34"/>
        <v>Sangat Rendah</v>
      </c>
    </row>
    <row r="392" spans="1:20" ht="15.75" customHeight="1" x14ac:dyDescent="0.3">
      <c r="A392" s="4" t="s">
        <v>1982</v>
      </c>
      <c r="B392" s="3">
        <v>45848.026932870373</v>
      </c>
      <c r="C392" s="2" t="s">
        <v>626</v>
      </c>
      <c r="D392" s="2" t="s">
        <v>296</v>
      </c>
      <c r="E392" s="2" t="s">
        <v>41</v>
      </c>
      <c r="F392" s="2">
        <v>4000</v>
      </c>
      <c r="G392" s="2">
        <v>5</v>
      </c>
      <c r="H392" s="2">
        <v>15</v>
      </c>
      <c r="I392">
        <f t="shared" si="30"/>
        <v>20000</v>
      </c>
      <c r="J392">
        <f t="shared" si="31"/>
        <v>3000</v>
      </c>
      <c r="K392" s="6">
        <f t="shared" si="32"/>
        <v>17000</v>
      </c>
      <c r="L392" s="2">
        <v>79000</v>
      </c>
      <c r="M392" s="6">
        <f>Table1[[#This Row],[Total Sales]]+Table1[[#This Row],[Shipping Fee]]</f>
        <v>96000</v>
      </c>
      <c r="N392" s="2" t="s">
        <v>63</v>
      </c>
      <c r="O392" t="str">
        <f>VLOOKUP(Table1[[#This Row],[Order ID]],Status!A:B, 2,FALSE)</f>
        <v>Completed</v>
      </c>
      <c r="P392" s="2" t="s">
        <v>46</v>
      </c>
      <c r="Q392" s="2">
        <v>2</v>
      </c>
      <c r="R392" s="2" t="s">
        <v>24</v>
      </c>
      <c r="S392" s="11" t="str">
        <f t="shared" si="33"/>
        <v>Rendah</v>
      </c>
      <c r="T392" s="2" t="str">
        <f t="shared" si="34"/>
        <v>Sangat Rendah</v>
      </c>
    </row>
    <row r="393" spans="1:20" ht="15.75" customHeight="1" x14ac:dyDescent="0.3">
      <c r="A393" s="4" t="s">
        <v>1980</v>
      </c>
      <c r="B393" s="3">
        <v>45847.992627314823</v>
      </c>
      <c r="C393" s="2" t="s">
        <v>1981</v>
      </c>
      <c r="D393" s="2" t="s">
        <v>53</v>
      </c>
      <c r="E393" s="2" t="s">
        <v>174</v>
      </c>
      <c r="F393" s="2">
        <v>10000</v>
      </c>
      <c r="G393" s="2">
        <v>1</v>
      </c>
      <c r="H393" s="2">
        <v>5</v>
      </c>
      <c r="I393">
        <f t="shared" si="30"/>
        <v>10000</v>
      </c>
      <c r="J393">
        <f t="shared" si="31"/>
        <v>500</v>
      </c>
      <c r="K393" s="6">
        <f t="shared" si="32"/>
        <v>9500</v>
      </c>
      <c r="L393" s="2">
        <v>18000</v>
      </c>
      <c r="M393" s="6">
        <f>Table1[[#This Row],[Total Sales]]+Table1[[#This Row],[Shipping Fee]]</f>
        <v>27500</v>
      </c>
      <c r="N393" s="2" t="s">
        <v>63</v>
      </c>
      <c r="O393" t="str">
        <f>VLOOKUP(Table1[[#This Row],[Order ID]],Status!A:B, 2,FALSE)</f>
        <v>Completed</v>
      </c>
      <c r="P393" s="2" t="s">
        <v>30</v>
      </c>
      <c r="Q393" s="2">
        <v>3</v>
      </c>
      <c r="R393" s="2" t="s">
        <v>24</v>
      </c>
      <c r="S393" s="11" t="str">
        <f t="shared" si="33"/>
        <v>Standar</v>
      </c>
      <c r="T393" s="2" t="str">
        <f t="shared" si="34"/>
        <v>Sangat Rendah</v>
      </c>
    </row>
    <row r="394" spans="1:20" ht="15.75" customHeight="1" x14ac:dyDescent="0.3">
      <c r="A394" s="4" t="s">
        <v>1978</v>
      </c>
      <c r="B394" s="3">
        <v>45847.898356481477</v>
      </c>
      <c r="C394" s="2" t="s">
        <v>1979</v>
      </c>
      <c r="D394" s="2" t="s">
        <v>103</v>
      </c>
      <c r="E394" s="2" t="s">
        <v>34</v>
      </c>
      <c r="F394" s="2">
        <v>16000</v>
      </c>
      <c r="G394" s="2">
        <v>5</v>
      </c>
      <c r="H394" s="2">
        <v>5</v>
      </c>
      <c r="I394">
        <f t="shared" si="30"/>
        <v>80000</v>
      </c>
      <c r="J394">
        <f t="shared" si="31"/>
        <v>4000</v>
      </c>
      <c r="K394" s="6">
        <f t="shared" si="32"/>
        <v>76000</v>
      </c>
      <c r="L394" s="2">
        <v>85000</v>
      </c>
      <c r="M394" s="6">
        <f>Table1[[#This Row],[Total Sales]]+Table1[[#This Row],[Shipping Fee]]</f>
        <v>161000</v>
      </c>
      <c r="N394" s="2" t="s">
        <v>63</v>
      </c>
      <c r="O394" t="str">
        <f>VLOOKUP(Table1[[#This Row],[Order ID]],Status!A:B, 2,FALSE)</f>
        <v>Returned</v>
      </c>
      <c r="P394" s="2" t="s">
        <v>36</v>
      </c>
      <c r="Q394" s="2">
        <v>5</v>
      </c>
      <c r="R394" s="2" t="s">
        <v>24</v>
      </c>
      <c r="S394" s="11" t="str">
        <f t="shared" si="33"/>
        <v>Bagus</v>
      </c>
      <c r="T394" s="2" t="str">
        <f t="shared" si="34"/>
        <v>Sangat Rendah</v>
      </c>
    </row>
    <row r="395" spans="1:20" ht="15.75" customHeight="1" x14ac:dyDescent="0.3">
      <c r="A395" s="4" t="s">
        <v>1977</v>
      </c>
      <c r="B395" s="3">
        <v>45847.887870370367</v>
      </c>
      <c r="C395" s="2" t="s">
        <v>446</v>
      </c>
      <c r="D395" s="2" t="s">
        <v>296</v>
      </c>
      <c r="E395" s="2" t="s">
        <v>104</v>
      </c>
      <c r="F395" s="2">
        <v>30000</v>
      </c>
      <c r="G395" s="2">
        <v>2</v>
      </c>
      <c r="H395" s="2">
        <v>15</v>
      </c>
      <c r="I395">
        <f t="shared" si="30"/>
        <v>60000</v>
      </c>
      <c r="J395">
        <f t="shared" si="31"/>
        <v>9000</v>
      </c>
      <c r="K395" s="6">
        <f t="shared" si="32"/>
        <v>51000</v>
      </c>
      <c r="L395" s="2">
        <v>79000</v>
      </c>
      <c r="M395" s="6">
        <f>Table1[[#This Row],[Total Sales]]+Table1[[#This Row],[Shipping Fee]]</f>
        <v>130000</v>
      </c>
      <c r="N395" s="2" t="s">
        <v>63</v>
      </c>
      <c r="O395" t="str">
        <f>VLOOKUP(Table1[[#This Row],[Order ID]],Status!A:B, 2,FALSE)</f>
        <v>Returned</v>
      </c>
      <c r="P395" s="2" t="s">
        <v>36</v>
      </c>
      <c r="Q395" s="2">
        <v>4</v>
      </c>
      <c r="R395" s="2" t="s">
        <v>37</v>
      </c>
      <c r="S395" s="11" t="str">
        <f t="shared" si="33"/>
        <v>Bagus</v>
      </c>
      <c r="T395" s="2" t="str">
        <f t="shared" si="34"/>
        <v>Rendah</v>
      </c>
    </row>
    <row r="396" spans="1:20" ht="15.75" customHeight="1" x14ac:dyDescent="0.3">
      <c r="A396" s="4" t="s">
        <v>1976</v>
      </c>
      <c r="B396" s="3">
        <v>45847.678333333337</v>
      </c>
      <c r="C396" s="2" t="s">
        <v>515</v>
      </c>
      <c r="D396" s="2" t="s">
        <v>182</v>
      </c>
      <c r="E396" s="2" t="s">
        <v>104</v>
      </c>
      <c r="F396" s="2">
        <v>30000</v>
      </c>
      <c r="G396" s="2">
        <v>4</v>
      </c>
      <c r="H396" s="2">
        <v>0</v>
      </c>
      <c r="I396">
        <f t="shared" si="30"/>
        <v>120000</v>
      </c>
      <c r="J396">
        <f t="shared" si="31"/>
        <v>0</v>
      </c>
      <c r="K396" s="6">
        <f t="shared" si="32"/>
        <v>120000</v>
      </c>
      <c r="L396" s="2">
        <v>48000</v>
      </c>
      <c r="M396" s="6">
        <f>Table1[[#This Row],[Total Sales]]+Table1[[#This Row],[Shipping Fee]]</f>
        <v>168000</v>
      </c>
      <c r="N396" s="2" t="s">
        <v>35</v>
      </c>
      <c r="O396" t="str">
        <f>VLOOKUP(Table1[[#This Row],[Order ID]],Status!A:B, 2,FALSE)</f>
        <v>Completed</v>
      </c>
      <c r="P396" s="2" t="s">
        <v>46</v>
      </c>
      <c r="Q396" s="2">
        <v>3</v>
      </c>
      <c r="R396" s="2" t="s">
        <v>24</v>
      </c>
      <c r="S396" s="11" t="str">
        <f t="shared" si="33"/>
        <v>Standar</v>
      </c>
      <c r="T396" s="2" t="str">
        <f t="shared" si="34"/>
        <v>Sangat Rendah</v>
      </c>
    </row>
    <row r="397" spans="1:20" ht="15.75" customHeight="1" x14ac:dyDescent="0.3">
      <c r="A397" s="4" t="s">
        <v>1975</v>
      </c>
      <c r="B397" s="3">
        <v>45847.271192129629</v>
      </c>
      <c r="C397" s="2" t="s">
        <v>169</v>
      </c>
      <c r="D397" s="2" t="s">
        <v>170</v>
      </c>
      <c r="E397" s="2" t="s">
        <v>110</v>
      </c>
      <c r="F397" s="2">
        <v>6000</v>
      </c>
      <c r="G397" s="2">
        <v>4</v>
      </c>
      <c r="H397" s="2">
        <v>15</v>
      </c>
      <c r="I397">
        <f t="shared" si="30"/>
        <v>24000</v>
      </c>
      <c r="J397">
        <f t="shared" si="31"/>
        <v>3600</v>
      </c>
      <c r="K397" s="6">
        <f t="shared" si="32"/>
        <v>20400</v>
      </c>
      <c r="L397" s="2">
        <v>46000</v>
      </c>
      <c r="M397" s="6">
        <f>Table1[[#This Row],[Total Sales]]+Table1[[#This Row],[Shipping Fee]]</f>
        <v>66400</v>
      </c>
      <c r="N397" s="2" t="s">
        <v>63</v>
      </c>
      <c r="O397" t="str">
        <f>VLOOKUP(Table1[[#This Row],[Order ID]],Status!A:B, 2,FALSE)</f>
        <v>Completed</v>
      </c>
      <c r="P397" s="2" t="s">
        <v>23</v>
      </c>
      <c r="Q397" s="2">
        <v>4</v>
      </c>
      <c r="R397" s="2" t="s">
        <v>24</v>
      </c>
      <c r="S397" s="11" t="str">
        <f t="shared" si="33"/>
        <v>Bagus</v>
      </c>
      <c r="T397" s="2" t="str">
        <f t="shared" si="34"/>
        <v>Sangat Rendah</v>
      </c>
    </row>
    <row r="398" spans="1:20" ht="15.75" customHeight="1" x14ac:dyDescent="0.3">
      <c r="A398" s="4" t="s">
        <v>1974</v>
      </c>
      <c r="B398" s="3">
        <v>45847.043194444443</v>
      </c>
      <c r="C398" s="2" t="s">
        <v>218</v>
      </c>
      <c r="D398" s="2" t="s">
        <v>170</v>
      </c>
      <c r="E398" s="2" t="s">
        <v>75</v>
      </c>
      <c r="F398" s="2">
        <v>55000</v>
      </c>
      <c r="G398" s="2">
        <v>4</v>
      </c>
      <c r="H398" s="2">
        <v>15</v>
      </c>
      <c r="I398">
        <f t="shared" si="30"/>
        <v>220000</v>
      </c>
      <c r="J398">
        <f t="shared" si="31"/>
        <v>33000</v>
      </c>
      <c r="K398" s="6">
        <f t="shared" si="32"/>
        <v>187000</v>
      </c>
      <c r="L398" s="2">
        <v>46000</v>
      </c>
      <c r="M398" s="6">
        <f>Table1[[#This Row],[Total Sales]]+Table1[[#This Row],[Shipping Fee]]</f>
        <v>233000</v>
      </c>
      <c r="N398" s="2" t="s">
        <v>29</v>
      </c>
      <c r="O398" t="str">
        <f>VLOOKUP(Table1[[#This Row],[Order ID]],Status!A:B, 2,FALSE)</f>
        <v>Completed</v>
      </c>
      <c r="P398" s="2" t="s">
        <v>46</v>
      </c>
      <c r="Q398" s="2">
        <v>5</v>
      </c>
      <c r="R398" s="2" t="s">
        <v>24</v>
      </c>
      <c r="S398" s="11" t="str">
        <f t="shared" si="33"/>
        <v>Bagus</v>
      </c>
      <c r="T398" s="2" t="str">
        <f t="shared" si="34"/>
        <v>Tinggi</v>
      </c>
    </row>
    <row r="399" spans="1:20" ht="15.75" customHeight="1" x14ac:dyDescent="0.3">
      <c r="A399" s="4" t="s">
        <v>1973</v>
      </c>
      <c r="B399" s="3">
        <v>45846.630798611113</v>
      </c>
      <c r="C399" s="2" t="s">
        <v>605</v>
      </c>
      <c r="D399" s="2" t="s">
        <v>151</v>
      </c>
      <c r="E399" s="2" t="s">
        <v>21</v>
      </c>
      <c r="F399" s="2">
        <v>45000</v>
      </c>
      <c r="G399" s="2">
        <v>3</v>
      </c>
      <c r="H399" s="2">
        <v>5</v>
      </c>
      <c r="I399">
        <f t="shared" si="30"/>
        <v>135000</v>
      </c>
      <c r="J399">
        <f t="shared" si="31"/>
        <v>6750</v>
      </c>
      <c r="K399" s="6">
        <f t="shared" si="32"/>
        <v>128250</v>
      </c>
      <c r="L399" s="2">
        <v>55000</v>
      </c>
      <c r="M399" s="6">
        <f>Table1[[#This Row],[Total Sales]]+Table1[[#This Row],[Shipping Fee]]</f>
        <v>183250</v>
      </c>
      <c r="N399" s="2" t="s">
        <v>35</v>
      </c>
      <c r="O399" t="str">
        <f>VLOOKUP(Table1[[#This Row],[Order ID]],Status!A:B, 2,FALSE)</f>
        <v>Returned</v>
      </c>
      <c r="P399" s="2" t="s">
        <v>30</v>
      </c>
      <c r="Q399" s="2">
        <v>3</v>
      </c>
      <c r="R399" s="2" t="s">
        <v>24</v>
      </c>
      <c r="S399" s="11" t="str">
        <f t="shared" si="33"/>
        <v>Standar</v>
      </c>
      <c r="T399" s="2" t="str">
        <f t="shared" si="34"/>
        <v>Rendah</v>
      </c>
    </row>
    <row r="400" spans="1:20" ht="15.75" customHeight="1" x14ac:dyDescent="0.3">
      <c r="A400" s="4" t="s">
        <v>1972</v>
      </c>
      <c r="B400" s="3">
        <v>45846.512372685182</v>
      </c>
      <c r="C400" s="2" t="s">
        <v>249</v>
      </c>
      <c r="D400" s="2" t="s">
        <v>49</v>
      </c>
      <c r="E400" s="2" t="s">
        <v>110</v>
      </c>
      <c r="F400" s="2">
        <v>6000</v>
      </c>
      <c r="G400" s="2">
        <v>4</v>
      </c>
      <c r="H400" s="2">
        <v>20</v>
      </c>
      <c r="I400">
        <f t="shared" si="30"/>
        <v>24000</v>
      </c>
      <c r="J400">
        <f t="shared" si="31"/>
        <v>4800</v>
      </c>
      <c r="K400" s="6">
        <f t="shared" si="32"/>
        <v>19200</v>
      </c>
      <c r="L400" s="2">
        <v>43000</v>
      </c>
      <c r="M400" s="6">
        <f>Table1[[#This Row],[Total Sales]]+Table1[[#This Row],[Shipping Fee]]</f>
        <v>62200</v>
      </c>
      <c r="N400" s="2" t="s">
        <v>22</v>
      </c>
      <c r="O400" t="str">
        <f>VLOOKUP(Table1[[#This Row],[Order ID]],Status!A:B, 2,FALSE)</f>
        <v>Completed</v>
      </c>
      <c r="P400" s="2" t="s">
        <v>36</v>
      </c>
      <c r="Q400" s="2">
        <v>3</v>
      </c>
      <c r="R400" s="2" t="s">
        <v>24</v>
      </c>
      <c r="S400" s="11" t="str">
        <f t="shared" si="33"/>
        <v>Standar</v>
      </c>
      <c r="T400" s="2" t="str">
        <f t="shared" si="34"/>
        <v>Sangat Rendah</v>
      </c>
    </row>
    <row r="401" spans="1:20" ht="15.75" customHeight="1" x14ac:dyDescent="0.3">
      <c r="A401" s="4" t="s">
        <v>1971</v>
      </c>
      <c r="B401" s="3">
        <v>45846.435439814813</v>
      </c>
      <c r="C401" s="2" t="s">
        <v>410</v>
      </c>
      <c r="D401" s="2" t="s">
        <v>151</v>
      </c>
      <c r="E401" s="2" t="s">
        <v>88</v>
      </c>
      <c r="F401" s="2">
        <v>14000</v>
      </c>
      <c r="G401" s="2">
        <v>3</v>
      </c>
      <c r="H401" s="2">
        <v>15</v>
      </c>
      <c r="I401">
        <f t="shared" si="30"/>
        <v>42000</v>
      </c>
      <c r="J401">
        <f t="shared" si="31"/>
        <v>6300</v>
      </c>
      <c r="K401" s="6">
        <f t="shared" si="32"/>
        <v>35700</v>
      </c>
      <c r="L401" s="2">
        <v>55000</v>
      </c>
      <c r="M401" s="6">
        <f>Table1[[#This Row],[Total Sales]]+Table1[[#This Row],[Shipping Fee]]</f>
        <v>90700</v>
      </c>
      <c r="N401" s="2" t="s">
        <v>29</v>
      </c>
      <c r="O401" t="str">
        <f>VLOOKUP(Table1[[#This Row],[Order ID]],Status!A:B, 2,FALSE)</f>
        <v>Completed</v>
      </c>
      <c r="P401" s="2" t="s">
        <v>23</v>
      </c>
      <c r="Q401" s="2">
        <v>1</v>
      </c>
      <c r="R401" s="2" t="s">
        <v>24</v>
      </c>
      <c r="S401" s="11" t="str">
        <f t="shared" si="33"/>
        <v>Rendah</v>
      </c>
      <c r="T401" s="2" t="str">
        <f t="shared" si="34"/>
        <v>Rendah</v>
      </c>
    </row>
    <row r="402" spans="1:20" ht="15.75" customHeight="1" x14ac:dyDescent="0.3">
      <c r="A402" s="4" t="s">
        <v>1969</v>
      </c>
      <c r="B402" s="3">
        <v>45846.359699074077</v>
      </c>
      <c r="C402" s="2" t="s">
        <v>1970</v>
      </c>
      <c r="D402" s="2" t="s">
        <v>70</v>
      </c>
      <c r="E402" s="2" t="s">
        <v>186</v>
      </c>
      <c r="F402" s="2">
        <v>45000</v>
      </c>
      <c r="G402" s="2">
        <v>4</v>
      </c>
      <c r="H402" s="2">
        <v>5</v>
      </c>
      <c r="I402">
        <f t="shared" si="30"/>
        <v>180000</v>
      </c>
      <c r="J402">
        <f t="shared" si="31"/>
        <v>9000</v>
      </c>
      <c r="K402" s="6">
        <f t="shared" si="32"/>
        <v>171000</v>
      </c>
      <c r="L402" s="2">
        <v>89000</v>
      </c>
      <c r="M402" s="6">
        <f>Table1[[#This Row],[Total Sales]]+Table1[[#This Row],[Shipping Fee]]</f>
        <v>260000</v>
      </c>
      <c r="N402" s="2" t="s">
        <v>29</v>
      </c>
      <c r="O402" t="str">
        <f>VLOOKUP(Table1[[#This Row],[Order ID]],Status!A:B, 2,FALSE)</f>
        <v>Returned</v>
      </c>
      <c r="P402" s="2" t="s">
        <v>46</v>
      </c>
      <c r="Q402" s="2">
        <v>4</v>
      </c>
      <c r="R402" s="2" t="s">
        <v>24</v>
      </c>
      <c r="S402" s="11" t="str">
        <f t="shared" si="33"/>
        <v>Bagus</v>
      </c>
      <c r="T402" s="2" t="str">
        <f t="shared" si="34"/>
        <v>Rendah</v>
      </c>
    </row>
    <row r="403" spans="1:20" ht="15.75" customHeight="1" x14ac:dyDescent="0.3">
      <c r="A403" s="4" t="s">
        <v>1969</v>
      </c>
      <c r="B403" s="3">
        <v>45846.359699074077</v>
      </c>
      <c r="C403" s="2" t="s">
        <v>1970</v>
      </c>
      <c r="D403" s="2" t="s">
        <v>70</v>
      </c>
      <c r="E403" s="2" t="s">
        <v>62</v>
      </c>
      <c r="F403" s="2">
        <v>50000</v>
      </c>
      <c r="G403" s="2">
        <v>3</v>
      </c>
      <c r="H403" s="2">
        <v>15</v>
      </c>
      <c r="I403">
        <f t="shared" si="30"/>
        <v>150000</v>
      </c>
      <c r="J403">
        <f t="shared" si="31"/>
        <v>22500</v>
      </c>
      <c r="K403" s="6">
        <f t="shared" si="32"/>
        <v>127500</v>
      </c>
      <c r="L403" s="2">
        <v>0</v>
      </c>
      <c r="M403" s="6">
        <f>Table1[[#This Row],[Total Sales]]+Table1[[#This Row],[Shipping Fee]]</f>
        <v>127500</v>
      </c>
      <c r="N403" s="2" t="s">
        <v>29</v>
      </c>
      <c r="O403" t="str">
        <f>VLOOKUP(Table1[[#This Row],[Order ID]],Status!A:B, 2,FALSE)</f>
        <v>Returned</v>
      </c>
      <c r="P403" s="2" t="s">
        <v>46</v>
      </c>
      <c r="Q403" s="2">
        <v>4</v>
      </c>
      <c r="R403" s="2" t="s">
        <v>24</v>
      </c>
      <c r="S403" s="11" t="str">
        <f t="shared" si="33"/>
        <v>Bagus</v>
      </c>
      <c r="T403" s="2" t="str">
        <f t="shared" si="34"/>
        <v>Tinggi</v>
      </c>
    </row>
    <row r="404" spans="1:20" ht="15.75" customHeight="1" x14ac:dyDescent="0.3">
      <c r="A404" s="4" t="s">
        <v>1968</v>
      </c>
      <c r="B404" s="3">
        <v>45846.129247685189</v>
      </c>
      <c r="C404" s="2" t="s">
        <v>109</v>
      </c>
      <c r="D404" s="2" t="s">
        <v>49</v>
      </c>
      <c r="E404" s="2" t="s">
        <v>62</v>
      </c>
      <c r="F404" s="2">
        <v>50000</v>
      </c>
      <c r="G404" s="2">
        <v>4</v>
      </c>
      <c r="H404" s="2">
        <v>15</v>
      </c>
      <c r="I404">
        <f t="shared" si="30"/>
        <v>200000</v>
      </c>
      <c r="J404">
        <f t="shared" si="31"/>
        <v>30000</v>
      </c>
      <c r="K404" s="6">
        <f t="shared" si="32"/>
        <v>170000</v>
      </c>
      <c r="L404" s="2">
        <v>43000</v>
      </c>
      <c r="M404" s="6">
        <f>Table1[[#This Row],[Total Sales]]+Table1[[#This Row],[Shipping Fee]]</f>
        <v>213000</v>
      </c>
      <c r="N404" s="2" t="s">
        <v>22</v>
      </c>
      <c r="O404" t="str">
        <f>VLOOKUP(Table1[[#This Row],[Order ID]],Status!A:B, 2,FALSE)</f>
        <v>Returned</v>
      </c>
      <c r="P404" s="2" t="s">
        <v>36</v>
      </c>
      <c r="Q404" s="2">
        <v>1</v>
      </c>
      <c r="R404" s="2" t="s">
        <v>24</v>
      </c>
      <c r="S404" s="11" t="str">
        <f t="shared" si="33"/>
        <v>Rendah</v>
      </c>
      <c r="T404" s="2" t="str">
        <f t="shared" si="34"/>
        <v>Tinggi</v>
      </c>
    </row>
    <row r="405" spans="1:20" ht="15.75" customHeight="1" x14ac:dyDescent="0.3">
      <c r="A405" s="4" t="s">
        <v>1967</v>
      </c>
      <c r="B405" s="3">
        <v>45845.829988425918</v>
      </c>
      <c r="C405" s="2" t="s">
        <v>924</v>
      </c>
      <c r="D405" s="2" t="s">
        <v>20</v>
      </c>
      <c r="E405" s="2" t="s">
        <v>38</v>
      </c>
      <c r="F405" s="2">
        <v>28000</v>
      </c>
      <c r="G405" s="2">
        <v>3</v>
      </c>
      <c r="H405" s="2">
        <v>0</v>
      </c>
      <c r="I405">
        <f t="shared" si="30"/>
        <v>84000</v>
      </c>
      <c r="J405">
        <f t="shared" si="31"/>
        <v>0</v>
      </c>
      <c r="K405" s="6">
        <f t="shared" si="32"/>
        <v>84000</v>
      </c>
      <c r="L405" s="2">
        <v>15000</v>
      </c>
      <c r="M405" s="6">
        <f>Table1[[#This Row],[Total Sales]]+Table1[[#This Row],[Shipping Fee]]</f>
        <v>99000</v>
      </c>
      <c r="N405" s="2" t="s">
        <v>35</v>
      </c>
      <c r="O405" t="str">
        <f>VLOOKUP(Table1[[#This Row],[Order ID]],Status!A:B, 2,FALSE)</f>
        <v>Completed</v>
      </c>
      <c r="P405" s="2" t="s">
        <v>46</v>
      </c>
      <c r="Q405" s="2">
        <v>5</v>
      </c>
      <c r="R405" s="2" t="s">
        <v>37</v>
      </c>
      <c r="S405" s="11" t="str">
        <f t="shared" si="33"/>
        <v>Bagus</v>
      </c>
      <c r="T405" s="2" t="str">
        <f t="shared" si="34"/>
        <v>Sangat Rendah</v>
      </c>
    </row>
    <row r="406" spans="1:20" ht="15.75" customHeight="1" x14ac:dyDescent="0.3">
      <c r="A406" s="4" t="s">
        <v>1966</v>
      </c>
      <c r="B406" s="3">
        <v>45845.371365740742</v>
      </c>
      <c r="C406" s="2" t="s">
        <v>261</v>
      </c>
      <c r="D406" s="2" t="s">
        <v>262</v>
      </c>
      <c r="E406" s="2" t="s">
        <v>190</v>
      </c>
      <c r="F406" s="2">
        <v>35000</v>
      </c>
      <c r="G406" s="2">
        <v>1</v>
      </c>
      <c r="H406" s="2">
        <v>0</v>
      </c>
      <c r="I406">
        <f t="shared" si="30"/>
        <v>35000</v>
      </c>
      <c r="J406">
        <f t="shared" si="31"/>
        <v>0</v>
      </c>
      <c r="K406" s="6">
        <f t="shared" si="32"/>
        <v>35000</v>
      </c>
      <c r="L406" s="2">
        <v>18000</v>
      </c>
      <c r="M406" s="6">
        <f>Table1[[#This Row],[Total Sales]]+Table1[[#This Row],[Shipping Fee]]</f>
        <v>53000</v>
      </c>
      <c r="N406" s="2" t="s">
        <v>29</v>
      </c>
      <c r="O406" t="str">
        <f>VLOOKUP(Table1[[#This Row],[Order ID]],Status!A:B, 2,FALSE)</f>
        <v>Returned</v>
      </c>
      <c r="P406" s="2" t="s">
        <v>46</v>
      </c>
      <c r="Q406" s="2">
        <v>1</v>
      </c>
      <c r="R406" s="2" t="s">
        <v>24</v>
      </c>
      <c r="S406" s="11" t="str">
        <f t="shared" si="33"/>
        <v>Rendah</v>
      </c>
      <c r="T406" s="2" t="str">
        <f t="shared" si="34"/>
        <v>Sangat Rendah</v>
      </c>
    </row>
    <row r="407" spans="1:20" ht="15.75" customHeight="1" x14ac:dyDescent="0.3">
      <c r="A407" s="4" t="s">
        <v>1965</v>
      </c>
      <c r="B407" s="3">
        <v>45845.244791666657</v>
      </c>
      <c r="C407" s="2" t="s">
        <v>808</v>
      </c>
      <c r="D407" s="2" t="s">
        <v>61</v>
      </c>
      <c r="E407" s="2" t="s">
        <v>45</v>
      </c>
      <c r="F407" s="2">
        <v>40000</v>
      </c>
      <c r="G407" s="2">
        <v>2</v>
      </c>
      <c r="H407" s="2">
        <v>15</v>
      </c>
      <c r="I407">
        <f t="shared" si="30"/>
        <v>80000</v>
      </c>
      <c r="J407">
        <f t="shared" si="31"/>
        <v>12000</v>
      </c>
      <c r="K407" s="6">
        <f t="shared" si="32"/>
        <v>68000</v>
      </c>
      <c r="L407" s="2">
        <v>26000</v>
      </c>
      <c r="M407" s="6">
        <f>Table1[[#This Row],[Total Sales]]+Table1[[#This Row],[Shipping Fee]]</f>
        <v>94000</v>
      </c>
      <c r="N407" s="2" t="s">
        <v>22</v>
      </c>
      <c r="O407" t="str">
        <f>VLOOKUP(Table1[[#This Row],[Order ID]],Status!A:B, 2,FALSE)</f>
        <v>Completed</v>
      </c>
      <c r="P407" s="2" t="s">
        <v>82</v>
      </c>
      <c r="Q407" s="2">
        <v>4</v>
      </c>
      <c r="R407" s="2" t="s">
        <v>24</v>
      </c>
      <c r="S407" s="11" t="str">
        <f t="shared" si="33"/>
        <v>Bagus</v>
      </c>
      <c r="T407" s="2" t="str">
        <f t="shared" si="34"/>
        <v>Normal</v>
      </c>
    </row>
    <row r="408" spans="1:20" ht="15.75" customHeight="1" x14ac:dyDescent="0.3">
      <c r="A408" s="4" t="s">
        <v>1964</v>
      </c>
      <c r="B408" s="3">
        <v>45845.04115740741</v>
      </c>
      <c r="C408" s="2" t="s">
        <v>772</v>
      </c>
      <c r="D408" s="2" t="s">
        <v>113</v>
      </c>
      <c r="E408" s="2" t="s">
        <v>34</v>
      </c>
      <c r="F408" s="2">
        <v>16000</v>
      </c>
      <c r="G408" s="2">
        <v>3</v>
      </c>
      <c r="H408" s="2">
        <v>20</v>
      </c>
      <c r="I408">
        <f t="shared" si="30"/>
        <v>48000</v>
      </c>
      <c r="J408">
        <f t="shared" si="31"/>
        <v>9600</v>
      </c>
      <c r="K408" s="6">
        <f t="shared" si="32"/>
        <v>38400</v>
      </c>
      <c r="L408" s="2">
        <v>18000</v>
      </c>
      <c r="M408" s="6">
        <f>Table1[[#This Row],[Total Sales]]+Table1[[#This Row],[Shipping Fee]]</f>
        <v>56400</v>
      </c>
      <c r="N408" s="2" t="s">
        <v>35</v>
      </c>
      <c r="O408" t="str">
        <f>VLOOKUP(Table1[[#This Row],[Order ID]],Status!A:B, 2,FALSE)</f>
        <v>Completed</v>
      </c>
      <c r="P408" s="2" t="s">
        <v>23</v>
      </c>
      <c r="Q408" s="2">
        <v>5</v>
      </c>
      <c r="R408" s="2" t="s">
        <v>24</v>
      </c>
      <c r="S408" s="11" t="str">
        <f t="shared" si="33"/>
        <v>Bagus</v>
      </c>
      <c r="T408" s="2" t="str">
        <f t="shared" si="34"/>
        <v>Rendah</v>
      </c>
    </row>
    <row r="409" spans="1:20" ht="15.75" customHeight="1" x14ac:dyDescent="0.3">
      <c r="A409" s="4" t="s">
        <v>1964</v>
      </c>
      <c r="B409" s="3">
        <v>45845.04115740741</v>
      </c>
      <c r="C409" s="2" t="s">
        <v>772</v>
      </c>
      <c r="D409" s="2" t="s">
        <v>113</v>
      </c>
      <c r="E409" s="2" t="s">
        <v>144</v>
      </c>
      <c r="F409" s="2">
        <v>18000</v>
      </c>
      <c r="G409" s="2">
        <v>5</v>
      </c>
      <c r="H409" s="2">
        <v>10</v>
      </c>
      <c r="I409">
        <f t="shared" si="30"/>
        <v>90000</v>
      </c>
      <c r="J409">
        <f t="shared" si="31"/>
        <v>9000</v>
      </c>
      <c r="K409" s="6">
        <f t="shared" si="32"/>
        <v>81000</v>
      </c>
      <c r="L409" s="2">
        <v>0</v>
      </c>
      <c r="M409" s="6">
        <f>Table1[[#This Row],[Total Sales]]+Table1[[#This Row],[Shipping Fee]]</f>
        <v>81000</v>
      </c>
      <c r="N409" s="2" t="s">
        <v>35</v>
      </c>
      <c r="O409" t="str">
        <f>VLOOKUP(Table1[[#This Row],[Order ID]],Status!A:B, 2,FALSE)</f>
        <v>Completed</v>
      </c>
      <c r="P409" s="2" t="s">
        <v>23</v>
      </c>
      <c r="Q409" s="2">
        <v>5</v>
      </c>
      <c r="R409" s="2" t="s">
        <v>24</v>
      </c>
      <c r="S409" s="11" t="str">
        <f t="shared" si="33"/>
        <v>Bagus</v>
      </c>
      <c r="T409" s="2" t="str">
        <f t="shared" si="34"/>
        <v>Rendah</v>
      </c>
    </row>
    <row r="410" spans="1:20" ht="15.75" customHeight="1" x14ac:dyDescent="0.3">
      <c r="A410" s="4" t="s">
        <v>1963</v>
      </c>
      <c r="B410" s="3">
        <v>45844.525231481479</v>
      </c>
      <c r="C410" s="2" t="s">
        <v>91</v>
      </c>
      <c r="D410" s="2" t="s">
        <v>92</v>
      </c>
      <c r="E410" s="2" t="s">
        <v>186</v>
      </c>
      <c r="F410" s="2">
        <v>45000</v>
      </c>
      <c r="G410" s="2">
        <v>1</v>
      </c>
      <c r="H410" s="2">
        <v>15</v>
      </c>
      <c r="I410">
        <f t="shared" si="30"/>
        <v>45000</v>
      </c>
      <c r="J410">
        <f t="shared" si="31"/>
        <v>6750</v>
      </c>
      <c r="K410" s="6">
        <f t="shared" si="32"/>
        <v>38250</v>
      </c>
      <c r="L410" s="2">
        <v>30000</v>
      </c>
      <c r="M410" s="6">
        <f>Table1[[#This Row],[Total Sales]]+Table1[[#This Row],[Shipping Fee]]</f>
        <v>68250</v>
      </c>
      <c r="N410" s="2" t="s">
        <v>22</v>
      </c>
      <c r="O410" t="str">
        <f>VLOOKUP(Table1[[#This Row],[Order ID]],Status!A:B, 2,FALSE)</f>
        <v>Completed</v>
      </c>
      <c r="P410" s="2" t="s">
        <v>23</v>
      </c>
      <c r="Q410" s="2">
        <v>3</v>
      </c>
      <c r="R410" s="2" t="s">
        <v>24</v>
      </c>
      <c r="S410" s="11" t="str">
        <f t="shared" si="33"/>
        <v>Standar</v>
      </c>
      <c r="T410" s="2" t="str">
        <f t="shared" si="34"/>
        <v>Rendah</v>
      </c>
    </row>
    <row r="411" spans="1:20" ht="15.75" customHeight="1" x14ac:dyDescent="0.3">
      <c r="A411" s="4" t="s">
        <v>1962</v>
      </c>
      <c r="B411" s="3">
        <v>45844.357835648138</v>
      </c>
      <c r="C411" s="2" t="s">
        <v>201</v>
      </c>
      <c r="D411" s="2" t="s">
        <v>107</v>
      </c>
      <c r="E411" s="2" t="s">
        <v>38</v>
      </c>
      <c r="F411" s="2">
        <v>28000</v>
      </c>
      <c r="G411" s="2">
        <v>5</v>
      </c>
      <c r="H411" s="2">
        <v>15</v>
      </c>
      <c r="I411">
        <f t="shared" si="30"/>
        <v>140000</v>
      </c>
      <c r="J411">
        <f t="shared" si="31"/>
        <v>21000</v>
      </c>
      <c r="K411" s="6">
        <f t="shared" si="32"/>
        <v>119000</v>
      </c>
      <c r="L411" s="2">
        <v>97000</v>
      </c>
      <c r="M411" s="6">
        <f>Table1[[#This Row],[Total Sales]]+Table1[[#This Row],[Shipping Fee]]</f>
        <v>216000</v>
      </c>
      <c r="N411" s="2" t="s">
        <v>29</v>
      </c>
      <c r="O411" t="str">
        <f>VLOOKUP(Table1[[#This Row],[Order ID]],Status!A:B, 2,FALSE)</f>
        <v>Completed</v>
      </c>
      <c r="P411" s="2" t="s">
        <v>82</v>
      </c>
      <c r="Q411" s="2">
        <v>2</v>
      </c>
      <c r="R411" s="2" t="s">
        <v>24</v>
      </c>
      <c r="S411" s="11" t="str">
        <f t="shared" si="33"/>
        <v>Rendah</v>
      </c>
      <c r="T411" s="2" t="str">
        <f t="shared" si="34"/>
        <v>Tinggi</v>
      </c>
    </row>
    <row r="412" spans="1:20" ht="15.75" customHeight="1" x14ac:dyDescent="0.3">
      <c r="A412" s="4" t="s">
        <v>1961</v>
      </c>
      <c r="B412" s="3">
        <v>45844.212384259263</v>
      </c>
      <c r="C412" s="2" t="s">
        <v>289</v>
      </c>
      <c r="D412" s="2" t="s">
        <v>20</v>
      </c>
      <c r="E412" s="2" t="s">
        <v>71</v>
      </c>
      <c r="F412" s="2">
        <v>40000</v>
      </c>
      <c r="G412" s="2">
        <v>1</v>
      </c>
      <c r="H412" s="2">
        <v>0</v>
      </c>
      <c r="I412">
        <f t="shared" si="30"/>
        <v>40000</v>
      </c>
      <c r="J412">
        <f t="shared" si="31"/>
        <v>0</v>
      </c>
      <c r="K412" s="6">
        <f t="shared" si="32"/>
        <v>40000</v>
      </c>
      <c r="L412" s="2">
        <v>15000</v>
      </c>
      <c r="M412" s="6">
        <f>Table1[[#This Row],[Total Sales]]+Table1[[#This Row],[Shipping Fee]]</f>
        <v>55000</v>
      </c>
      <c r="N412" s="2" t="s">
        <v>63</v>
      </c>
      <c r="O412" t="str">
        <f>VLOOKUP(Table1[[#This Row],[Order ID]],Status!A:B, 2,FALSE)</f>
        <v>Completed</v>
      </c>
      <c r="P412" s="2" t="s">
        <v>36</v>
      </c>
      <c r="Q412" s="2">
        <v>1</v>
      </c>
      <c r="R412" s="2" t="s">
        <v>24</v>
      </c>
      <c r="S412" s="11" t="str">
        <f t="shared" si="33"/>
        <v>Rendah</v>
      </c>
      <c r="T412" s="2" t="str">
        <f t="shared" si="34"/>
        <v>Sangat Rendah</v>
      </c>
    </row>
    <row r="413" spans="1:20" ht="15.75" customHeight="1" x14ac:dyDescent="0.3">
      <c r="A413" s="4" t="s">
        <v>1960</v>
      </c>
      <c r="B413" s="3">
        <v>45844.037314814806</v>
      </c>
      <c r="C413" s="2" t="s">
        <v>1083</v>
      </c>
      <c r="D413" s="2" t="s">
        <v>170</v>
      </c>
      <c r="E413" s="2" t="s">
        <v>110</v>
      </c>
      <c r="F413" s="2">
        <v>6000</v>
      </c>
      <c r="G413" s="2">
        <v>1</v>
      </c>
      <c r="H413" s="2">
        <v>15</v>
      </c>
      <c r="I413">
        <f t="shared" si="30"/>
        <v>6000</v>
      </c>
      <c r="J413">
        <f t="shared" si="31"/>
        <v>900</v>
      </c>
      <c r="K413" s="6">
        <f t="shared" si="32"/>
        <v>5100</v>
      </c>
      <c r="L413" s="2">
        <v>46000</v>
      </c>
      <c r="M413" s="6">
        <f>Table1[[#This Row],[Total Sales]]+Table1[[#This Row],[Shipping Fee]]</f>
        <v>51100</v>
      </c>
      <c r="N413" s="2" t="s">
        <v>35</v>
      </c>
      <c r="O413" t="str">
        <f>VLOOKUP(Table1[[#This Row],[Order ID]],Status!A:B, 2,FALSE)</f>
        <v>Completed</v>
      </c>
      <c r="P413" s="2" t="s">
        <v>82</v>
      </c>
      <c r="Q413" s="2">
        <v>5</v>
      </c>
      <c r="R413" s="2" t="s">
        <v>24</v>
      </c>
      <c r="S413" s="11" t="str">
        <f t="shared" si="33"/>
        <v>Bagus</v>
      </c>
      <c r="T413" s="2" t="str">
        <f t="shared" si="34"/>
        <v>Sangat Rendah</v>
      </c>
    </row>
    <row r="414" spans="1:20" ht="15.75" customHeight="1" x14ac:dyDescent="0.3">
      <c r="A414" s="4" t="s">
        <v>1959</v>
      </c>
      <c r="B414" s="3">
        <v>45843.706342592603</v>
      </c>
      <c r="C414" s="2" t="s">
        <v>1278</v>
      </c>
      <c r="D414" s="2" t="s">
        <v>74</v>
      </c>
      <c r="E414" s="2" t="s">
        <v>71</v>
      </c>
      <c r="F414" s="2">
        <v>40000</v>
      </c>
      <c r="G414" s="2">
        <v>5</v>
      </c>
      <c r="H414" s="2">
        <v>15</v>
      </c>
      <c r="I414">
        <f t="shared" si="30"/>
        <v>200000</v>
      </c>
      <c r="J414">
        <f t="shared" si="31"/>
        <v>30000</v>
      </c>
      <c r="K414" s="6">
        <f t="shared" si="32"/>
        <v>170000</v>
      </c>
      <c r="L414" s="2">
        <v>87000</v>
      </c>
      <c r="M414" s="6">
        <f>Table1[[#This Row],[Total Sales]]+Table1[[#This Row],[Shipping Fee]]</f>
        <v>257000</v>
      </c>
      <c r="N414" s="2" t="s">
        <v>35</v>
      </c>
      <c r="O414" t="str">
        <f>VLOOKUP(Table1[[#This Row],[Order ID]],Status!A:B, 2,FALSE)</f>
        <v>Returned</v>
      </c>
      <c r="P414" s="2" t="s">
        <v>36</v>
      </c>
      <c r="Q414" s="2">
        <v>4</v>
      </c>
      <c r="R414" s="2" t="s">
        <v>24</v>
      </c>
      <c r="S414" s="11" t="str">
        <f t="shared" si="33"/>
        <v>Bagus</v>
      </c>
      <c r="T414" s="2" t="str">
        <f t="shared" si="34"/>
        <v>Tinggi</v>
      </c>
    </row>
    <row r="415" spans="1:20" ht="15.75" customHeight="1" x14ac:dyDescent="0.3">
      <c r="A415" s="4" t="s">
        <v>1958</v>
      </c>
      <c r="B415" s="3">
        <v>45843.655636574083</v>
      </c>
      <c r="C415" s="2" t="s">
        <v>1654</v>
      </c>
      <c r="D415" s="2" t="s">
        <v>74</v>
      </c>
      <c r="E415" s="2" t="s">
        <v>34</v>
      </c>
      <c r="F415" s="2">
        <v>16000</v>
      </c>
      <c r="G415" s="2">
        <v>2</v>
      </c>
      <c r="H415" s="2">
        <v>0</v>
      </c>
      <c r="I415">
        <f t="shared" si="30"/>
        <v>32000</v>
      </c>
      <c r="J415">
        <f t="shared" si="31"/>
        <v>0</v>
      </c>
      <c r="K415" s="6">
        <f t="shared" si="32"/>
        <v>32000</v>
      </c>
      <c r="L415" s="2">
        <v>87000</v>
      </c>
      <c r="M415" s="6">
        <f>Table1[[#This Row],[Total Sales]]+Table1[[#This Row],[Shipping Fee]]</f>
        <v>119000</v>
      </c>
      <c r="N415" s="2" t="s">
        <v>35</v>
      </c>
      <c r="O415" t="str">
        <f>VLOOKUP(Table1[[#This Row],[Order ID]],Status!A:B, 2,FALSE)</f>
        <v>Returned</v>
      </c>
      <c r="P415" s="2" t="s">
        <v>36</v>
      </c>
      <c r="Q415" s="2">
        <v>4</v>
      </c>
      <c r="R415" s="2" t="s">
        <v>37</v>
      </c>
      <c r="S415" s="11" t="str">
        <f t="shared" si="33"/>
        <v>Bagus</v>
      </c>
      <c r="T415" s="2" t="str">
        <f t="shared" si="34"/>
        <v>Sangat Rendah</v>
      </c>
    </row>
    <row r="416" spans="1:20" ht="15.75" customHeight="1" x14ac:dyDescent="0.3">
      <c r="A416" s="4" t="s">
        <v>1957</v>
      </c>
      <c r="B416" s="3">
        <v>45843.090069444443</v>
      </c>
      <c r="C416" s="2" t="s">
        <v>359</v>
      </c>
      <c r="D416" s="2" t="s">
        <v>70</v>
      </c>
      <c r="E416" s="2" t="s">
        <v>123</v>
      </c>
      <c r="F416" s="2">
        <v>22000</v>
      </c>
      <c r="G416" s="2">
        <v>5</v>
      </c>
      <c r="H416" s="2">
        <v>0</v>
      </c>
      <c r="I416">
        <f t="shared" si="30"/>
        <v>110000</v>
      </c>
      <c r="J416">
        <f t="shared" si="31"/>
        <v>0</v>
      </c>
      <c r="K416" s="6">
        <f t="shared" si="32"/>
        <v>110000</v>
      </c>
      <c r="L416" s="2">
        <v>89000</v>
      </c>
      <c r="M416" s="6">
        <f>Table1[[#This Row],[Total Sales]]+Table1[[#This Row],[Shipping Fee]]</f>
        <v>199000</v>
      </c>
      <c r="N416" s="2" t="s">
        <v>35</v>
      </c>
      <c r="O416" t="str">
        <f>VLOOKUP(Table1[[#This Row],[Order ID]],Status!A:B, 2,FALSE)</f>
        <v>Returned</v>
      </c>
      <c r="P416" s="2" t="s">
        <v>82</v>
      </c>
      <c r="Q416" s="2">
        <v>2</v>
      </c>
      <c r="R416" s="2" t="s">
        <v>24</v>
      </c>
      <c r="S416" s="11" t="str">
        <f t="shared" si="33"/>
        <v>Rendah</v>
      </c>
      <c r="T416" s="2" t="str">
        <f t="shared" si="34"/>
        <v>Sangat Rendah</v>
      </c>
    </row>
    <row r="417" spans="1:20" ht="15.75" customHeight="1" x14ac:dyDescent="0.3">
      <c r="A417" s="4" t="s">
        <v>1956</v>
      </c>
      <c r="B417" s="3">
        <v>45842.943124999998</v>
      </c>
      <c r="C417" s="2" t="s">
        <v>121</v>
      </c>
      <c r="D417" s="2" t="s">
        <v>122</v>
      </c>
      <c r="E417" s="2" t="s">
        <v>75</v>
      </c>
      <c r="F417" s="2">
        <v>55000</v>
      </c>
      <c r="G417" s="2">
        <v>2</v>
      </c>
      <c r="H417" s="2">
        <v>0</v>
      </c>
      <c r="I417">
        <f t="shared" si="30"/>
        <v>110000</v>
      </c>
      <c r="J417">
        <f t="shared" si="31"/>
        <v>0</v>
      </c>
      <c r="K417" s="6">
        <f t="shared" si="32"/>
        <v>110000</v>
      </c>
      <c r="L417" s="2">
        <v>78000</v>
      </c>
      <c r="M417" s="6">
        <f>Table1[[#This Row],[Total Sales]]+Table1[[#This Row],[Shipping Fee]]</f>
        <v>188000</v>
      </c>
      <c r="N417" s="2" t="s">
        <v>29</v>
      </c>
      <c r="O417" t="str">
        <f>VLOOKUP(Table1[[#This Row],[Order ID]],Status!A:B, 2,FALSE)</f>
        <v>Completed</v>
      </c>
      <c r="P417" s="2" t="s">
        <v>82</v>
      </c>
      <c r="Q417" s="2">
        <v>1</v>
      </c>
      <c r="R417" s="2" t="s">
        <v>24</v>
      </c>
      <c r="S417" s="11" t="str">
        <f t="shared" si="33"/>
        <v>Rendah</v>
      </c>
      <c r="T417" s="2" t="str">
        <f t="shared" si="34"/>
        <v>Sangat Rendah</v>
      </c>
    </row>
    <row r="418" spans="1:20" ht="15.75" customHeight="1" x14ac:dyDescent="0.3">
      <c r="A418" s="4" t="s">
        <v>1955</v>
      </c>
      <c r="B418" s="3">
        <v>45842.601006944453</v>
      </c>
      <c r="C418" s="2" t="s">
        <v>1424</v>
      </c>
      <c r="D418" s="2" t="s">
        <v>296</v>
      </c>
      <c r="E418" s="2" t="s">
        <v>174</v>
      </c>
      <c r="F418" s="2">
        <v>10000</v>
      </c>
      <c r="G418" s="2">
        <v>3</v>
      </c>
      <c r="H418" s="2">
        <v>0</v>
      </c>
      <c r="I418">
        <f t="shared" si="30"/>
        <v>30000</v>
      </c>
      <c r="J418">
        <f t="shared" si="31"/>
        <v>0</v>
      </c>
      <c r="K418" s="6">
        <f t="shared" si="32"/>
        <v>30000</v>
      </c>
      <c r="L418" s="2">
        <v>79000</v>
      </c>
      <c r="M418" s="6">
        <f>Table1[[#This Row],[Total Sales]]+Table1[[#This Row],[Shipping Fee]]</f>
        <v>109000</v>
      </c>
      <c r="N418" s="2" t="s">
        <v>22</v>
      </c>
      <c r="O418" t="str">
        <f>VLOOKUP(Table1[[#This Row],[Order ID]],Status!A:B, 2,FALSE)</f>
        <v>Completed</v>
      </c>
      <c r="P418" s="2" t="s">
        <v>30</v>
      </c>
      <c r="Q418" s="2">
        <v>1</v>
      </c>
      <c r="R418" s="2" t="s">
        <v>24</v>
      </c>
      <c r="S418" s="11" t="str">
        <f t="shared" si="33"/>
        <v>Rendah</v>
      </c>
      <c r="T418" s="2" t="str">
        <f t="shared" si="34"/>
        <v>Sangat Rendah</v>
      </c>
    </row>
    <row r="419" spans="1:20" ht="15.75" customHeight="1" x14ac:dyDescent="0.3">
      <c r="A419" s="4" t="s">
        <v>1954</v>
      </c>
      <c r="B419" s="3">
        <v>45842.444108796299</v>
      </c>
      <c r="C419" s="2" t="s">
        <v>216</v>
      </c>
      <c r="D419" s="2" t="s">
        <v>143</v>
      </c>
      <c r="E419" s="2" t="s">
        <v>88</v>
      </c>
      <c r="F419" s="2">
        <v>14000</v>
      </c>
      <c r="G419" s="2">
        <v>2</v>
      </c>
      <c r="H419" s="2">
        <v>10</v>
      </c>
      <c r="I419">
        <f t="shared" si="30"/>
        <v>28000</v>
      </c>
      <c r="J419">
        <f t="shared" si="31"/>
        <v>2800</v>
      </c>
      <c r="K419" s="6">
        <f t="shared" si="32"/>
        <v>25200</v>
      </c>
      <c r="L419" s="2">
        <v>50000</v>
      </c>
      <c r="M419" s="6">
        <f>Table1[[#This Row],[Total Sales]]+Table1[[#This Row],[Shipping Fee]]</f>
        <v>75200</v>
      </c>
      <c r="N419" s="2" t="s">
        <v>35</v>
      </c>
      <c r="O419" t="str">
        <f>VLOOKUP(Table1[[#This Row],[Order ID]],Status!A:B, 2,FALSE)</f>
        <v>Completed</v>
      </c>
      <c r="P419" s="2" t="s">
        <v>82</v>
      </c>
      <c r="Q419" s="2">
        <v>5</v>
      </c>
      <c r="R419" s="2" t="s">
        <v>24</v>
      </c>
      <c r="S419" s="11" t="str">
        <f t="shared" si="33"/>
        <v>Bagus</v>
      </c>
      <c r="T419" s="2" t="str">
        <f t="shared" si="34"/>
        <v>Sangat Rendah</v>
      </c>
    </row>
    <row r="420" spans="1:20" ht="15.75" customHeight="1" x14ac:dyDescent="0.3">
      <c r="A420" s="4" t="s">
        <v>1953</v>
      </c>
      <c r="B420" s="3">
        <v>45842.444062499999</v>
      </c>
      <c r="C420" s="2" t="s">
        <v>246</v>
      </c>
      <c r="D420" s="2" t="s">
        <v>238</v>
      </c>
      <c r="E420" s="2" t="s">
        <v>50</v>
      </c>
      <c r="F420" s="2">
        <v>14000</v>
      </c>
      <c r="G420" s="2">
        <v>2</v>
      </c>
      <c r="H420" s="2">
        <v>15</v>
      </c>
      <c r="I420">
        <f t="shared" si="30"/>
        <v>28000</v>
      </c>
      <c r="J420">
        <f t="shared" si="31"/>
        <v>4200</v>
      </c>
      <c r="K420" s="6">
        <f t="shared" si="32"/>
        <v>23800</v>
      </c>
      <c r="L420" s="2">
        <v>28000</v>
      </c>
      <c r="M420" s="6">
        <f>Table1[[#This Row],[Total Sales]]+Table1[[#This Row],[Shipping Fee]]</f>
        <v>51800</v>
      </c>
      <c r="N420" s="2" t="s">
        <v>22</v>
      </c>
      <c r="O420" t="str">
        <f>VLOOKUP(Table1[[#This Row],[Order ID]],Status!A:B, 2,FALSE)</f>
        <v>Completed</v>
      </c>
      <c r="P420" s="2" t="s">
        <v>30</v>
      </c>
      <c r="Q420" s="2">
        <v>5</v>
      </c>
      <c r="R420" s="2" t="s">
        <v>24</v>
      </c>
      <c r="S420" s="11" t="str">
        <f t="shared" si="33"/>
        <v>Bagus</v>
      </c>
      <c r="T420" s="2" t="str">
        <f t="shared" si="34"/>
        <v>Sangat Rendah</v>
      </c>
    </row>
    <row r="421" spans="1:20" ht="15.75" customHeight="1" x14ac:dyDescent="0.3">
      <c r="A421" s="4" t="s">
        <v>1952</v>
      </c>
      <c r="B421" s="3">
        <v>45842.25236111111</v>
      </c>
      <c r="C421" s="2" t="s">
        <v>821</v>
      </c>
      <c r="D421" s="2" t="s">
        <v>131</v>
      </c>
      <c r="E421" s="2" t="s">
        <v>34</v>
      </c>
      <c r="F421" s="2">
        <v>16000</v>
      </c>
      <c r="G421" s="2">
        <v>3</v>
      </c>
      <c r="H421" s="2">
        <v>0</v>
      </c>
      <c r="I421">
        <f t="shared" si="30"/>
        <v>48000</v>
      </c>
      <c r="J421">
        <f t="shared" si="31"/>
        <v>0</v>
      </c>
      <c r="K421" s="6">
        <f t="shared" si="32"/>
        <v>48000</v>
      </c>
      <c r="L421" s="2">
        <v>59000</v>
      </c>
      <c r="M421" s="6">
        <f>Table1[[#This Row],[Total Sales]]+Table1[[#This Row],[Shipping Fee]]</f>
        <v>107000</v>
      </c>
      <c r="N421" s="2" t="s">
        <v>63</v>
      </c>
      <c r="O421" t="str">
        <f>VLOOKUP(Table1[[#This Row],[Order ID]],Status!A:B, 2,FALSE)</f>
        <v>Completed</v>
      </c>
      <c r="P421" s="2" t="s">
        <v>23</v>
      </c>
      <c r="Q421" s="2">
        <v>4</v>
      </c>
      <c r="R421" s="2" t="s">
        <v>24</v>
      </c>
      <c r="S421" s="11" t="str">
        <f t="shared" si="33"/>
        <v>Bagus</v>
      </c>
      <c r="T421" s="2" t="str">
        <f t="shared" si="34"/>
        <v>Sangat Rendah</v>
      </c>
    </row>
    <row r="422" spans="1:20" ht="15.75" customHeight="1" x14ac:dyDescent="0.3">
      <c r="A422" s="4" t="s">
        <v>1951</v>
      </c>
      <c r="B422" s="3">
        <v>45842.227025462962</v>
      </c>
      <c r="C422" s="2" t="s">
        <v>699</v>
      </c>
      <c r="D422" s="2" t="s">
        <v>238</v>
      </c>
      <c r="E422" s="2" t="s">
        <v>123</v>
      </c>
      <c r="F422" s="2">
        <v>22000</v>
      </c>
      <c r="G422" s="2">
        <v>3</v>
      </c>
      <c r="H422" s="2">
        <v>15</v>
      </c>
      <c r="I422">
        <f t="shared" si="30"/>
        <v>66000</v>
      </c>
      <c r="J422">
        <f t="shared" si="31"/>
        <v>9900</v>
      </c>
      <c r="K422" s="6">
        <f t="shared" si="32"/>
        <v>56100</v>
      </c>
      <c r="L422" s="2">
        <v>28000</v>
      </c>
      <c r="M422" s="6">
        <f>Table1[[#This Row],[Total Sales]]+Table1[[#This Row],[Shipping Fee]]</f>
        <v>84100</v>
      </c>
      <c r="N422" s="2" t="s">
        <v>22</v>
      </c>
      <c r="O422" t="str">
        <f>VLOOKUP(Table1[[#This Row],[Order ID]],Status!A:B, 2,FALSE)</f>
        <v>Completed</v>
      </c>
      <c r="P422" s="2" t="s">
        <v>82</v>
      </c>
      <c r="Q422" s="2">
        <v>5</v>
      </c>
      <c r="R422" s="2" t="s">
        <v>37</v>
      </c>
      <c r="S422" s="11" t="str">
        <f t="shared" si="33"/>
        <v>Bagus</v>
      </c>
      <c r="T422" s="2" t="str">
        <f t="shared" si="34"/>
        <v>Rendah</v>
      </c>
    </row>
    <row r="423" spans="1:20" ht="15.75" customHeight="1" x14ac:dyDescent="0.3">
      <c r="A423" s="4" t="s">
        <v>1950</v>
      </c>
      <c r="B423" s="3">
        <v>45842.215555555558</v>
      </c>
      <c r="C423" s="2" t="s">
        <v>1624</v>
      </c>
      <c r="D423" s="2" t="s">
        <v>33</v>
      </c>
      <c r="E423" s="2" t="s">
        <v>81</v>
      </c>
      <c r="F423" s="2">
        <v>17000</v>
      </c>
      <c r="G423" s="2">
        <v>5</v>
      </c>
      <c r="H423" s="2">
        <v>20</v>
      </c>
      <c r="I423">
        <f t="shared" si="30"/>
        <v>85000</v>
      </c>
      <c r="J423">
        <f t="shared" si="31"/>
        <v>17000</v>
      </c>
      <c r="K423" s="6">
        <f t="shared" si="32"/>
        <v>68000</v>
      </c>
      <c r="L423" s="2">
        <v>76000</v>
      </c>
      <c r="M423" s="6">
        <f>Table1[[#This Row],[Total Sales]]+Table1[[#This Row],[Shipping Fee]]</f>
        <v>144000</v>
      </c>
      <c r="N423" s="2" t="s">
        <v>35</v>
      </c>
      <c r="O423" t="str">
        <f>VLOOKUP(Table1[[#This Row],[Order ID]],Status!A:B, 2,FALSE)</f>
        <v>Returned</v>
      </c>
      <c r="P423" s="2" t="s">
        <v>36</v>
      </c>
      <c r="Q423" s="2">
        <v>2</v>
      </c>
      <c r="R423" s="2" t="s">
        <v>24</v>
      </c>
      <c r="S423" s="11" t="str">
        <f t="shared" si="33"/>
        <v>Rendah</v>
      </c>
      <c r="T423" s="2" t="str">
        <f t="shared" si="34"/>
        <v>Normal</v>
      </c>
    </row>
    <row r="424" spans="1:20" ht="15.75" customHeight="1" x14ac:dyDescent="0.3">
      <c r="A424" s="4" t="s">
        <v>1949</v>
      </c>
      <c r="B424" s="3">
        <v>45842.195590277777</v>
      </c>
      <c r="C424" s="2" t="s">
        <v>48</v>
      </c>
      <c r="D424" s="2" t="s">
        <v>49</v>
      </c>
      <c r="E424" s="2" t="s">
        <v>67</v>
      </c>
      <c r="F424" s="2">
        <v>15000</v>
      </c>
      <c r="G424" s="2">
        <v>3</v>
      </c>
      <c r="H424" s="2">
        <v>15</v>
      </c>
      <c r="I424">
        <f t="shared" si="30"/>
        <v>45000</v>
      </c>
      <c r="J424">
        <f t="shared" si="31"/>
        <v>6750</v>
      </c>
      <c r="K424" s="6">
        <f t="shared" si="32"/>
        <v>38250</v>
      </c>
      <c r="L424" s="2">
        <v>43000</v>
      </c>
      <c r="M424" s="6">
        <f>Table1[[#This Row],[Total Sales]]+Table1[[#This Row],[Shipping Fee]]</f>
        <v>81250</v>
      </c>
      <c r="N424" s="2" t="s">
        <v>63</v>
      </c>
      <c r="O424" t="str">
        <f>VLOOKUP(Table1[[#This Row],[Order ID]],Status!A:B, 2,FALSE)</f>
        <v>Returned</v>
      </c>
      <c r="P424" s="2" t="s">
        <v>30</v>
      </c>
      <c r="Q424" s="2">
        <v>1</v>
      </c>
      <c r="R424" s="2" t="s">
        <v>24</v>
      </c>
      <c r="S424" s="11" t="str">
        <f t="shared" si="33"/>
        <v>Rendah</v>
      </c>
      <c r="T424" s="2" t="str">
        <f t="shared" si="34"/>
        <v>Rendah</v>
      </c>
    </row>
    <row r="425" spans="1:20" ht="15.75" customHeight="1" x14ac:dyDescent="0.3">
      <c r="A425" s="4" t="s">
        <v>1948</v>
      </c>
      <c r="B425" s="3">
        <v>45842.011111111111</v>
      </c>
      <c r="C425" s="2" t="s">
        <v>425</v>
      </c>
      <c r="D425" s="2" t="s">
        <v>44</v>
      </c>
      <c r="E425" s="2" t="s">
        <v>93</v>
      </c>
      <c r="F425" s="2">
        <v>25000</v>
      </c>
      <c r="G425" s="2">
        <v>4</v>
      </c>
      <c r="H425" s="2">
        <v>0</v>
      </c>
      <c r="I425">
        <f t="shared" si="30"/>
        <v>100000</v>
      </c>
      <c r="J425">
        <f t="shared" si="31"/>
        <v>0</v>
      </c>
      <c r="K425" s="6">
        <f t="shared" si="32"/>
        <v>100000</v>
      </c>
      <c r="L425" s="2">
        <v>93000</v>
      </c>
      <c r="M425" s="6">
        <f>Table1[[#This Row],[Total Sales]]+Table1[[#This Row],[Shipping Fee]]</f>
        <v>193000</v>
      </c>
      <c r="N425" s="2" t="s">
        <v>22</v>
      </c>
      <c r="O425" t="str">
        <f>VLOOKUP(Table1[[#This Row],[Order ID]],Status!A:B, 2,FALSE)</f>
        <v>Completed</v>
      </c>
      <c r="P425" s="2" t="s">
        <v>30</v>
      </c>
      <c r="Q425" s="2">
        <v>2</v>
      </c>
      <c r="R425" s="2" t="s">
        <v>37</v>
      </c>
      <c r="S425" s="11" t="str">
        <f t="shared" si="33"/>
        <v>Rendah</v>
      </c>
      <c r="T425" s="2" t="str">
        <f t="shared" si="34"/>
        <v>Sangat Rendah</v>
      </c>
    </row>
    <row r="426" spans="1:20" ht="15.75" customHeight="1" x14ac:dyDescent="0.3">
      <c r="A426" s="4" t="s">
        <v>1947</v>
      </c>
      <c r="B426" s="3">
        <v>45841.9294212963</v>
      </c>
      <c r="C426" s="2" t="s">
        <v>246</v>
      </c>
      <c r="D426" s="2" t="s">
        <v>238</v>
      </c>
      <c r="E426" s="2" t="s">
        <v>88</v>
      </c>
      <c r="F426" s="2">
        <v>14000</v>
      </c>
      <c r="G426" s="2">
        <v>4</v>
      </c>
      <c r="H426" s="2">
        <v>5</v>
      </c>
      <c r="I426">
        <f t="shared" si="30"/>
        <v>56000</v>
      </c>
      <c r="J426">
        <f t="shared" si="31"/>
        <v>2800</v>
      </c>
      <c r="K426" s="6">
        <f t="shared" si="32"/>
        <v>53200</v>
      </c>
      <c r="L426" s="2">
        <v>28000</v>
      </c>
      <c r="M426" s="6">
        <f>Table1[[#This Row],[Total Sales]]+Table1[[#This Row],[Shipping Fee]]</f>
        <v>81200</v>
      </c>
      <c r="N426" s="2" t="s">
        <v>22</v>
      </c>
      <c r="O426" t="str">
        <f>VLOOKUP(Table1[[#This Row],[Order ID]],Status!A:B, 2,FALSE)</f>
        <v>Completed</v>
      </c>
      <c r="P426" s="2" t="s">
        <v>36</v>
      </c>
      <c r="Q426" s="2">
        <v>5</v>
      </c>
      <c r="R426" s="2" t="s">
        <v>24</v>
      </c>
      <c r="S426" s="11" t="str">
        <f t="shared" si="33"/>
        <v>Bagus</v>
      </c>
      <c r="T426" s="2" t="str">
        <f t="shared" si="34"/>
        <v>Sangat Rendah</v>
      </c>
    </row>
    <row r="427" spans="1:20" ht="15.75" customHeight="1" x14ac:dyDescent="0.3">
      <c r="A427" s="4" t="s">
        <v>1946</v>
      </c>
      <c r="B427" s="3">
        <v>45841.764409722222</v>
      </c>
      <c r="C427" s="2" t="s">
        <v>377</v>
      </c>
      <c r="D427" s="2" t="s">
        <v>182</v>
      </c>
      <c r="E427" s="2" t="s">
        <v>88</v>
      </c>
      <c r="F427" s="2">
        <v>14000</v>
      </c>
      <c r="G427" s="2">
        <v>3</v>
      </c>
      <c r="H427" s="2">
        <v>0</v>
      </c>
      <c r="I427">
        <f t="shared" si="30"/>
        <v>42000</v>
      </c>
      <c r="J427">
        <f t="shared" si="31"/>
        <v>0</v>
      </c>
      <c r="K427" s="6">
        <f t="shared" si="32"/>
        <v>42000</v>
      </c>
      <c r="L427" s="2">
        <v>48000</v>
      </c>
      <c r="M427" s="6">
        <f>Table1[[#This Row],[Total Sales]]+Table1[[#This Row],[Shipping Fee]]</f>
        <v>90000</v>
      </c>
      <c r="N427" s="2" t="s">
        <v>22</v>
      </c>
      <c r="O427" t="str">
        <f>VLOOKUP(Table1[[#This Row],[Order ID]],Status!A:B, 2,FALSE)</f>
        <v>Completed</v>
      </c>
      <c r="P427" s="2" t="s">
        <v>36</v>
      </c>
      <c r="Q427" s="2">
        <v>1</v>
      </c>
      <c r="R427" s="2" t="s">
        <v>24</v>
      </c>
      <c r="S427" s="11" t="str">
        <f t="shared" si="33"/>
        <v>Rendah</v>
      </c>
      <c r="T427" s="2" t="str">
        <f t="shared" si="34"/>
        <v>Sangat Rendah</v>
      </c>
    </row>
    <row r="428" spans="1:20" ht="15.75" customHeight="1" x14ac:dyDescent="0.3">
      <c r="A428" s="4" t="s">
        <v>1945</v>
      </c>
      <c r="B428" s="3">
        <v>45841.462708333333</v>
      </c>
      <c r="C428" s="2" t="s">
        <v>644</v>
      </c>
      <c r="D428" s="2" t="s">
        <v>244</v>
      </c>
      <c r="E428" s="2" t="s">
        <v>144</v>
      </c>
      <c r="F428" s="2">
        <v>18000</v>
      </c>
      <c r="G428" s="2">
        <v>1</v>
      </c>
      <c r="H428" s="2">
        <v>20</v>
      </c>
      <c r="I428">
        <f t="shared" si="30"/>
        <v>18000</v>
      </c>
      <c r="J428">
        <f t="shared" si="31"/>
        <v>3600</v>
      </c>
      <c r="K428" s="6">
        <f t="shared" si="32"/>
        <v>14400</v>
      </c>
      <c r="L428" s="2">
        <v>80000</v>
      </c>
      <c r="M428" s="6">
        <f>Table1[[#This Row],[Total Sales]]+Table1[[#This Row],[Shipping Fee]]</f>
        <v>94400</v>
      </c>
      <c r="N428" s="2" t="s">
        <v>63</v>
      </c>
      <c r="O428" t="str">
        <f>VLOOKUP(Table1[[#This Row],[Order ID]],Status!A:B, 2,FALSE)</f>
        <v>Completed</v>
      </c>
      <c r="P428" s="2" t="s">
        <v>30</v>
      </c>
      <c r="Q428" s="2">
        <v>1</v>
      </c>
      <c r="R428" s="2" t="s">
        <v>24</v>
      </c>
      <c r="S428" s="11" t="str">
        <f t="shared" si="33"/>
        <v>Rendah</v>
      </c>
      <c r="T428" s="2" t="str">
        <f t="shared" si="34"/>
        <v>Sangat Rendah</v>
      </c>
    </row>
    <row r="429" spans="1:20" ht="15.75" customHeight="1" x14ac:dyDescent="0.3">
      <c r="A429" s="4" t="s">
        <v>1944</v>
      </c>
      <c r="B429" s="3">
        <v>45841.435023148151</v>
      </c>
      <c r="C429" s="2" t="s">
        <v>589</v>
      </c>
      <c r="D429" s="2" t="s">
        <v>262</v>
      </c>
      <c r="E429" s="2" t="s">
        <v>174</v>
      </c>
      <c r="F429" s="2">
        <v>10000</v>
      </c>
      <c r="G429" s="2">
        <v>4</v>
      </c>
      <c r="H429" s="2">
        <v>5</v>
      </c>
      <c r="I429">
        <f t="shared" si="30"/>
        <v>40000</v>
      </c>
      <c r="J429">
        <f t="shared" si="31"/>
        <v>2000</v>
      </c>
      <c r="K429" s="6">
        <f t="shared" si="32"/>
        <v>38000</v>
      </c>
      <c r="L429" s="2">
        <v>18000</v>
      </c>
      <c r="M429" s="6">
        <f>Table1[[#This Row],[Total Sales]]+Table1[[#This Row],[Shipping Fee]]</f>
        <v>56000</v>
      </c>
      <c r="N429" s="2" t="s">
        <v>35</v>
      </c>
      <c r="O429" t="str">
        <f>VLOOKUP(Table1[[#This Row],[Order ID]],Status!A:B, 2,FALSE)</f>
        <v>Completed</v>
      </c>
      <c r="P429" s="2" t="s">
        <v>36</v>
      </c>
      <c r="Q429" s="2">
        <v>4</v>
      </c>
      <c r="R429" s="2" t="s">
        <v>37</v>
      </c>
      <c r="S429" s="11" t="str">
        <f t="shared" si="33"/>
        <v>Bagus</v>
      </c>
      <c r="T429" s="2" t="str">
        <f t="shared" si="34"/>
        <v>Sangat Rendah</v>
      </c>
    </row>
    <row r="430" spans="1:20" ht="15.75" customHeight="1" x14ac:dyDescent="0.3">
      <c r="A430" s="4" t="s">
        <v>1944</v>
      </c>
      <c r="B430" s="3">
        <v>45841.435023148151</v>
      </c>
      <c r="C430" s="2" t="s">
        <v>589</v>
      </c>
      <c r="D430" s="2" t="s">
        <v>262</v>
      </c>
      <c r="E430" s="2" t="s">
        <v>93</v>
      </c>
      <c r="F430" s="2">
        <v>25000</v>
      </c>
      <c r="G430" s="2">
        <v>5</v>
      </c>
      <c r="H430" s="2">
        <v>0</v>
      </c>
      <c r="I430">
        <f t="shared" si="30"/>
        <v>125000</v>
      </c>
      <c r="J430">
        <f t="shared" si="31"/>
        <v>0</v>
      </c>
      <c r="K430" s="6">
        <f t="shared" si="32"/>
        <v>125000</v>
      </c>
      <c r="L430" s="2">
        <v>0</v>
      </c>
      <c r="M430" s="6">
        <f>Table1[[#This Row],[Total Sales]]+Table1[[#This Row],[Shipping Fee]]</f>
        <v>125000</v>
      </c>
      <c r="N430" s="2" t="s">
        <v>35</v>
      </c>
      <c r="O430" t="str">
        <f>VLOOKUP(Table1[[#This Row],[Order ID]],Status!A:B, 2,FALSE)</f>
        <v>Completed</v>
      </c>
      <c r="P430" s="2" t="s">
        <v>36</v>
      </c>
      <c r="Q430" s="2">
        <v>4</v>
      </c>
      <c r="R430" s="2" t="s">
        <v>37</v>
      </c>
      <c r="S430" s="11" t="str">
        <f t="shared" si="33"/>
        <v>Bagus</v>
      </c>
      <c r="T430" s="2" t="str">
        <f t="shared" si="34"/>
        <v>Sangat Rendah</v>
      </c>
    </row>
    <row r="431" spans="1:20" ht="15.75" customHeight="1" x14ac:dyDescent="0.3">
      <c r="A431" s="4" t="s">
        <v>1943</v>
      </c>
      <c r="B431" s="3">
        <v>45841.040833333333</v>
      </c>
      <c r="C431" s="2" t="s">
        <v>1047</v>
      </c>
      <c r="D431" s="2" t="s">
        <v>160</v>
      </c>
      <c r="E431" s="2" t="s">
        <v>28</v>
      </c>
      <c r="F431" s="2">
        <v>5000</v>
      </c>
      <c r="G431" s="2">
        <v>4</v>
      </c>
      <c r="H431" s="2">
        <v>20</v>
      </c>
      <c r="I431">
        <f t="shared" si="30"/>
        <v>20000</v>
      </c>
      <c r="J431">
        <f t="shared" si="31"/>
        <v>4000</v>
      </c>
      <c r="K431" s="6">
        <f t="shared" si="32"/>
        <v>16000</v>
      </c>
      <c r="L431" s="2">
        <v>68000</v>
      </c>
      <c r="M431" s="6">
        <f>Table1[[#This Row],[Total Sales]]+Table1[[#This Row],[Shipping Fee]]</f>
        <v>84000</v>
      </c>
      <c r="N431" s="2" t="s">
        <v>29</v>
      </c>
      <c r="O431" t="str">
        <f>VLOOKUP(Table1[[#This Row],[Order ID]],Status!A:B, 2,FALSE)</f>
        <v>Completed</v>
      </c>
      <c r="P431" s="2" t="s">
        <v>82</v>
      </c>
      <c r="Q431" s="2">
        <v>1</v>
      </c>
      <c r="R431" s="2" t="s">
        <v>24</v>
      </c>
      <c r="S431" s="11" t="str">
        <f t="shared" si="33"/>
        <v>Rendah</v>
      </c>
      <c r="T431" s="2" t="str">
        <f t="shared" si="34"/>
        <v>Sangat Rendah</v>
      </c>
    </row>
    <row r="432" spans="1:20" ht="15.75" customHeight="1" x14ac:dyDescent="0.3">
      <c r="A432" s="4" t="s">
        <v>1942</v>
      </c>
      <c r="B432" s="3">
        <v>45840.914421296293</v>
      </c>
      <c r="C432" s="2" t="s">
        <v>786</v>
      </c>
      <c r="D432" s="2" t="s">
        <v>107</v>
      </c>
      <c r="E432" s="2" t="s">
        <v>85</v>
      </c>
      <c r="F432" s="2">
        <v>35000</v>
      </c>
      <c r="G432" s="2">
        <v>1</v>
      </c>
      <c r="H432" s="2">
        <v>5</v>
      </c>
      <c r="I432">
        <f t="shared" si="30"/>
        <v>35000</v>
      </c>
      <c r="J432">
        <f t="shared" si="31"/>
        <v>1750</v>
      </c>
      <c r="K432" s="6">
        <f t="shared" si="32"/>
        <v>33250</v>
      </c>
      <c r="L432" s="2">
        <v>97000</v>
      </c>
      <c r="M432" s="6">
        <f>Table1[[#This Row],[Total Sales]]+Table1[[#This Row],[Shipping Fee]]</f>
        <v>130250</v>
      </c>
      <c r="N432" s="2" t="s">
        <v>35</v>
      </c>
      <c r="O432" t="str">
        <f>VLOOKUP(Table1[[#This Row],[Order ID]],Status!A:B, 2,FALSE)</f>
        <v>Returned</v>
      </c>
      <c r="P432" s="2" t="s">
        <v>36</v>
      </c>
      <c r="Q432" s="2">
        <v>4</v>
      </c>
      <c r="R432" s="2" t="s">
        <v>24</v>
      </c>
      <c r="S432" s="11" t="str">
        <f t="shared" si="33"/>
        <v>Bagus</v>
      </c>
      <c r="T432" s="2" t="str">
        <f t="shared" si="34"/>
        <v>Sangat Rendah</v>
      </c>
    </row>
    <row r="433" spans="1:20" ht="15.75" customHeight="1" x14ac:dyDescent="0.3">
      <c r="A433" s="4" t="s">
        <v>1941</v>
      </c>
      <c r="B433" s="3">
        <v>45840.9059375</v>
      </c>
      <c r="C433" s="2" t="s">
        <v>644</v>
      </c>
      <c r="D433" s="2" t="s">
        <v>244</v>
      </c>
      <c r="E433" s="2" t="s">
        <v>110</v>
      </c>
      <c r="F433" s="2">
        <v>6000</v>
      </c>
      <c r="G433" s="2">
        <v>3</v>
      </c>
      <c r="H433" s="2">
        <v>10</v>
      </c>
      <c r="I433">
        <f t="shared" si="30"/>
        <v>18000</v>
      </c>
      <c r="J433">
        <f t="shared" si="31"/>
        <v>1800</v>
      </c>
      <c r="K433" s="6">
        <f t="shared" si="32"/>
        <v>16200</v>
      </c>
      <c r="L433" s="2">
        <v>80000</v>
      </c>
      <c r="M433" s="6">
        <f>Table1[[#This Row],[Total Sales]]+Table1[[#This Row],[Shipping Fee]]</f>
        <v>96200</v>
      </c>
      <c r="N433" s="2" t="s">
        <v>63</v>
      </c>
      <c r="O433" t="str">
        <f>VLOOKUP(Table1[[#This Row],[Order ID]],Status!A:B, 2,FALSE)</f>
        <v>Completed</v>
      </c>
      <c r="P433" s="2" t="s">
        <v>30</v>
      </c>
      <c r="Q433" s="2">
        <v>5</v>
      </c>
      <c r="R433" s="2" t="s">
        <v>24</v>
      </c>
      <c r="S433" s="11" t="str">
        <f t="shared" si="33"/>
        <v>Bagus</v>
      </c>
      <c r="T433" s="2" t="str">
        <f t="shared" si="34"/>
        <v>Sangat Rendah</v>
      </c>
    </row>
    <row r="434" spans="1:20" ht="15.75" customHeight="1" x14ac:dyDescent="0.3">
      <c r="A434" s="4" t="s">
        <v>1940</v>
      </c>
      <c r="B434" s="3">
        <v>45840.905833333331</v>
      </c>
      <c r="C434" s="2" t="s">
        <v>741</v>
      </c>
      <c r="D434" s="2" t="s">
        <v>189</v>
      </c>
      <c r="E434" s="2" t="s">
        <v>190</v>
      </c>
      <c r="F434" s="2">
        <v>35000</v>
      </c>
      <c r="G434" s="2">
        <v>3</v>
      </c>
      <c r="H434" s="2">
        <v>0</v>
      </c>
      <c r="I434">
        <f t="shared" si="30"/>
        <v>105000</v>
      </c>
      <c r="J434">
        <f t="shared" si="31"/>
        <v>0</v>
      </c>
      <c r="K434" s="6">
        <f t="shared" si="32"/>
        <v>105000</v>
      </c>
      <c r="L434" s="2">
        <v>57000</v>
      </c>
      <c r="M434" s="6">
        <f>Table1[[#This Row],[Total Sales]]+Table1[[#This Row],[Shipping Fee]]</f>
        <v>162000</v>
      </c>
      <c r="N434" s="2" t="s">
        <v>22</v>
      </c>
      <c r="O434" t="str">
        <f>VLOOKUP(Table1[[#This Row],[Order ID]],Status!A:B, 2,FALSE)</f>
        <v>Completed</v>
      </c>
      <c r="P434" s="2" t="s">
        <v>82</v>
      </c>
      <c r="Q434" s="2">
        <v>2</v>
      </c>
      <c r="R434" s="2" t="s">
        <v>24</v>
      </c>
      <c r="S434" s="11" t="str">
        <f t="shared" si="33"/>
        <v>Rendah</v>
      </c>
      <c r="T434" s="2" t="str">
        <f t="shared" si="34"/>
        <v>Sangat Rendah</v>
      </c>
    </row>
    <row r="435" spans="1:20" ht="15.75" customHeight="1" x14ac:dyDescent="0.3">
      <c r="A435" s="4" t="s">
        <v>1939</v>
      </c>
      <c r="B435" s="3">
        <v>45840.800034722219</v>
      </c>
      <c r="C435" s="2" t="s">
        <v>121</v>
      </c>
      <c r="D435" s="2" t="s">
        <v>122</v>
      </c>
      <c r="E435" s="2" t="s">
        <v>81</v>
      </c>
      <c r="F435" s="2">
        <v>17000</v>
      </c>
      <c r="G435" s="2">
        <v>3</v>
      </c>
      <c r="H435" s="2">
        <v>15</v>
      </c>
      <c r="I435">
        <f t="shared" si="30"/>
        <v>51000</v>
      </c>
      <c r="J435">
        <f t="shared" si="31"/>
        <v>7650</v>
      </c>
      <c r="K435" s="6">
        <f t="shared" si="32"/>
        <v>43350</v>
      </c>
      <c r="L435" s="2">
        <v>78000</v>
      </c>
      <c r="M435" s="6">
        <f>Table1[[#This Row],[Total Sales]]+Table1[[#This Row],[Shipping Fee]]</f>
        <v>121350</v>
      </c>
      <c r="N435" s="2" t="s">
        <v>35</v>
      </c>
      <c r="O435" t="str">
        <f>VLOOKUP(Table1[[#This Row],[Order ID]],Status!A:B, 2,FALSE)</f>
        <v>Completed</v>
      </c>
      <c r="P435" s="2" t="s">
        <v>46</v>
      </c>
      <c r="Q435" s="2">
        <v>2</v>
      </c>
      <c r="R435" s="2" t="s">
        <v>24</v>
      </c>
      <c r="S435" s="11" t="str">
        <f t="shared" si="33"/>
        <v>Rendah</v>
      </c>
      <c r="T435" s="2" t="str">
        <f t="shared" si="34"/>
        <v>Rendah</v>
      </c>
    </row>
    <row r="436" spans="1:20" ht="15.75" customHeight="1" x14ac:dyDescent="0.3">
      <c r="A436" s="4" t="s">
        <v>1938</v>
      </c>
      <c r="B436" s="3">
        <v>45840.414513888893</v>
      </c>
      <c r="C436" s="2" t="s">
        <v>121</v>
      </c>
      <c r="D436" s="2" t="s">
        <v>122</v>
      </c>
      <c r="E436" s="2" t="s">
        <v>186</v>
      </c>
      <c r="F436" s="2">
        <v>45000</v>
      </c>
      <c r="G436" s="2">
        <v>3</v>
      </c>
      <c r="H436" s="2">
        <v>5</v>
      </c>
      <c r="I436">
        <f t="shared" si="30"/>
        <v>135000</v>
      </c>
      <c r="J436">
        <f t="shared" si="31"/>
        <v>6750</v>
      </c>
      <c r="K436" s="6">
        <f t="shared" si="32"/>
        <v>128250</v>
      </c>
      <c r="L436" s="2">
        <v>78000</v>
      </c>
      <c r="M436" s="6">
        <f>Table1[[#This Row],[Total Sales]]+Table1[[#This Row],[Shipping Fee]]</f>
        <v>206250</v>
      </c>
      <c r="N436" s="2" t="s">
        <v>35</v>
      </c>
      <c r="O436" t="str">
        <f>VLOOKUP(Table1[[#This Row],[Order ID]],Status!A:B, 2,FALSE)</f>
        <v>Completed</v>
      </c>
      <c r="P436" s="2" t="s">
        <v>36</v>
      </c>
      <c r="Q436" s="2">
        <v>1</v>
      </c>
      <c r="R436" s="2" t="s">
        <v>24</v>
      </c>
      <c r="S436" s="11" t="str">
        <f t="shared" si="33"/>
        <v>Rendah</v>
      </c>
      <c r="T436" s="2" t="str">
        <f t="shared" si="34"/>
        <v>Rendah</v>
      </c>
    </row>
    <row r="437" spans="1:20" ht="15.75" customHeight="1" x14ac:dyDescent="0.3">
      <c r="A437" s="4" t="s">
        <v>1937</v>
      </c>
      <c r="B437" s="3">
        <v>45840.385729166657</v>
      </c>
      <c r="C437" s="2" t="s">
        <v>84</v>
      </c>
      <c r="D437" s="2" t="s">
        <v>57</v>
      </c>
      <c r="E437" s="2" t="s">
        <v>54</v>
      </c>
      <c r="F437" s="2">
        <v>16000</v>
      </c>
      <c r="G437" s="2">
        <v>5</v>
      </c>
      <c r="H437" s="2">
        <v>10</v>
      </c>
      <c r="I437">
        <f t="shared" si="30"/>
        <v>80000</v>
      </c>
      <c r="J437">
        <f t="shared" si="31"/>
        <v>8000</v>
      </c>
      <c r="K437" s="6">
        <f t="shared" si="32"/>
        <v>72000</v>
      </c>
      <c r="L437" s="2">
        <v>80000</v>
      </c>
      <c r="M437" s="6">
        <f>Table1[[#This Row],[Total Sales]]+Table1[[#This Row],[Shipping Fee]]</f>
        <v>152000</v>
      </c>
      <c r="N437" s="2" t="s">
        <v>35</v>
      </c>
      <c r="O437" t="str">
        <f>VLOOKUP(Table1[[#This Row],[Order ID]],Status!A:B, 2,FALSE)</f>
        <v>Returned</v>
      </c>
      <c r="P437" s="2" t="s">
        <v>46</v>
      </c>
      <c r="Q437" s="2">
        <v>5</v>
      </c>
      <c r="R437" s="2" t="s">
        <v>37</v>
      </c>
      <c r="S437" s="11" t="str">
        <f t="shared" si="33"/>
        <v>Bagus</v>
      </c>
      <c r="T437" s="2" t="str">
        <f t="shared" si="34"/>
        <v>Rendah</v>
      </c>
    </row>
    <row r="438" spans="1:20" ht="15.75" customHeight="1" x14ac:dyDescent="0.3">
      <c r="A438" s="4" t="s">
        <v>1936</v>
      </c>
      <c r="B438" s="3">
        <v>45840.205706018518</v>
      </c>
      <c r="C438" s="2" t="s">
        <v>1757</v>
      </c>
      <c r="D438" s="2" t="s">
        <v>74</v>
      </c>
      <c r="E438" s="2" t="s">
        <v>75</v>
      </c>
      <c r="F438" s="2">
        <v>55000</v>
      </c>
      <c r="G438" s="2">
        <v>2</v>
      </c>
      <c r="H438" s="2">
        <v>10</v>
      </c>
      <c r="I438">
        <f t="shared" si="30"/>
        <v>110000</v>
      </c>
      <c r="J438">
        <f t="shared" si="31"/>
        <v>11000</v>
      </c>
      <c r="K438" s="6">
        <f t="shared" si="32"/>
        <v>99000</v>
      </c>
      <c r="L438" s="2">
        <v>87000</v>
      </c>
      <c r="M438" s="6">
        <f>Table1[[#This Row],[Total Sales]]+Table1[[#This Row],[Shipping Fee]]</f>
        <v>186000</v>
      </c>
      <c r="N438" s="2" t="s">
        <v>35</v>
      </c>
      <c r="O438" t="str">
        <f>VLOOKUP(Table1[[#This Row],[Order ID]],Status!A:B, 2,FALSE)</f>
        <v>Completed</v>
      </c>
      <c r="P438" s="2" t="s">
        <v>82</v>
      </c>
      <c r="Q438" s="2">
        <v>2</v>
      </c>
      <c r="R438" s="2" t="s">
        <v>37</v>
      </c>
      <c r="S438" s="11" t="str">
        <f t="shared" si="33"/>
        <v>Rendah</v>
      </c>
      <c r="T438" s="2" t="str">
        <f t="shared" si="34"/>
        <v>Normal</v>
      </c>
    </row>
    <row r="439" spans="1:20" ht="15.75" customHeight="1" x14ac:dyDescent="0.3">
      <c r="A439" s="4" t="s">
        <v>1935</v>
      </c>
      <c r="B439" s="3">
        <v>45839.859733796293</v>
      </c>
      <c r="C439" s="2" t="s">
        <v>570</v>
      </c>
      <c r="D439" s="2" t="s">
        <v>80</v>
      </c>
      <c r="E439" s="2" t="s">
        <v>38</v>
      </c>
      <c r="F439" s="2">
        <v>28000</v>
      </c>
      <c r="G439" s="2">
        <v>2</v>
      </c>
      <c r="H439" s="2">
        <v>20</v>
      </c>
      <c r="I439">
        <f t="shared" si="30"/>
        <v>56000</v>
      </c>
      <c r="J439">
        <f t="shared" si="31"/>
        <v>11200</v>
      </c>
      <c r="K439" s="6">
        <f t="shared" si="32"/>
        <v>44800</v>
      </c>
      <c r="L439" s="2">
        <v>74000</v>
      </c>
      <c r="M439" s="6">
        <f>Table1[[#This Row],[Total Sales]]+Table1[[#This Row],[Shipping Fee]]</f>
        <v>118800</v>
      </c>
      <c r="N439" s="2" t="s">
        <v>29</v>
      </c>
      <c r="O439" t="str">
        <f>VLOOKUP(Table1[[#This Row],[Order ID]],Status!A:B, 2,FALSE)</f>
        <v>Returned</v>
      </c>
      <c r="P439" s="2" t="s">
        <v>23</v>
      </c>
      <c r="Q439" s="2">
        <v>4</v>
      </c>
      <c r="R439" s="2" t="s">
        <v>24</v>
      </c>
      <c r="S439" s="11" t="str">
        <f t="shared" si="33"/>
        <v>Bagus</v>
      </c>
      <c r="T439" s="2" t="str">
        <f t="shared" si="34"/>
        <v>Normal</v>
      </c>
    </row>
    <row r="440" spans="1:20" ht="15.75" customHeight="1" x14ac:dyDescent="0.3">
      <c r="A440" s="4" t="s">
        <v>1934</v>
      </c>
      <c r="B440" s="3">
        <v>45839.773773148147</v>
      </c>
      <c r="C440" s="2" t="s">
        <v>109</v>
      </c>
      <c r="D440" s="2" t="s">
        <v>49</v>
      </c>
      <c r="E440" s="2" t="s">
        <v>81</v>
      </c>
      <c r="F440" s="2">
        <v>17000</v>
      </c>
      <c r="G440" s="2">
        <v>1</v>
      </c>
      <c r="H440" s="2">
        <v>15</v>
      </c>
      <c r="I440">
        <f t="shared" si="30"/>
        <v>17000</v>
      </c>
      <c r="J440">
        <f t="shared" si="31"/>
        <v>2550</v>
      </c>
      <c r="K440" s="6">
        <f t="shared" si="32"/>
        <v>14450</v>
      </c>
      <c r="L440" s="2">
        <v>43000</v>
      </c>
      <c r="M440" s="6">
        <f>Table1[[#This Row],[Total Sales]]+Table1[[#This Row],[Shipping Fee]]</f>
        <v>57450</v>
      </c>
      <c r="N440" s="2" t="s">
        <v>29</v>
      </c>
      <c r="O440" t="str">
        <f>VLOOKUP(Table1[[#This Row],[Order ID]],Status!A:B, 2,FALSE)</f>
        <v>Completed</v>
      </c>
      <c r="P440" s="2" t="s">
        <v>82</v>
      </c>
      <c r="Q440" s="2">
        <v>4</v>
      </c>
      <c r="R440" s="2" t="s">
        <v>24</v>
      </c>
      <c r="S440" s="11" t="str">
        <f t="shared" si="33"/>
        <v>Bagus</v>
      </c>
      <c r="T440" s="2" t="str">
        <f t="shared" si="34"/>
        <v>Sangat Rendah</v>
      </c>
    </row>
    <row r="441" spans="1:20" ht="15.75" customHeight="1" x14ac:dyDescent="0.3">
      <c r="A441" s="4" t="s">
        <v>1934</v>
      </c>
      <c r="B441" s="3">
        <v>45839.773773148147</v>
      </c>
      <c r="C441" s="2" t="s">
        <v>109</v>
      </c>
      <c r="D441" s="2" t="s">
        <v>49</v>
      </c>
      <c r="E441" s="2" t="s">
        <v>144</v>
      </c>
      <c r="F441" s="2">
        <v>18000</v>
      </c>
      <c r="G441" s="2">
        <v>3</v>
      </c>
      <c r="H441" s="2">
        <v>10</v>
      </c>
      <c r="I441">
        <f t="shared" si="30"/>
        <v>54000</v>
      </c>
      <c r="J441">
        <f t="shared" si="31"/>
        <v>5400</v>
      </c>
      <c r="K441" s="6">
        <f t="shared" si="32"/>
        <v>48600</v>
      </c>
      <c r="L441" s="2">
        <v>0</v>
      </c>
      <c r="M441" s="6">
        <f>Table1[[#This Row],[Total Sales]]+Table1[[#This Row],[Shipping Fee]]</f>
        <v>48600</v>
      </c>
      <c r="N441" s="2" t="s">
        <v>29</v>
      </c>
      <c r="O441" t="str">
        <f>VLOOKUP(Table1[[#This Row],[Order ID]],Status!A:B, 2,FALSE)</f>
        <v>Completed</v>
      </c>
      <c r="P441" s="2" t="s">
        <v>82</v>
      </c>
      <c r="Q441" s="2">
        <v>4</v>
      </c>
      <c r="R441" s="2" t="s">
        <v>24</v>
      </c>
      <c r="S441" s="11" t="str">
        <f t="shared" si="33"/>
        <v>Bagus</v>
      </c>
      <c r="T441" s="2" t="str">
        <f t="shared" si="34"/>
        <v>Rendah</v>
      </c>
    </row>
    <row r="442" spans="1:20" ht="15.75" customHeight="1" x14ac:dyDescent="0.3">
      <c r="A442" s="4" t="s">
        <v>1933</v>
      </c>
      <c r="B442" s="3">
        <v>45839.766805555562</v>
      </c>
      <c r="C442" s="2" t="s">
        <v>1321</v>
      </c>
      <c r="D442" s="2" t="s">
        <v>113</v>
      </c>
      <c r="E442" s="2" t="s">
        <v>136</v>
      </c>
      <c r="F442" s="2">
        <v>12000</v>
      </c>
      <c r="G442" s="2">
        <v>3</v>
      </c>
      <c r="H442" s="2">
        <v>20</v>
      </c>
      <c r="I442">
        <f t="shared" si="30"/>
        <v>36000</v>
      </c>
      <c r="J442">
        <f t="shared" si="31"/>
        <v>7200</v>
      </c>
      <c r="K442" s="6">
        <f t="shared" si="32"/>
        <v>28800</v>
      </c>
      <c r="L442" s="2">
        <v>18000</v>
      </c>
      <c r="M442" s="6">
        <f>Table1[[#This Row],[Total Sales]]+Table1[[#This Row],[Shipping Fee]]</f>
        <v>46800</v>
      </c>
      <c r="N442" s="2" t="s">
        <v>29</v>
      </c>
      <c r="O442" t="str">
        <f>VLOOKUP(Table1[[#This Row],[Order ID]],Status!A:B, 2,FALSE)</f>
        <v>Completed</v>
      </c>
      <c r="P442" s="2" t="s">
        <v>46</v>
      </c>
      <c r="Q442" s="2">
        <v>5</v>
      </c>
      <c r="R442" s="2" t="s">
        <v>24</v>
      </c>
      <c r="S442" s="11" t="str">
        <f t="shared" si="33"/>
        <v>Bagus</v>
      </c>
      <c r="T442" s="2" t="str">
        <f t="shared" si="34"/>
        <v>Rendah</v>
      </c>
    </row>
    <row r="443" spans="1:20" ht="15.75" customHeight="1" x14ac:dyDescent="0.3">
      <c r="A443" s="4" t="s">
        <v>1932</v>
      </c>
      <c r="B443" s="3">
        <v>45839.654513888891</v>
      </c>
      <c r="C443" s="2" t="s">
        <v>307</v>
      </c>
      <c r="D443" s="2" t="s">
        <v>70</v>
      </c>
      <c r="E443" s="2" t="s">
        <v>144</v>
      </c>
      <c r="F443" s="2">
        <v>18000</v>
      </c>
      <c r="G443" s="2">
        <v>2</v>
      </c>
      <c r="H443" s="2">
        <v>5</v>
      </c>
      <c r="I443">
        <f t="shared" si="30"/>
        <v>36000</v>
      </c>
      <c r="J443">
        <f t="shared" si="31"/>
        <v>1800</v>
      </c>
      <c r="K443" s="6">
        <f t="shared" si="32"/>
        <v>34200</v>
      </c>
      <c r="L443" s="2">
        <v>89000</v>
      </c>
      <c r="M443" s="6">
        <f>Table1[[#This Row],[Total Sales]]+Table1[[#This Row],[Shipping Fee]]</f>
        <v>123200</v>
      </c>
      <c r="N443" s="2" t="s">
        <v>29</v>
      </c>
      <c r="O443" t="str">
        <f>VLOOKUP(Table1[[#This Row],[Order ID]],Status!A:B, 2,FALSE)</f>
        <v>Completed</v>
      </c>
      <c r="P443" s="2" t="s">
        <v>36</v>
      </c>
      <c r="Q443" s="2">
        <v>4</v>
      </c>
      <c r="R443" s="2" t="s">
        <v>24</v>
      </c>
      <c r="S443" s="11" t="str">
        <f t="shared" si="33"/>
        <v>Bagus</v>
      </c>
      <c r="T443" s="2" t="str">
        <f t="shared" si="34"/>
        <v>Sangat Rendah</v>
      </c>
    </row>
    <row r="444" spans="1:20" ht="15.75" customHeight="1" x14ac:dyDescent="0.3">
      <c r="A444" s="4" t="s">
        <v>1931</v>
      </c>
      <c r="B444" s="3">
        <v>45839.624236111107</v>
      </c>
      <c r="C444" s="2" t="s">
        <v>596</v>
      </c>
      <c r="D444" s="2" t="s">
        <v>70</v>
      </c>
      <c r="E444" s="2" t="s">
        <v>138</v>
      </c>
      <c r="F444" s="2">
        <v>17000</v>
      </c>
      <c r="G444" s="2">
        <v>3</v>
      </c>
      <c r="H444" s="2">
        <v>10</v>
      </c>
      <c r="I444">
        <f t="shared" si="30"/>
        <v>51000</v>
      </c>
      <c r="J444">
        <f t="shared" si="31"/>
        <v>5100</v>
      </c>
      <c r="K444" s="6">
        <f t="shared" si="32"/>
        <v>45900</v>
      </c>
      <c r="L444" s="2">
        <v>89000</v>
      </c>
      <c r="M444" s="6">
        <f>Table1[[#This Row],[Total Sales]]+Table1[[#This Row],[Shipping Fee]]</f>
        <v>134900</v>
      </c>
      <c r="N444" s="2" t="s">
        <v>22</v>
      </c>
      <c r="O444" t="str">
        <f>VLOOKUP(Table1[[#This Row],[Order ID]],Status!A:B, 2,FALSE)</f>
        <v>Cancelled</v>
      </c>
      <c r="P444" s="2" t="s">
        <v>46</v>
      </c>
      <c r="Q444" s="2">
        <v>1</v>
      </c>
      <c r="R444" s="2" t="s">
        <v>24</v>
      </c>
      <c r="S444" s="11" t="str">
        <f t="shared" si="33"/>
        <v>Rendah</v>
      </c>
      <c r="T444" s="2" t="str">
        <f t="shared" si="34"/>
        <v>Rendah</v>
      </c>
    </row>
    <row r="445" spans="1:20" ht="15.75" customHeight="1" x14ac:dyDescent="0.3">
      <c r="A445" s="4" t="s">
        <v>1930</v>
      </c>
      <c r="B445" s="3">
        <v>45838.146493055552</v>
      </c>
      <c r="C445" s="2" t="s">
        <v>79</v>
      </c>
      <c r="D445" s="2" t="s">
        <v>80</v>
      </c>
      <c r="E445" s="2" t="s">
        <v>136</v>
      </c>
      <c r="F445" s="2">
        <v>12000</v>
      </c>
      <c r="G445" s="2">
        <v>2</v>
      </c>
      <c r="H445" s="2">
        <v>15</v>
      </c>
      <c r="I445">
        <f t="shared" si="30"/>
        <v>24000</v>
      </c>
      <c r="J445">
        <f t="shared" si="31"/>
        <v>3600</v>
      </c>
      <c r="K445" s="6">
        <f t="shared" si="32"/>
        <v>20400</v>
      </c>
      <c r="L445" s="2">
        <v>74000</v>
      </c>
      <c r="M445" s="6">
        <f>Table1[[#This Row],[Total Sales]]+Table1[[#This Row],[Shipping Fee]]</f>
        <v>94400</v>
      </c>
      <c r="N445" s="2" t="s">
        <v>35</v>
      </c>
      <c r="O445" t="str">
        <f>VLOOKUP(Table1[[#This Row],[Order ID]],Status!A:B, 2,FALSE)</f>
        <v>Returned</v>
      </c>
      <c r="P445" s="2" t="s">
        <v>82</v>
      </c>
      <c r="Q445" s="2">
        <v>4</v>
      </c>
      <c r="R445" s="2" t="s">
        <v>24</v>
      </c>
      <c r="S445" s="11" t="str">
        <f t="shared" si="33"/>
        <v>Bagus</v>
      </c>
      <c r="T445" s="2" t="str">
        <f t="shared" si="34"/>
        <v>Sangat Rendah</v>
      </c>
    </row>
    <row r="446" spans="1:20" ht="15.75" customHeight="1" x14ac:dyDescent="0.3">
      <c r="A446" s="4" t="s">
        <v>1929</v>
      </c>
      <c r="B446" s="3">
        <v>45838.143055555563</v>
      </c>
      <c r="C446" s="2" t="s">
        <v>693</v>
      </c>
      <c r="D446" s="2" t="s">
        <v>119</v>
      </c>
      <c r="E446" s="2" t="s">
        <v>250</v>
      </c>
      <c r="F446" s="2">
        <v>18000</v>
      </c>
      <c r="G446" s="2">
        <v>2</v>
      </c>
      <c r="H446" s="2">
        <v>10</v>
      </c>
      <c r="I446">
        <f t="shared" si="30"/>
        <v>36000</v>
      </c>
      <c r="J446">
        <f t="shared" si="31"/>
        <v>3600</v>
      </c>
      <c r="K446" s="6">
        <f t="shared" si="32"/>
        <v>32400</v>
      </c>
      <c r="L446" s="2">
        <v>0</v>
      </c>
      <c r="M446" s="6">
        <f>Table1[[#This Row],[Total Sales]]+Table1[[#This Row],[Shipping Fee]]</f>
        <v>32400</v>
      </c>
      <c r="N446" s="2" t="s">
        <v>29</v>
      </c>
      <c r="O446" t="str">
        <f>VLOOKUP(Table1[[#This Row],[Order ID]],Status!A:B, 2,FALSE)</f>
        <v>Completed</v>
      </c>
      <c r="P446" s="2" t="s">
        <v>82</v>
      </c>
      <c r="Q446" s="2">
        <v>2</v>
      </c>
      <c r="R446" s="2" t="s">
        <v>24</v>
      </c>
      <c r="S446" s="11" t="str">
        <f t="shared" si="33"/>
        <v>Rendah</v>
      </c>
      <c r="T446" s="2" t="str">
        <f t="shared" si="34"/>
        <v>Sangat Rendah</v>
      </c>
    </row>
    <row r="447" spans="1:20" ht="15.75" customHeight="1" x14ac:dyDescent="0.3">
      <c r="A447" s="4" t="s">
        <v>1929</v>
      </c>
      <c r="B447" s="3">
        <v>45838.143055555563</v>
      </c>
      <c r="C447" s="2" t="s">
        <v>693</v>
      </c>
      <c r="D447" s="2" t="s">
        <v>119</v>
      </c>
      <c r="E447" s="2" t="s">
        <v>58</v>
      </c>
      <c r="F447" s="2">
        <v>16000</v>
      </c>
      <c r="G447" s="2">
        <v>1</v>
      </c>
      <c r="H447" s="2">
        <v>10</v>
      </c>
      <c r="I447">
        <f t="shared" si="30"/>
        <v>16000</v>
      </c>
      <c r="J447">
        <f t="shared" si="31"/>
        <v>1600</v>
      </c>
      <c r="K447" s="6">
        <f t="shared" si="32"/>
        <v>14400</v>
      </c>
      <c r="L447" s="2">
        <v>0</v>
      </c>
      <c r="M447" s="6">
        <f>Table1[[#This Row],[Total Sales]]+Table1[[#This Row],[Shipping Fee]]</f>
        <v>14400</v>
      </c>
      <c r="N447" s="2" t="s">
        <v>29</v>
      </c>
      <c r="O447" t="str">
        <f>VLOOKUP(Table1[[#This Row],[Order ID]],Status!A:B, 2,FALSE)</f>
        <v>Completed</v>
      </c>
      <c r="P447" s="2" t="s">
        <v>82</v>
      </c>
      <c r="Q447" s="2">
        <v>2</v>
      </c>
      <c r="R447" s="2" t="s">
        <v>24</v>
      </c>
      <c r="S447" s="11" t="str">
        <f t="shared" si="33"/>
        <v>Rendah</v>
      </c>
      <c r="T447" s="2" t="str">
        <f t="shared" si="34"/>
        <v>Sangat Rendah</v>
      </c>
    </row>
    <row r="448" spans="1:20" ht="15.75" customHeight="1" x14ac:dyDescent="0.3">
      <c r="A448" s="4" t="s">
        <v>1928</v>
      </c>
      <c r="B448" s="3">
        <v>45838.117222222223</v>
      </c>
      <c r="C448" s="2" t="s">
        <v>100</v>
      </c>
      <c r="D448" s="2" t="s">
        <v>66</v>
      </c>
      <c r="E448" s="2" t="s">
        <v>45</v>
      </c>
      <c r="F448" s="2">
        <v>40000</v>
      </c>
      <c r="G448" s="2">
        <v>4</v>
      </c>
      <c r="H448" s="2">
        <v>20</v>
      </c>
      <c r="I448">
        <f t="shared" si="30"/>
        <v>160000</v>
      </c>
      <c r="J448">
        <f t="shared" si="31"/>
        <v>32000</v>
      </c>
      <c r="K448" s="6">
        <f t="shared" si="32"/>
        <v>128000</v>
      </c>
      <c r="L448" s="2">
        <v>59000</v>
      </c>
      <c r="M448" s="6">
        <f>Table1[[#This Row],[Total Sales]]+Table1[[#This Row],[Shipping Fee]]</f>
        <v>187000</v>
      </c>
      <c r="N448" s="2" t="s">
        <v>35</v>
      </c>
      <c r="O448" t="str">
        <f>VLOOKUP(Table1[[#This Row],[Order ID]],Status!A:B, 2,FALSE)</f>
        <v>Completed</v>
      </c>
      <c r="P448" s="2" t="s">
        <v>46</v>
      </c>
      <c r="Q448" s="2">
        <v>3</v>
      </c>
      <c r="R448" s="2" t="s">
        <v>24</v>
      </c>
      <c r="S448" s="11" t="str">
        <f t="shared" si="33"/>
        <v>Standar</v>
      </c>
      <c r="T448" s="2" t="str">
        <f t="shared" si="34"/>
        <v>Tinggi</v>
      </c>
    </row>
    <row r="449" spans="1:20" ht="15.75" customHeight="1" x14ac:dyDescent="0.3">
      <c r="A449" s="4" t="s">
        <v>1927</v>
      </c>
      <c r="B449" s="3">
        <v>45837.844050925924</v>
      </c>
      <c r="C449" s="2" t="s">
        <v>350</v>
      </c>
      <c r="D449" s="2" t="s">
        <v>195</v>
      </c>
      <c r="E449" s="2" t="s">
        <v>41</v>
      </c>
      <c r="F449" s="2">
        <v>4000</v>
      </c>
      <c r="G449" s="2">
        <v>4</v>
      </c>
      <c r="H449" s="2">
        <v>15</v>
      </c>
      <c r="I449">
        <f t="shared" si="30"/>
        <v>16000</v>
      </c>
      <c r="J449">
        <f t="shared" si="31"/>
        <v>2400</v>
      </c>
      <c r="K449" s="6">
        <f t="shared" si="32"/>
        <v>13600</v>
      </c>
      <c r="L449" s="2">
        <v>87000</v>
      </c>
      <c r="M449" s="6">
        <f>Table1[[#This Row],[Total Sales]]+Table1[[#This Row],[Shipping Fee]]</f>
        <v>100600</v>
      </c>
      <c r="N449" s="2" t="s">
        <v>29</v>
      </c>
      <c r="O449" t="str">
        <f>VLOOKUP(Table1[[#This Row],[Order ID]],Status!A:B, 2,FALSE)</f>
        <v>Completed</v>
      </c>
      <c r="P449" s="2" t="s">
        <v>36</v>
      </c>
      <c r="Q449" s="2">
        <v>2</v>
      </c>
      <c r="R449" s="2" t="s">
        <v>37</v>
      </c>
      <c r="S449" s="11" t="str">
        <f t="shared" si="33"/>
        <v>Rendah</v>
      </c>
      <c r="T449" s="2" t="str">
        <f t="shared" si="34"/>
        <v>Sangat Rendah</v>
      </c>
    </row>
    <row r="450" spans="1:20" ht="15.75" customHeight="1" x14ac:dyDescent="0.3">
      <c r="A450" s="4" t="s">
        <v>1926</v>
      </c>
      <c r="B450" s="3">
        <v>45837.430983796286</v>
      </c>
      <c r="C450" s="2" t="s">
        <v>542</v>
      </c>
      <c r="D450" s="2" t="s">
        <v>122</v>
      </c>
      <c r="E450" s="2" t="s">
        <v>138</v>
      </c>
      <c r="F450" s="2">
        <v>17000</v>
      </c>
      <c r="G450" s="2">
        <v>4</v>
      </c>
      <c r="H450" s="2">
        <v>0</v>
      </c>
      <c r="I450">
        <f t="shared" ref="I450:I513" si="35">F450*G450</f>
        <v>68000</v>
      </c>
      <c r="J450">
        <f t="shared" ref="J450:J513" si="36">I450*H450/100</f>
        <v>0</v>
      </c>
      <c r="K450" s="6">
        <f t="shared" ref="K450:K513" si="37">I450-J450</f>
        <v>68000</v>
      </c>
      <c r="L450" s="2">
        <v>78000</v>
      </c>
      <c r="M450" s="6">
        <f>Table1[[#This Row],[Total Sales]]+Table1[[#This Row],[Shipping Fee]]</f>
        <v>146000</v>
      </c>
      <c r="N450" s="2" t="s">
        <v>22</v>
      </c>
      <c r="O450" t="str">
        <f>VLOOKUP(Table1[[#This Row],[Order ID]],Status!A:B, 2,FALSE)</f>
        <v>Completed</v>
      </c>
      <c r="P450" s="2" t="s">
        <v>82</v>
      </c>
      <c r="Q450" s="2">
        <v>1</v>
      </c>
      <c r="R450" s="2" t="s">
        <v>24</v>
      </c>
      <c r="S450" s="11" t="str">
        <f t="shared" ref="S450:S513" si="38">_xlfn.IFS(Q450&gt;3,"Bagus",Q450=3,"Standar",Q450&lt;3,"Rendah")</f>
        <v>Rendah</v>
      </c>
      <c r="T450" s="2" t="str">
        <f t="shared" ref="T450:T513" si="39">_xlfn.IFS(J450&lt;=5000,"Sangat Rendah", J450&lt;=10000,"Rendah", J450&lt;=20000, "Normal", J450&lt;=35000, "Tinggi", J450&lt;= 50000, "Sangat Tinggi", J450&gt;50000, "Clearance")</f>
        <v>Sangat Rendah</v>
      </c>
    </row>
    <row r="451" spans="1:20" ht="15.75" customHeight="1" x14ac:dyDescent="0.3">
      <c r="A451" s="4" t="s">
        <v>1925</v>
      </c>
      <c r="B451" s="3">
        <v>45837.244930555556</v>
      </c>
      <c r="C451" s="2" t="s">
        <v>314</v>
      </c>
      <c r="D451" s="2" t="s">
        <v>113</v>
      </c>
      <c r="E451" s="2" t="s">
        <v>88</v>
      </c>
      <c r="F451" s="2">
        <v>14000</v>
      </c>
      <c r="G451" s="2">
        <v>5</v>
      </c>
      <c r="H451" s="2">
        <v>0</v>
      </c>
      <c r="I451">
        <f t="shared" si="35"/>
        <v>70000</v>
      </c>
      <c r="J451">
        <f t="shared" si="36"/>
        <v>0</v>
      </c>
      <c r="K451" s="6">
        <f t="shared" si="37"/>
        <v>70000</v>
      </c>
      <c r="L451" s="2">
        <v>18000</v>
      </c>
      <c r="M451" s="6">
        <f>Table1[[#This Row],[Total Sales]]+Table1[[#This Row],[Shipping Fee]]</f>
        <v>88000</v>
      </c>
      <c r="N451" s="2" t="s">
        <v>35</v>
      </c>
      <c r="O451" t="str">
        <f>VLOOKUP(Table1[[#This Row],[Order ID]],Status!A:B, 2,FALSE)</f>
        <v>Returned</v>
      </c>
      <c r="P451" s="2" t="s">
        <v>46</v>
      </c>
      <c r="Q451" s="2">
        <v>3</v>
      </c>
      <c r="R451" s="2" t="s">
        <v>24</v>
      </c>
      <c r="S451" s="11" t="str">
        <f t="shared" si="38"/>
        <v>Standar</v>
      </c>
      <c r="T451" s="2" t="str">
        <f t="shared" si="39"/>
        <v>Sangat Rendah</v>
      </c>
    </row>
    <row r="452" spans="1:20" ht="15.75" customHeight="1" x14ac:dyDescent="0.3">
      <c r="A452" s="4" t="s">
        <v>1925</v>
      </c>
      <c r="B452" s="3">
        <v>45837.244930555556</v>
      </c>
      <c r="C452" s="2" t="s">
        <v>314</v>
      </c>
      <c r="D452" s="2" t="s">
        <v>113</v>
      </c>
      <c r="E452" s="2" t="s">
        <v>104</v>
      </c>
      <c r="F452" s="2">
        <v>30000</v>
      </c>
      <c r="G452" s="2">
        <v>3</v>
      </c>
      <c r="H452" s="2">
        <v>15</v>
      </c>
      <c r="I452">
        <f t="shared" si="35"/>
        <v>90000</v>
      </c>
      <c r="J452">
        <f t="shared" si="36"/>
        <v>13500</v>
      </c>
      <c r="K452" s="6">
        <f t="shared" si="37"/>
        <v>76500</v>
      </c>
      <c r="L452" s="2">
        <v>0</v>
      </c>
      <c r="M452" s="6">
        <f>Table1[[#This Row],[Total Sales]]+Table1[[#This Row],[Shipping Fee]]</f>
        <v>76500</v>
      </c>
      <c r="N452" s="2" t="s">
        <v>35</v>
      </c>
      <c r="O452" t="str">
        <f>VLOOKUP(Table1[[#This Row],[Order ID]],Status!A:B, 2,FALSE)</f>
        <v>Returned</v>
      </c>
      <c r="P452" s="2" t="s">
        <v>46</v>
      </c>
      <c r="Q452" s="2">
        <v>3</v>
      </c>
      <c r="R452" s="2" t="s">
        <v>24</v>
      </c>
      <c r="S452" s="11" t="str">
        <f t="shared" si="38"/>
        <v>Standar</v>
      </c>
      <c r="T452" s="2" t="str">
        <f t="shared" si="39"/>
        <v>Normal</v>
      </c>
    </row>
    <row r="453" spans="1:20" ht="15.75" customHeight="1" x14ac:dyDescent="0.3">
      <c r="A453" s="4" t="s">
        <v>1924</v>
      </c>
      <c r="B453" s="3">
        <v>45837.163124999999</v>
      </c>
      <c r="C453" s="2" t="s">
        <v>237</v>
      </c>
      <c r="D453" s="2" t="s">
        <v>238</v>
      </c>
      <c r="E453" s="2" t="s">
        <v>93</v>
      </c>
      <c r="F453" s="2">
        <v>25000</v>
      </c>
      <c r="G453" s="2">
        <v>4</v>
      </c>
      <c r="H453" s="2">
        <v>15</v>
      </c>
      <c r="I453">
        <f t="shared" si="35"/>
        <v>100000</v>
      </c>
      <c r="J453">
        <f t="shared" si="36"/>
        <v>15000</v>
      </c>
      <c r="K453" s="6">
        <f t="shared" si="37"/>
        <v>85000</v>
      </c>
      <c r="L453" s="2">
        <v>28000</v>
      </c>
      <c r="M453" s="6">
        <f>Table1[[#This Row],[Total Sales]]+Table1[[#This Row],[Shipping Fee]]</f>
        <v>113000</v>
      </c>
      <c r="N453" s="2" t="s">
        <v>35</v>
      </c>
      <c r="O453" t="str">
        <f>VLOOKUP(Table1[[#This Row],[Order ID]],Status!A:B, 2,FALSE)</f>
        <v>Completed</v>
      </c>
      <c r="P453" s="2" t="s">
        <v>46</v>
      </c>
      <c r="Q453" s="2">
        <v>3</v>
      </c>
      <c r="R453" s="2" t="s">
        <v>24</v>
      </c>
      <c r="S453" s="11" t="str">
        <f t="shared" si="38"/>
        <v>Standar</v>
      </c>
      <c r="T453" s="2" t="str">
        <f t="shared" si="39"/>
        <v>Normal</v>
      </c>
    </row>
    <row r="454" spans="1:20" ht="15.75" customHeight="1" x14ac:dyDescent="0.3">
      <c r="A454" s="4" t="s">
        <v>1923</v>
      </c>
      <c r="B454" s="3">
        <v>45837.039467592593</v>
      </c>
      <c r="C454" s="2" t="s">
        <v>69</v>
      </c>
      <c r="D454" s="2" t="s">
        <v>70</v>
      </c>
      <c r="E454" s="2" t="s">
        <v>38</v>
      </c>
      <c r="F454" s="2">
        <v>28000</v>
      </c>
      <c r="G454" s="2">
        <v>3</v>
      </c>
      <c r="H454" s="2">
        <v>10</v>
      </c>
      <c r="I454">
        <f t="shared" si="35"/>
        <v>84000</v>
      </c>
      <c r="J454">
        <f t="shared" si="36"/>
        <v>8400</v>
      </c>
      <c r="K454" s="6">
        <f t="shared" si="37"/>
        <v>75600</v>
      </c>
      <c r="L454" s="2">
        <v>89000</v>
      </c>
      <c r="M454" s="6">
        <f>Table1[[#This Row],[Total Sales]]+Table1[[#This Row],[Shipping Fee]]</f>
        <v>164600</v>
      </c>
      <c r="N454" s="2" t="s">
        <v>63</v>
      </c>
      <c r="O454" t="str">
        <f>VLOOKUP(Table1[[#This Row],[Order ID]],Status!A:B, 2,FALSE)</f>
        <v>Completed</v>
      </c>
      <c r="P454" s="2" t="s">
        <v>82</v>
      </c>
      <c r="Q454" s="2">
        <v>4</v>
      </c>
      <c r="R454" s="2" t="s">
        <v>37</v>
      </c>
      <c r="S454" s="11" t="str">
        <f t="shared" si="38"/>
        <v>Bagus</v>
      </c>
      <c r="T454" s="2" t="str">
        <f t="shared" si="39"/>
        <v>Rendah</v>
      </c>
    </row>
    <row r="455" spans="1:20" ht="15.75" customHeight="1" x14ac:dyDescent="0.3">
      <c r="A455" s="4" t="s">
        <v>1922</v>
      </c>
      <c r="B455" s="3">
        <v>45836.536307870367</v>
      </c>
      <c r="C455" s="2" t="s">
        <v>32</v>
      </c>
      <c r="D455" s="2" t="s">
        <v>33</v>
      </c>
      <c r="E455" s="2" t="s">
        <v>38</v>
      </c>
      <c r="F455" s="2">
        <v>28000</v>
      </c>
      <c r="G455" s="2">
        <v>5</v>
      </c>
      <c r="H455" s="2">
        <v>15</v>
      </c>
      <c r="I455">
        <f t="shared" si="35"/>
        <v>140000</v>
      </c>
      <c r="J455">
        <f t="shared" si="36"/>
        <v>21000</v>
      </c>
      <c r="K455" s="6">
        <f t="shared" si="37"/>
        <v>119000</v>
      </c>
      <c r="L455" s="2">
        <v>76000</v>
      </c>
      <c r="M455" s="6">
        <f>Table1[[#This Row],[Total Sales]]+Table1[[#This Row],[Shipping Fee]]</f>
        <v>195000</v>
      </c>
      <c r="N455" s="2" t="s">
        <v>35</v>
      </c>
      <c r="O455" t="str">
        <f>VLOOKUP(Table1[[#This Row],[Order ID]],Status!A:B, 2,FALSE)</f>
        <v>Cancelled</v>
      </c>
      <c r="P455" s="2" t="s">
        <v>23</v>
      </c>
      <c r="Q455" s="2">
        <v>4</v>
      </c>
      <c r="R455" s="2" t="s">
        <v>37</v>
      </c>
      <c r="S455" s="11" t="str">
        <f t="shared" si="38"/>
        <v>Bagus</v>
      </c>
      <c r="T455" s="2" t="str">
        <f t="shared" si="39"/>
        <v>Tinggi</v>
      </c>
    </row>
    <row r="456" spans="1:20" ht="15.75" customHeight="1" x14ac:dyDescent="0.3">
      <c r="A456" s="4" t="s">
        <v>1921</v>
      </c>
      <c r="B456" s="3">
        <v>45836.484502314823</v>
      </c>
      <c r="C456" s="2" t="s">
        <v>603</v>
      </c>
      <c r="D456" s="2" t="s">
        <v>53</v>
      </c>
      <c r="E456" s="2" t="s">
        <v>88</v>
      </c>
      <c r="F456" s="2">
        <v>14000</v>
      </c>
      <c r="G456" s="2">
        <v>2</v>
      </c>
      <c r="H456" s="2">
        <v>15</v>
      </c>
      <c r="I456">
        <f t="shared" si="35"/>
        <v>28000</v>
      </c>
      <c r="J456">
        <f t="shared" si="36"/>
        <v>4200</v>
      </c>
      <c r="K456" s="6">
        <f t="shared" si="37"/>
        <v>23800</v>
      </c>
      <c r="L456" s="2">
        <v>18000</v>
      </c>
      <c r="M456" s="6">
        <f>Table1[[#This Row],[Total Sales]]+Table1[[#This Row],[Shipping Fee]]</f>
        <v>41800</v>
      </c>
      <c r="N456" s="2" t="s">
        <v>35</v>
      </c>
      <c r="O456" t="str">
        <f>VLOOKUP(Table1[[#This Row],[Order ID]],Status!A:B, 2,FALSE)</f>
        <v>Completed</v>
      </c>
      <c r="P456" s="2" t="s">
        <v>46</v>
      </c>
      <c r="Q456" s="2">
        <v>2</v>
      </c>
      <c r="R456" s="2" t="s">
        <v>24</v>
      </c>
      <c r="S456" s="11" t="str">
        <f t="shared" si="38"/>
        <v>Rendah</v>
      </c>
      <c r="T456" s="2" t="str">
        <f t="shared" si="39"/>
        <v>Sangat Rendah</v>
      </c>
    </row>
    <row r="457" spans="1:20" ht="15.75" customHeight="1" x14ac:dyDescent="0.3">
      <c r="A457" s="4" t="s">
        <v>1920</v>
      </c>
      <c r="B457" s="3">
        <v>45836.346585648149</v>
      </c>
      <c r="C457" s="2" t="s">
        <v>146</v>
      </c>
      <c r="D457" s="2" t="s">
        <v>92</v>
      </c>
      <c r="E457" s="2" t="s">
        <v>85</v>
      </c>
      <c r="F457" s="2">
        <v>35000</v>
      </c>
      <c r="G457" s="2">
        <v>3</v>
      </c>
      <c r="H457" s="2">
        <v>5</v>
      </c>
      <c r="I457">
        <f t="shared" si="35"/>
        <v>105000</v>
      </c>
      <c r="J457">
        <f t="shared" si="36"/>
        <v>5250</v>
      </c>
      <c r="K457" s="6">
        <f t="shared" si="37"/>
        <v>99750</v>
      </c>
      <c r="L457" s="2">
        <v>30000</v>
      </c>
      <c r="M457" s="6">
        <f>Table1[[#This Row],[Total Sales]]+Table1[[#This Row],[Shipping Fee]]</f>
        <v>129750</v>
      </c>
      <c r="N457" s="2" t="s">
        <v>35</v>
      </c>
      <c r="O457" t="str">
        <f>VLOOKUP(Table1[[#This Row],[Order ID]],Status!A:B, 2,FALSE)</f>
        <v>Completed</v>
      </c>
      <c r="P457" s="2" t="s">
        <v>82</v>
      </c>
      <c r="Q457" s="2">
        <v>1</v>
      </c>
      <c r="R457" s="2" t="s">
        <v>37</v>
      </c>
      <c r="S457" s="11" t="str">
        <f t="shared" si="38"/>
        <v>Rendah</v>
      </c>
      <c r="T457" s="2" t="str">
        <f t="shared" si="39"/>
        <v>Rendah</v>
      </c>
    </row>
    <row r="458" spans="1:20" ht="15.75" customHeight="1" x14ac:dyDescent="0.3">
      <c r="A458" s="4" t="s">
        <v>1919</v>
      </c>
      <c r="B458" s="3">
        <v>45836.165405092594</v>
      </c>
      <c r="C458" s="2" t="s">
        <v>1317</v>
      </c>
      <c r="D458" s="2" t="s">
        <v>113</v>
      </c>
      <c r="E458" s="2" t="s">
        <v>54</v>
      </c>
      <c r="F458" s="2">
        <v>16000</v>
      </c>
      <c r="G458" s="2">
        <v>3</v>
      </c>
      <c r="H458" s="2">
        <v>5</v>
      </c>
      <c r="I458">
        <f t="shared" si="35"/>
        <v>48000</v>
      </c>
      <c r="J458">
        <f t="shared" si="36"/>
        <v>2400</v>
      </c>
      <c r="K458" s="6">
        <f t="shared" si="37"/>
        <v>45600</v>
      </c>
      <c r="L458" s="2">
        <v>18000</v>
      </c>
      <c r="M458" s="6">
        <f>Table1[[#This Row],[Total Sales]]+Table1[[#This Row],[Shipping Fee]]</f>
        <v>63600</v>
      </c>
      <c r="N458" s="2" t="s">
        <v>35</v>
      </c>
      <c r="O458" t="str">
        <f>VLOOKUP(Table1[[#This Row],[Order ID]],Status!A:B, 2,FALSE)</f>
        <v>Completed</v>
      </c>
      <c r="P458" s="2" t="s">
        <v>46</v>
      </c>
      <c r="Q458" s="2">
        <v>2</v>
      </c>
      <c r="R458" s="2" t="s">
        <v>37</v>
      </c>
      <c r="S458" s="11" t="str">
        <f t="shared" si="38"/>
        <v>Rendah</v>
      </c>
      <c r="T458" s="2" t="str">
        <f t="shared" si="39"/>
        <v>Sangat Rendah</v>
      </c>
    </row>
    <row r="459" spans="1:20" ht="15.75" customHeight="1" x14ac:dyDescent="0.3">
      <c r="A459" s="4" t="s">
        <v>1918</v>
      </c>
      <c r="B459" s="3">
        <v>45835.8749537037</v>
      </c>
      <c r="C459" s="2" t="s">
        <v>40</v>
      </c>
      <c r="D459" s="2" t="s">
        <v>27</v>
      </c>
      <c r="E459" s="2" t="s">
        <v>75</v>
      </c>
      <c r="F459" s="2">
        <v>55000</v>
      </c>
      <c r="G459" s="2">
        <v>2</v>
      </c>
      <c r="H459" s="2">
        <v>20</v>
      </c>
      <c r="I459">
        <f t="shared" si="35"/>
        <v>110000</v>
      </c>
      <c r="J459">
        <f t="shared" si="36"/>
        <v>22000</v>
      </c>
      <c r="K459" s="6">
        <f t="shared" si="37"/>
        <v>88000</v>
      </c>
      <c r="L459" s="2">
        <v>17000</v>
      </c>
      <c r="M459" s="6">
        <f>Table1[[#This Row],[Total Sales]]+Table1[[#This Row],[Shipping Fee]]</f>
        <v>105000</v>
      </c>
      <c r="N459" s="2" t="s">
        <v>63</v>
      </c>
      <c r="O459" t="str">
        <f>VLOOKUP(Table1[[#This Row],[Order ID]],Status!A:B, 2,FALSE)</f>
        <v>Completed</v>
      </c>
      <c r="P459" s="2" t="s">
        <v>30</v>
      </c>
      <c r="Q459" s="2">
        <v>1</v>
      </c>
      <c r="R459" s="2" t="s">
        <v>24</v>
      </c>
      <c r="S459" s="11" t="str">
        <f t="shared" si="38"/>
        <v>Rendah</v>
      </c>
      <c r="T459" s="2" t="str">
        <f t="shared" si="39"/>
        <v>Tinggi</v>
      </c>
    </row>
    <row r="460" spans="1:20" ht="15.75" customHeight="1" x14ac:dyDescent="0.3">
      <c r="A460" s="4" t="s">
        <v>1917</v>
      </c>
      <c r="B460" s="3">
        <v>45835.804826388892</v>
      </c>
      <c r="C460" s="2" t="s">
        <v>184</v>
      </c>
      <c r="D460" s="2" t="s">
        <v>103</v>
      </c>
      <c r="E460" s="2" t="s">
        <v>41</v>
      </c>
      <c r="F460" s="2">
        <v>4000</v>
      </c>
      <c r="G460" s="2">
        <v>3</v>
      </c>
      <c r="H460" s="2">
        <v>0</v>
      </c>
      <c r="I460">
        <f t="shared" si="35"/>
        <v>12000</v>
      </c>
      <c r="J460">
        <f t="shared" si="36"/>
        <v>0</v>
      </c>
      <c r="K460" s="6">
        <f t="shared" si="37"/>
        <v>12000</v>
      </c>
      <c r="L460" s="2">
        <v>85000</v>
      </c>
      <c r="M460" s="6">
        <f>Table1[[#This Row],[Total Sales]]+Table1[[#This Row],[Shipping Fee]]</f>
        <v>97000</v>
      </c>
      <c r="N460" s="2" t="s">
        <v>22</v>
      </c>
      <c r="O460" t="str">
        <f>VLOOKUP(Table1[[#This Row],[Order ID]],Status!A:B, 2,FALSE)</f>
        <v>Returned</v>
      </c>
      <c r="P460" s="2" t="s">
        <v>46</v>
      </c>
      <c r="Q460" s="2">
        <v>2</v>
      </c>
      <c r="R460" s="2" t="s">
        <v>24</v>
      </c>
      <c r="S460" s="11" t="str">
        <f t="shared" si="38"/>
        <v>Rendah</v>
      </c>
      <c r="T460" s="2" t="str">
        <f t="shared" si="39"/>
        <v>Sangat Rendah</v>
      </c>
    </row>
    <row r="461" spans="1:20" ht="15.75" customHeight="1" x14ac:dyDescent="0.3">
      <c r="A461" s="4" t="s">
        <v>1916</v>
      </c>
      <c r="B461" s="3">
        <v>45835.552071759259</v>
      </c>
      <c r="C461" s="2" t="s">
        <v>112</v>
      </c>
      <c r="D461" s="2" t="s">
        <v>113</v>
      </c>
      <c r="E461" s="2" t="s">
        <v>50</v>
      </c>
      <c r="F461" s="2">
        <v>14000</v>
      </c>
      <c r="G461" s="2">
        <v>1</v>
      </c>
      <c r="H461" s="2">
        <v>10</v>
      </c>
      <c r="I461">
        <f t="shared" si="35"/>
        <v>14000</v>
      </c>
      <c r="J461">
        <f t="shared" si="36"/>
        <v>1400</v>
      </c>
      <c r="K461" s="6">
        <f t="shared" si="37"/>
        <v>12600</v>
      </c>
      <c r="L461" s="2">
        <v>18000</v>
      </c>
      <c r="M461" s="6">
        <f>Table1[[#This Row],[Total Sales]]+Table1[[#This Row],[Shipping Fee]]</f>
        <v>30600</v>
      </c>
      <c r="N461" s="2" t="s">
        <v>63</v>
      </c>
      <c r="O461" t="str">
        <f>VLOOKUP(Table1[[#This Row],[Order ID]],Status!A:B, 2,FALSE)</f>
        <v>Completed</v>
      </c>
      <c r="P461" s="2" t="s">
        <v>36</v>
      </c>
      <c r="Q461" s="2">
        <v>5</v>
      </c>
      <c r="R461" s="2" t="s">
        <v>24</v>
      </c>
      <c r="S461" s="11" t="str">
        <f t="shared" si="38"/>
        <v>Bagus</v>
      </c>
      <c r="T461" s="2" t="str">
        <f t="shared" si="39"/>
        <v>Sangat Rendah</v>
      </c>
    </row>
    <row r="462" spans="1:20" ht="15.75" customHeight="1" x14ac:dyDescent="0.3">
      <c r="A462" s="4" t="s">
        <v>1915</v>
      </c>
      <c r="B462" s="3">
        <v>45835.074872685182</v>
      </c>
      <c r="C462" s="2" t="s">
        <v>473</v>
      </c>
      <c r="D462" s="2" t="s">
        <v>122</v>
      </c>
      <c r="E462" s="2" t="s">
        <v>21</v>
      </c>
      <c r="F462" s="2">
        <v>45000</v>
      </c>
      <c r="G462" s="2">
        <v>3</v>
      </c>
      <c r="H462" s="2">
        <v>0</v>
      </c>
      <c r="I462">
        <f t="shared" si="35"/>
        <v>135000</v>
      </c>
      <c r="J462">
        <f t="shared" si="36"/>
        <v>0</v>
      </c>
      <c r="K462" s="6">
        <f t="shared" si="37"/>
        <v>135000</v>
      </c>
      <c r="L462" s="2">
        <v>78000</v>
      </c>
      <c r="M462" s="6">
        <f>Table1[[#This Row],[Total Sales]]+Table1[[#This Row],[Shipping Fee]]</f>
        <v>213000</v>
      </c>
      <c r="N462" s="2" t="s">
        <v>29</v>
      </c>
      <c r="O462" t="str">
        <f>VLOOKUP(Table1[[#This Row],[Order ID]],Status!A:B, 2,FALSE)</f>
        <v>Completed</v>
      </c>
      <c r="P462" s="2" t="s">
        <v>36</v>
      </c>
      <c r="Q462" s="2">
        <v>4</v>
      </c>
      <c r="R462" s="2" t="s">
        <v>24</v>
      </c>
      <c r="S462" s="11" t="str">
        <f t="shared" si="38"/>
        <v>Bagus</v>
      </c>
      <c r="T462" s="2" t="str">
        <f t="shared" si="39"/>
        <v>Sangat Rendah</v>
      </c>
    </row>
    <row r="463" spans="1:20" ht="15.75" customHeight="1" x14ac:dyDescent="0.3">
      <c r="A463" s="4" t="s">
        <v>1914</v>
      </c>
      <c r="B463" s="3">
        <v>45835.018020833333</v>
      </c>
      <c r="C463" s="2" t="s">
        <v>774</v>
      </c>
      <c r="D463" s="2" t="s">
        <v>262</v>
      </c>
      <c r="E463" s="2" t="s">
        <v>250</v>
      </c>
      <c r="F463" s="2">
        <v>18000</v>
      </c>
      <c r="G463" s="2">
        <v>1</v>
      </c>
      <c r="H463" s="2">
        <v>10</v>
      </c>
      <c r="I463">
        <f t="shared" si="35"/>
        <v>18000</v>
      </c>
      <c r="J463">
        <f t="shared" si="36"/>
        <v>1800</v>
      </c>
      <c r="K463" s="6">
        <f t="shared" si="37"/>
        <v>16200</v>
      </c>
      <c r="L463" s="2">
        <v>18000</v>
      </c>
      <c r="M463" s="6">
        <f>Table1[[#This Row],[Total Sales]]+Table1[[#This Row],[Shipping Fee]]</f>
        <v>34200</v>
      </c>
      <c r="N463" s="2" t="s">
        <v>29</v>
      </c>
      <c r="O463" t="str">
        <f>VLOOKUP(Table1[[#This Row],[Order ID]],Status!A:B, 2,FALSE)</f>
        <v>Completed</v>
      </c>
      <c r="P463" s="2" t="s">
        <v>36</v>
      </c>
      <c r="Q463" s="2">
        <v>2</v>
      </c>
      <c r="R463" s="2" t="s">
        <v>24</v>
      </c>
      <c r="S463" s="11" t="str">
        <f t="shared" si="38"/>
        <v>Rendah</v>
      </c>
      <c r="T463" s="2" t="str">
        <f t="shared" si="39"/>
        <v>Sangat Rendah</v>
      </c>
    </row>
    <row r="464" spans="1:20" ht="15.75" customHeight="1" x14ac:dyDescent="0.3">
      <c r="A464" s="4" t="s">
        <v>1913</v>
      </c>
      <c r="B464" s="3">
        <v>45834.879988425928</v>
      </c>
      <c r="C464" s="2" t="s">
        <v>515</v>
      </c>
      <c r="D464" s="2" t="s">
        <v>182</v>
      </c>
      <c r="E464" s="2" t="s">
        <v>88</v>
      </c>
      <c r="F464" s="2">
        <v>14000</v>
      </c>
      <c r="G464" s="2">
        <v>2</v>
      </c>
      <c r="H464" s="2">
        <v>5</v>
      </c>
      <c r="I464">
        <f t="shared" si="35"/>
        <v>28000</v>
      </c>
      <c r="J464">
        <f t="shared" si="36"/>
        <v>1400</v>
      </c>
      <c r="K464" s="6">
        <f t="shared" si="37"/>
        <v>26600</v>
      </c>
      <c r="L464" s="2">
        <v>48000</v>
      </c>
      <c r="M464" s="6">
        <f>Table1[[#This Row],[Total Sales]]+Table1[[#This Row],[Shipping Fee]]</f>
        <v>74600</v>
      </c>
      <c r="N464" s="2" t="s">
        <v>63</v>
      </c>
      <c r="O464" t="str">
        <f>VLOOKUP(Table1[[#This Row],[Order ID]],Status!A:B, 2,FALSE)</f>
        <v>Completed</v>
      </c>
      <c r="P464" s="2" t="s">
        <v>46</v>
      </c>
      <c r="Q464" s="2">
        <v>1</v>
      </c>
      <c r="R464" s="2" t="s">
        <v>24</v>
      </c>
      <c r="S464" s="11" t="str">
        <f t="shared" si="38"/>
        <v>Rendah</v>
      </c>
      <c r="T464" s="2" t="str">
        <f t="shared" si="39"/>
        <v>Sangat Rendah</v>
      </c>
    </row>
    <row r="465" spans="1:20" ht="15.75" customHeight="1" x14ac:dyDescent="0.3">
      <c r="A465" s="4" t="s">
        <v>1912</v>
      </c>
      <c r="B465" s="3">
        <v>45834.859282407408</v>
      </c>
      <c r="C465" s="2" t="s">
        <v>243</v>
      </c>
      <c r="D465" s="2" t="s">
        <v>244</v>
      </c>
      <c r="E465" s="2" t="s">
        <v>250</v>
      </c>
      <c r="F465" s="2">
        <v>18000</v>
      </c>
      <c r="G465" s="2">
        <v>5</v>
      </c>
      <c r="H465" s="2">
        <v>0</v>
      </c>
      <c r="I465">
        <f t="shared" si="35"/>
        <v>90000</v>
      </c>
      <c r="J465">
        <f t="shared" si="36"/>
        <v>0</v>
      </c>
      <c r="K465" s="6">
        <f t="shared" si="37"/>
        <v>90000</v>
      </c>
      <c r="L465" s="2">
        <v>80000</v>
      </c>
      <c r="M465" s="6">
        <f>Table1[[#This Row],[Total Sales]]+Table1[[#This Row],[Shipping Fee]]</f>
        <v>170000</v>
      </c>
      <c r="N465" s="2" t="s">
        <v>22</v>
      </c>
      <c r="O465" t="str">
        <f>VLOOKUP(Table1[[#This Row],[Order ID]],Status!A:B, 2,FALSE)</f>
        <v>Returned</v>
      </c>
      <c r="P465" s="2" t="s">
        <v>82</v>
      </c>
      <c r="Q465" s="2">
        <v>4</v>
      </c>
      <c r="R465" s="2" t="s">
        <v>37</v>
      </c>
      <c r="S465" s="11" t="str">
        <f t="shared" si="38"/>
        <v>Bagus</v>
      </c>
      <c r="T465" s="2" t="str">
        <f t="shared" si="39"/>
        <v>Sangat Rendah</v>
      </c>
    </row>
    <row r="466" spans="1:20" ht="15.75" customHeight="1" x14ac:dyDescent="0.3">
      <c r="A466" s="4" t="s">
        <v>1911</v>
      </c>
      <c r="B466" s="3">
        <v>45834.511157407411</v>
      </c>
      <c r="C466" s="2" t="s">
        <v>106</v>
      </c>
      <c r="D466" s="2" t="s">
        <v>107</v>
      </c>
      <c r="E466" s="2" t="s">
        <v>136</v>
      </c>
      <c r="F466" s="2">
        <v>12000</v>
      </c>
      <c r="G466" s="2">
        <v>1</v>
      </c>
      <c r="H466" s="2">
        <v>10</v>
      </c>
      <c r="I466">
        <f t="shared" si="35"/>
        <v>12000</v>
      </c>
      <c r="J466">
        <f t="shared" si="36"/>
        <v>1200</v>
      </c>
      <c r="K466" s="6">
        <f t="shared" si="37"/>
        <v>10800</v>
      </c>
      <c r="L466" s="2">
        <v>97000</v>
      </c>
      <c r="M466" s="6">
        <f>Table1[[#This Row],[Total Sales]]+Table1[[#This Row],[Shipping Fee]]</f>
        <v>107800</v>
      </c>
      <c r="N466" s="2" t="s">
        <v>63</v>
      </c>
      <c r="O466" t="str">
        <f>VLOOKUP(Table1[[#This Row],[Order ID]],Status!A:B, 2,FALSE)</f>
        <v>Completed</v>
      </c>
      <c r="P466" s="2" t="s">
        <v>82</v>
      </c>
      <c r="Q466" s="2">
        <v>2</v>
      </c>
      <c r="R466" s="2" t="s">
        <v>24</v>
      </c>
      <c r="S466" s="11" t="str">
        <f t="shared" si="38"/>
        <v>Rendah</v>
      </c>
      <c r="T466" s="2" t="str">
        <f t="shared" si="39"/>
        <v>Sangat Rendah</v>
      </c>
    </row>
    <row r="467" spans="1:20" ht="15.75" customHeight="1" x14ac:dyDescent="0.3">
      <c r="A467" s="4" t="s">
        <v>1910</v>
      </c>
      <c r="B467" s="3">
        <v>45834.40934027778</v>
      </c>
      <c r="C467" s="2" t="s">
        <v>118</v>
      </c>
      <c r="D467" s="2" t="s">
        <v>119</v>
      </c>
      <c r="E467" s="2" t="s">
        <v>75</v>
      </c>
      <c r="F467" s="2">
        <v>55000</v>
      </c>
      <c r="G467" s="2">
        <v>3</v>
      </c>
      <c r="H467" s="2">
        <v>5</v>
      </c>
      <c r="I467">
        <f t="shared" si="35"/>
        <v>165000</v>
      </c>
      <c r="J467">
        <f t="shared" si="36"/>
        <v>8250</v>
      </c>
      <c r="K467" s="6">
        <f t="shared" si="37"/>
        <v>156750</v>
      </c>
      <c r="L467" s="2">
        <v>0</v>
      </c>
      <c r="M467" s="6">
        <f>Table1[[#This Row],[Total Sales]]+Table1[[#This Row],[Shipping Fee]]</f>
        <v>156750</v>
      </c>
      <c r="N467" s="2" t="s">
        <v>22</v>
      </c>
      <c r="O467" t="str">
        <f>VLOOKUP(Table1[[#This Row],[Order ID]],Status!A:B, 2,FALSE)</f>
        <v>Cancelled</v>
      </c>
      <c r="P467" s="2" t="s">
        <v>23</v>
      </c>
      <c r="Q467" s="2">
        <v>1</v>
      </c>
      <c r="R467" s="2" t="s">
        <v>24</v>
      </c>
      <c r="S467" s="11" t="str">
        <f t="shared" si="38"/>
        <v>Rendah</v>
      </c>
      <c r="T467" s="2" t="str">
        <f t="shared" si="39"/>
        <v>Rendah</v>
      </c>
    </row>
    <row r="468" spans="1:20" ht="15.75" customHeight="1" x14ac:dyDescent="0.3">
      <c r="A468" s="4" t="s">
        <v>1909</v>
      </c>
      <c r="B468" s="3">
        <v>45834.260358796288</v>
      </c>
      <c r="C468" s="2" t="s">
        <v>1040</v>
      </c>
      <c r="D468" s="2" t="s">
        <v>61</v>
      </c>
      <c r="E468" s="2" t="s">
        <v>138</v>
      </c>
      <c r="F468" s="2">
        <v>17000</v>
      </c>
      <c r="G468" s="2">
        <v>4</v>
      </c>
      <c r="H468" s="2">
        <v>15</v>
      </c>
      <c r="I468">
        <f t="shared" si="35"/>
        <v>68000</v>
      </c>
      <c r="J468">
        <f t="shared" si="36"/>
        <v>10200</v>
      </c>
      <c r="K468" s="6">
        <f t="shared" si="37"/>
        <v>57800</v>
      </c>
      <c r="L468" s="2">
        <v>26000</v>
      </c>
      <c r="M468" s="6">
        <f>Table1[[#This Row],[Total Sales]]+Table1[[#This Row],[Shipping Fee]]</f>
        <v>83800</v>
      </c>
      <c r="N468" s="2" t="s">
        <v>63</v>
      </c>
      <c r="O468" t="str">
        <f>VLOOKUP(Table1[[#This Row],[Order ID]],Status!A:B, 2,FALSE)</f>
        <v>Completed</v>
      </c>
      <c r="P468" s="2" t="s">
        <v>46</v>
      </c>
      <c r="Q468" s="2">
        <v>2</v>
      </c>
      <c r="R468" s="2" t="s">
        <v>24</v>
      </c>
      <c r="S468" s="11" t="str">
        <f t="shared" si="38"/>
        <v>Rendah</v>
      </c>
      <c r="T468" s="2" t="str">
        <f t="shared" si="39"/>
        <v>Normal</v>
      </c>
    </row>
    <row r="469" spans="1:20" ht="15.75" customHeight="1" x14ac:dyDescent="0.3">
      <c r="A469" s="4" t="s">
        <v>1908</v>
      </c>
      <c r="B469" s="3">
        <v>45834.124675925923</v>
      </c>
      <c r="C469" s="2" t="s">
        <v>891</v>
      </c>
      <c r="D469" s="2" t="s">
        <v>126</v>
      </c>
      <c r="E469" s="2" t="s">
        <v>75</v>
      </c>
      <c r="F469" s="2">
        <v>55000</v>
      </c>
      <c r="G469" s="2">
        <v>1</v>
      </c>
      <c r="H469" s="2">
        <v>10</v>
      </c>
      <c r="I469">
        <f t="shared" si="35"/>
        <v>55000</v>
      </c>
      <c r="J469">
        <f t="shared" si="36"/>
        <v>5500</v>
      </c>
      <c r="K469" s="6">
        <f t="shared" si="37"/>
        <v>49500</v>
      </c>
      <c r="L469" s="2">
        <v>84000</v>
      </c>
      <c r="M469" s="6">
        <f>Table1[[#This Row],[Total Sales]]+Table1[[#This Row],[Shipping Fee]]</f>
        <v>133500</v>
      </c>
      <c r="N469" s="2" t="s">
        <v>22</v>
      </c>
      <c r="O469" t="str">
        <f>VLOOKUP(Table1[[#This Row],[Order ID]],Status!A:B, 2,FALSE)</f>
        <v>Completed</v>
      </c>
      <c r="P469" s="2" t="s">
        <v>82</v>
      </c>
      <c r="Q469" s="2">
        <v>3</v>
      </c>
      <c r="R469" s="2" t="s">
        <v>37</v>
      </c>
      <c r="S469" s="11" t="str">
        <f t="shared" si="38"/>
        <v>Standar</v>
      </c>
      <c r="T469" s="2" t="str">
        <f t="shared" si="39"/>
        <v>Rendah</v>
      </c>
    </row>
    <row r="470" spans="1:20" ht="15.75" customHeight="1" x14ac:dyDescent="0.3">
      <c r="A470" s="4" t="s">
        <v>1907</v>
      </c>
      <c r="B470" s="3">
        <v>45834.059502314813</v>
      </c>
      <c r="C470" s="2" t="s">
        <v>222</v>
      </c>
      <c r="D470" s="2" t="s">
        <v>49</v>
      </c>
      <c r="E470" s="2" t="s">
        <v>190</v>
      </c>
      <c r="F470" s="2">
        <v>35000</v>
      </c>
      <c r="G470" s="2">
        <v>3</v>
      </c>
      <c r="H470" s="2">
        <v>10</v>
      </c>
      <c r="I470">
        <f t="shared" si="35"/>
        <v>105000</v>
      </c>
      <c r="J470">
        <f t="shared" si="36"/>
        <v>10500</v>
      </c>
      <c r="K470" s="6">
        <f t="shared" si="37"/>
        <v>94500</v>
      </c>
      <c r="L470" s="2">
        <v>43000</v>
      </c>
      <c r="M470" s="6">
        <f>Table1[[#This Row],[Total Sales]]+Table1[[#This Row],[Shipping Fee]]</f>
        <v>137500</v>
      </c>
      <c r="N470" s="2" t="s">
        <v>29</v>
      </c>
      <c r="O470" t="str">
        <f>VLOOKUP(Table1[[#This Row],[Order ID]],Status!A:B, 2,FALSE)</f>
        <v>Completed</v>
      </c>
      <c r="P470" s="2" t="s">
        <v>46</v>
      </c>
      <c r="Q470" s="2">
        <v>3</v>
      </c>
      <c r="R470" s="2" t="s">
        <v>24</v>
      </c>
      <c r="S470" s="11" t="str">
        <f t="shared" si="38"/>
        <v>Standar</v>
      </c>
      <c r="T470" s="2" t="str">
        <f t="shared" si="39"/>
        <v>Normal</v>
      </c>
    </row>
    <row r="471" spans="1:20" ht="15.75" customHeight="1" x14ac:dyDescent="0.3">
      <c r="A471" s="4" t="s">
        <v>1906</v>
      </c>
      <c r="B471" s="3">
        <v>45833.859907407408</v>
      </c>
      <c r="C471" s="2" t="s">
        <v>1654</v>
      </c>
      <c r="D471" s="2" t="s">
        <v>74</v>
      </c>
      <c r="E471" s="2" t="s">
        <v>28</v>
      </c>
      <c r="F471" s="2">
        <v>5000</v>
      </c>
      <c r="G471" s="2">
        <v>3</v>
      </c>
      <c r="H471" s="2">
        <v>0</v>
      </c>
      <c r="I471">
        <f t="shared" si="35"/>
        <v>15000</v>
      </c>
      <c r="J471">
        <f t="shared" si="36"/>
        <v>0</v>
      </c>
      <c r="K471" s="6">
        <f t="shared" si="37"/>
        <v>15000</v>
      </c>
      <c r="L471" s="2">
        <v>87000</v>
      </c>
      <c r="M471" s="6">
        <f>Table1[[#This Row],[Total Sales]]+Table1[[#This Row],[Shipping Fee]]</f>
        <v>102000</v>
      </c>
      <c r="N471" s="2" t="s">
        <v>35</v>
      </c>
      <c r="O471" t="str">
        <f>VLOOKUP(Table1[[#This Row],[Order ID]],Status!A:B, 2,FALSE)</f>
        <v>Completed</v>
      </c>
      <c r="P471" s="2" t="s">
        <v>36</v>
      </c>
      <c r="Q471" s="2">
        <v>2</v>
      </c>
      <c r="R471" s="2" t="s">
        <v>37</v>
      </c>
      <c r="S471" s="11" t="str">
        <f t="shared" si="38"/>
        <v>Rendah</v>
      </c>
      <c r="T471" s="2" t="str">
        <f t="shared" si="39"/>
        <v>Sangat Rendah</v>
      </c>
    </row>
    <row r="472" spans="1:20" ht="15.75" customHeight="1" x14ac:dyDescent="0.3">
      <c r="A472" s="4" t="s">
        <v>1905</v>
      </c>
      <c r="B472" s="3">
        <v>45833.297638888893</v>
      </c>
      <c r="C472" s="2" t="s">
        <v>985</v>
      </c>
      <c r="D472" s="2" t="s">
        <v>53</v>
      </c>
      <c r="E472" s="2" t="s">
        <v>54</v>
      </c>
      <c r="F472" s="2">
        <v>16000</v>
      </c>
      <c r="G472" s="2">
        <v>2</v>
      </c>
      <c r="H472" s="2">
        <v>10</v>
      </c>
      <c r="I472">
        <f t="shared" si="35"/>
        <v>32000</v>
      </c>
      <c r="J472">
        <f t="shared" si="36"/>
        <v>3200</v>
      </c>
      <c r="K472" s="6">
        <f t="shared" si="37"/>
        <v>28800</v>
      </c>
      <c r="L472" s="2">
        <v>18000</v>
      </c>
      <c r="M472" s="6">
        <f>Table1[[#This Row],[Total Sales]]+Table1[[#This Row],[Shipping Fee]]</f>
        <v>46800</v>
      </c>
      <c r="N472" s="2" t="s">
        <v>63</v>
      </c>
      <c r="O472" t="str">
        <f>VLOOKUP(Table1[[#This Row],[Order ID]],Status!A:B, 2,FALSE)</f>
        <v>Returned</v>
      </c>
      <c r="P472" s="2" t="s">
        <v>23</v>
      </c>
      <c r="Q472" s="2">
        <v>5</v>
      </c>
      <c r="R472" s="2" t="s">
        <v>24</v>
      </c>
      <c r="S472" s="11" t="str">
        <f t="shared" si="38"/>
        <v>Bagus</v>
      </c>
      <c r="T472" s="2" t="str">
        <f t="shared" si="39"/>
        <v>Sangat Rendah</v>
      </c>
    </row>
    <row r="473" spans="1:20" ht="15.75" customHeight="1" x14ac:dyDescent="0.3">
      <c r="A473" s="4" t="s">
        <v>1904</v>
      </c>
      <c r="B473" s="3">
        <v>45833.024351851847</v>
      </c>
      <c r="C473" s="2" t="s">
        <v>267</v>
      </c>
      <c r="D473" s="2" t="s">
        <v>131</v>
      </c>
      <c r="E473" s="2" t="s">
        <v>190</v>
      </c>
      <c r="F473" s="2">
        <v>35000</v>
      </c>
      <c r="G473" s="2">
        <v>4</v>
      </c>
      <c r="H473" s="2">
        <v>15</v>
      </c>
      <c r="I473">
        <f t="shared" si="35"/>
        <v>140000</v>
      </c>
      <c r="J473">
        <f t="shared" si="36"/>
        <v>21000</v>
      </c>
      <c r="K473" s="6">
        <f t="shared" si="37"/>
        <v>119000</v>
      </c>
      <c r="L473" s="2">
        <v>59000</v>
      </c>
      <c r="M473" s="6">
        <f>Table1[[#This Row],[Total Sales]]+Table1[[#This Row],[Shipping Fee]]</f>
        <v>178000</v>
      </c>
      <c r="N473" s="2" t="s">
        <v>63</v>
      </c>
      <c r="O473" t="str">
        <f>VLOOKUP(Table1[[#This Row],[Order ID]],Status!A:B, 2,FALSE)</f>
        <v>Completed</v>
      </c>
      <c r="P473" s="2" t="s">
        <v>23</v>
      </c>
      <c r="Q473" s="2">
        <v>4</v>
      </c>
      <c r="R473" s="2" t="s">
        <v>24</v>
      </c>
      <c r="S473" s="11" t="str">
        <f t="shared" si="38"/>
        <v>Bagus</v>
      </c>
      <c r="T473" s="2" t="str">
        <f t="shared" si="39"/>
        <v>Tinggi</v>
      </c>
    </row>
    <row r="474" spans="1:20" ht="15.75" customHeight="1" x14ac:dyDescent="0.3">
      <c r="A474" s="4" t="s">
        <v>1903</v>
      </c>
      <c r="B474" s="3">
        <v>45832.955671296288</v>
      </c>
      <c r="C474" s="2" t="s">
        <v>337</v>
      </c>
      <c r="D474" s="2" t="s">
        <v>131</v>
      </c>
      <c r="E474" s="2" t="s">
        <v>144</v>
      </c>
      <c r="F474" s="2">
        <v>18000</v>
      </c>
      <c r="G474" s="2">
        <v>5</v>
      </c>
      <c r="H474" s="2">
        <v>0</v>
      </c>
      <c r="I474">
        <f t="shared" si="35"/>
        <v>90000</v>
      </c>
      <c r="J474">
        <f t="shared" si="36"/>
        <v>0</v>
      </c>
      <c r="K474" s="6">
        <f t="shared" si="37"/>
        <v>90000</v>
      </c>
      <c r="L474" s="2">
        <v>59000</v>
      </c>
      <c r="M474" s="6">
        <f>Table1[[#This Row],[Total Sales]]+Table1[[#This Row],[Shipping Fee]]</f>
        <v>149000</v>
      </c>
      <c r="N474" s="2" t="s">
        <v>29</v>
      </c>
      <c r="O474" t="str">
        <f>VLOOKUP(Table1[[#This Row],[Order ID]],Status!A:B, 2,FALSE)</f>
        <v>Completed</v>
      </c>
      <c r="P474" s="2" t="s">
        <v>23</v>
      </c>
      <c r="Q474" s="2">
        <v>5</v>
      </c>
      <c r="R474" s="2" t="s">
        <v>24</v>
      </c>
      <c r="S474" s="11" t="str">
        <f t="shared" si="38"/>
        <v>Bagus</v>
      </c>
      <c r="T474" s="2" t="str">
        <f t="shared" si="39"/>
        <v>Sangat Rendah</v>
      </c>
    </row>
    <row r="475" spans="1:20" ht="15.75" customHeight="1" x14ac:dyDescent="0.3">
      <c r="A475" s="4" t="s">
        <v>1902</v>
      </c>
      <c r="B475" s="3">
        <v>45832.70207175926</v>
      </c>
      <c r="C475" s="2" t="s">
        <v>1047</v>
      </c>
      <c r="D475" s="2" t="s">
        <v>160</v>
      </c>
      <c r="E475" s="2" t="s">
        <v>38</v>
      </c>
      <c r="F475" s="2">
        <v>28000</v>
      </c>
      <c r="G475" s="2">
        <v>3</v>
      </c>
      <c r="H475" s="2">
        <v>5</v>
      </c>
      <c r="I475">
        <f t="shared" si="35"/>
        <v>84000</v>
      </c>
      <c r="J475">
        <f t="shared" si="36"/>
        <v>4200</v>
      </c>
      <c r="K475" s="6">
        <f t="shared" si="37"/>
        <v>79800</v>
      </c>
      <c r="L475" s="2">
        <v>68000</v>
      </c>
      <c r="M475" s="6">
        <f>Table1[[#This Row],[Total Sales]]+Table1[[#This Row],[Shipping Fee]]</f>
        <v>147800</v>
      </c>
      <c r="N475" s="2" t="s">
        <v>22</v>
      </c>
      <c r="O475" t="str">
        <f>VLOOKUP(Table1[[#This Row],[Order ID]],Status!A:B, 2,FALSE)</f>
        <v>Completed</v>
      </c>
      <c r="P475" s="2" t="s">
        <v>82</v>
      </c>
      <c r="Q475" s="2">
        <v>3</v>
      </c>
      <c r="R475" s="2" t="s">
        <v>24</v>
      </c>
      <c r="S475" s="11" t="str">
        <f t="shared" si="38"/>
        <v>Standar</v>
      </c>
      <c r="T475" s="2" t="str">
        <f t="shared" si="39"/>
        <v>Sangat Rendah</v>
      </c>
    </row>
    <row r="476" spans="1:20" ht="15.75" customHeight="1" x14ac:dyDescent="0.3">
      <c r="A476" s="4" t="s">
        <v>1901</v>
      </c>
      <c r="B476" s="3">
        <v>45832.615891203714</v>
      </c>
      <c r="C476" s="2" t="s">
        <v>1199</v>
      </c>
      <c r="D476" s="2" t="s">
        <v>375</v>
      </c>
      <c r="E476" s="2" t="s">
        <v>123</v>
      </c>
      <c r="F476" s="2">
        <v>22000</v>
      </c>
      <c r="G476" s="2">
        <v>2</v>
      </c>
      <c r="H476" s="2">
        <v>20</v>
      </c>
      <c r="I476">
        <f t="shared" si="35"/>
        <v>44000</v>
      </c>
      <c r="J476">
        <f t="shared" si="36"/>
        <v>8800</v>
      </c>
      <c r="K476" s="6">
        <f t="shared" si="37"/>
        <v>35200</v>
      </c>
      <c r="L476" s="2">
        <v>21000</v>
      </c>
      <c r="M476" s="6">
        <f>Table1[[#This Row],[Total Sales]]+Table1[[#This Row],[Shipping Fee]]</f>
        <v>56200</v>
      </c>
      <c r="N476" s="2" t="s">
        <v>35</v>
      </c>
      <c r="O476" t="str">
        <f>VLOOKUP(Table1[[#This Row],[Order ID]],Status!A:B, 2,FALSE)</f>
        <v>Completed</v>
      </c>
      <c r="P476" s="2" t="s">
        <v>36</v>
      </c>
      <c r="Q476" s="2">
        <v>1</v>
      </c>
      <c r="R476" s="2" t="s">
        <v>24</v>
      </c>
      <c r="S476" s="11" t="str">
        <f t="shared" si="38"/>
        <v>Rendah</v>
      </c>
      <c r="T476" s="2" t="str">
        <f t="shared" si="39"/>
        <v>Rendah</v>
      </c>
    </row>
    <row r="477" spans="1:20" ht="15.75" customHeight="1" x14ac:dyDescent="0.3">
      <c r="A477" s="4" t="s">
        <v>1900</v>
      </c>
      <c r="B477" s="3">
        <v>45832.112662037027</v>
      </c>
      <c r="C477" s="2" t="s">
        <v>638</v>
      </c>
      <c r="D477" s="2" t="s">
        <v>195</v>
      </c>
      <c r="E477" s="2" t="s">
        <v>81</v>
      </c>
      <c r="F477" s="2">
        <v>17000</v>
      </c>
      <c r="G477" s="2">
        <v>2</v>
      </c>
      <c r="H477" s="2">
        <v>15</v>
      </c>
      <c r="I477">
        <f t="shared" si="35"/>
        <v>34000</v>
      </c>
      <c r="J477">
        <f t="shared" si="36"/>
        <v>5100</v>
      </c>
      <c r="K477" s="6">
        <f t="shared" si="37"/>
        <v>28900</v>
      </c>
      <c r="L477" s="2">
        <v>87000</v>
      </c>
      <c r="M477" s="6">
        <f>Table1[[#This Row],[Total Sales]]+Table1[[#This Row],[Shipping Fee]]</f>
        <v>115900</v>
      </c>
      <c r="N477" s="2" t="s">
        <v>22</v>
      </c>
      <c r="O477" t="str">
        <f>VLOOKUP(Table1[[#This Row],[Order ID]],Status!A:B, 2,FALSE)</f>
        <v>Completed</v>
      </c>
      <c r="P477" s="2" t="s">
        <v>30</v>
      </c>
      <c r="Q477" s="2">
        <v>5</v>
      </c>
      <c r="R477" s="2" t="s">
        <v>37</v>
      </c>
      <c r="S477" s="11" t="str">
        <f t="shared" si="38"/>
        <v>Bagus</v>
      </c>
      <c r="T477" s="2" t="str">
        <f t="shared" si="39"/>
        <v>Rendah</v>
      </c>
    </row>
    <row r="478" spans="1:20" ht="15.75" customHeight="1" x14ac:dyDescent="0.3">
      <c r="A478" s="4" t="s">
        <v>1899</v>
      </c>
      <c r="B478" s="3">
        <v>45831.82885416667</v>
      </c>
      <c r="C478" s="2" t="s">
        <v>271</v>
      </c>
      <c r="D478" s="2" t="s">
        <v>49</v>
      </c>
      <c r="E478" s="2" t="s">
        <v>190</v>
      </c>
      <c r="F478" s="2">
        <v>35000</v>
      </c>
      <c r="G478" s="2">
        <v>1</v>
      </c>
      <c r="H478" s="2">
        <v>0</v>
      </c>
      <c r="I478">
        <f t="shared" si="35"/>
        <v>35000</v>
      </c>
      <c r="J478">
        <f t="shared" si="36"/>
        <v>0</v>
      </c>
      <c r="K478" s="6">
        <f t="shared" si="37"/>
        <v>35000</v>
      </c>
      <c r="L478" s="2">
        <v>43000</v>
      </c>
      <c r="M478" s="6">
        <f>Table1[[#This Row],[Total Sales]]+Table1[[#This Row],[Shipping Fee]]</f>
        <v>78000</v>
      </c>
      <c r="N478" s="2" t="s">
        <v>22</v>
      </c>
      <c r="O478" t="str">
        <f>VLOOKUP(Table1[[#This Row],[Order ID]],Status!A:B, 2,FALSE)</f>
        <v>Completed</v>
      </c>
      <c r="P478" s="2" t="s">
        <v>23</v>
      </c>
      <c r="Q478" s="2">
        <v>1</v>
      </c>
      <c r="R478" s="2" t="s">
        <v>24</v>
      </c>
      <c r="S478" s="11" t="str">
        <f t="shared" si="38"/>
        <v>Rendah</v>
      </c>
      <c r="T478" s="2" t="str">
        <f t="shared" si="39"/>
        <v>Sangat Rendah</v>
      </c>
    </row>
    <row r="479" spans="1:20" ht="15.75" customHeight="1" x14ac:dyDescent="0.3">
      <c r="A479" s="4" t="s">
        <v>1898</v>
      </c>
      <c r="B479" s="3">
        <v>45831.597777777781</v>
      </c>
      <c r="C479" s="2" t="s">
        <v>326</v>
      </c>
      <c r="D479" s="2" t="s">
        <v>262</v>
      </c>
      <c r="E479" s="2" t="s">
        <v>28</v>
      </c>
      <c r="F479" s="2">
        <v>5000</v>
      </c>
      <c r="G479" s="2">
        <v>1</v>
      </c>
      <c r="H479" s="2">
        <v>20</v>
      </c>
      <c r="I479">
        <f t="shared" si="35"/>
        <v>5000</v>
      </c>
      <c r="J479">
        <f t="shared" si="36"/>
        <v>1000</v>
      </c>
      <c r="K479" s="6">
        <f t="shared" si="37"/>
        <v>4000</v>
      </c>
      <c r="L479" s="2">
        <v>18000</v>
      </c>
      <c r="M479" s="6">
        <f>Table1[[#This Row],[Total Sales]]+Table1[[#This Row],[Shipping Fee]]</f>
        <v>22000</v>
      </c>
      <c r="N479" s="2" t="s">
        <v>35</v>
      </c>
      <c r="O479" t="str">
        <f>VLOOKUP(Table1[[#This Row],[Order ID]],Status!A:B, 2,FALSE)</f>
        <v>Completed</v>
      </c>
      <c r="P479" s="2" t="s">
        <v>82</v>
      </c>
      <c r="Q479" s="2">
        <v>4</v>
      </c>
      <c r="R479" s="2" t="s">
        <v>37</v>
      </c>
      <c r="S479" s="11" t="str">
        <f t="shared" si="38"/>
        <v>Bagus</v>
      </c>
      <c r="T479" s="2" t="str">
        <f t="shared" si="39"/>
        <v>Sangat Rendah</v>
      </c>
    </row>
    <row r="480" spans="1:20" ht="15.75" customHeight="1" x14ac:dyDescent="0.3">
      <c r="A480" s="4" t="s">
        <v>1897</v>
      </c>
      <c r="B480" s="3">
        <v>45831.528344907398</v>
      </c>
      <c r="C480" s="2" t="s">
        <v>314</v>
      </c>
      <c r="D480" s="2" t="s">
        <v>113</v>
      </c>
      <c r="E480" s="2" t="s">
        <v>45</v>
      </c>
      <c r="F480" s="2">
        <v>40000</v>
      </c>
      <c r="G480" s="2">
        <v>1</v>
      </c>
      <c r="H480" s="2">
        <v>5</v>
      </c>
      <c r="I480">
        <f t="shared" si="35"/>
        <v>40000</v>
      </c>
      <c r="J480">
        <f t="shared" si="36"/>
        <v>2000</v>
      </c>
      <c r="K480" s="6">
        <f t="shared" si="37"/>
        <v>38000</v>
      </c>
      <c r="L480" s="2">
        <v>18000</v>
      </c>
      <c r="M480" s="6">
        <f>Table1[[#This Row],[Total Sales]]+Table1[[#This Row],[Shipping Fee]]</f>
        <v>56000</v>
      </c>
      <c r="N480" s="2" t="s">
        <v>63</v>
      </c>
      <c r="O480" t="str">
        <f>VLOOKUP(Table1[[#This Row],[Order ID]],Status!A:B, 2,FALSE)</f>
        <v>Completed</v>
      </c>
      <c r="P480" s="2" t="s">
        <v>23</v>
      </c>
      <c r="Q480" s="2">
        <v>2</v>
      </c>
      <c r="R480" s="2" t="s">
        <v>24</v>
      </c>
      <c r="S480" s="11" t="str">
        <f t="shared" si="38"/>
        <v>Rendah</v>
      </c>
      <c r="T480" s="2" t="str">
        <f t="shared" si="39"/>
        <v>Sangat Rendah</v>
      </c>
    </row>
    <row r="481" spans="1:20" ht="15.75" customHeight="1" x14ac:dyDescent="0.3">
      <c r="A481" s="4" t="s">
        <v>1896</v>
      </c>
      <c r="B481" s="3">
        <v>45831.452824074076</v>
      </c>
      <c r="C481" s="2" t="s">
        <v>688</v>
      </c>
      <c r="D481" s="2" t="s">
        <v>92</v>
      </c>
      <c r="E481" s="2" t="s">
        <v>138</v>
      </c>
      <c r="F481" s="2">
        <v>17000</v>
      </c>
      <c r="G481" s="2">
        <v>5</v>
      </c>
      <c r="H481" s="2">
        <v>0</v>
      </c>
      <c r="I481">
        <f t="shared" si="35"/>
        <v>85000</v>
      </c>
      <c r="J481">
        <f t="shared" si="36"/>
        <v>0</v>
      </c>
      <c r="K481" s="6">
        <f t="shared" si="37"/>
        <v>85000</v>
      </c>
      <c r="L481" s="2">
        <v>30000</v>
      </c>
      <c r="M481" s="6">
        <f>Table1[[#This Row],[Total Sales]]+Table1[[#This Row],[Shipping Fee]]</f>
        <v>115000</v>
      </c>
      <c r="N481" s="2" t="s">
        <v>35</v>
      </c>
      <c r="O481" t="str">
        <f>VLOOKUP(Table1[[#This Row],[Order ID]],Status!A:B, 2,FALSE)</f>
        <v>Completed</v>
      </c>
      <c r="P481" s="2" t="s">
        <v>23</v>
      </c>
      <c r="Q481" s="2">
        <v>4</v>
      </c>
      <c r="R481" s="2" t="s">
        <v>24</v>
      </c>
      <c r="S481" s="11" t="str">
        <f t="shared" si="38"/>
        <v>Bagus</v>
      </c>
      <c r="T481" s="2" t="str">
        <f t="shared" si="39"/>
        <v>Sangat Rendah</v>
      </c>
    </row>
    <row r="482" spans="1:20" ht="15.75" customHeight="1" x14ac:dyDescent="0.3">
      <c r="A482" s="4" t="s">
        <v>1895</v>
      </c>
      <c r="B482" s="3">
        <v>45831.159814814811</v>
      </c>
      <c r="C482" s="2" t="s">
        <v>353</v>
      </c>
      <c r="D482" s="2" t="s">
        <v>66</v>
      </c>
      <c r="E482" s="2" t="s">
        <v>62</v>
      </c>
      <c r="F482" s="2">
        <v>50000</v>
      </c>
      <c r="G482" s="2">
        <v>2</v>
      </c>
      <c r="H482" s="2">
        <v>15</v>
      </c>
      <c r="I482">
        <f t="shared" si="35"/>
        <v>100000</v>
      </c>
      <c r="J482">
        <f t="shared" si="36"/>
        <v>15000</v>
      </c>
      <c r="K482" s="6">
        <f t="shared" si="37"/>
        <v>85000</v>
      </c>
      <c r="L482" s="2">
        <v>59000</v>
      </c>
      <c r="M482" s="6">
        <f>Table1[[#This Row],[Total Sales]]+Table1[[#This Row],[Shipping Fee]]</f>
        <v>144000</v>
      </c>
      <c r="N482" s="2" t="s">
        <v>35</v>
      </c>
      <c r="O482" t="str">
        <f>VLOOKUP(Table1[[#This Row],[Order ID]],Status!A:B, 2,FALSE)</f>
        <v>Completed</v>
      </c>
      <c r="P482" s="2" t="s">
        <v>46</v>
      </c>
      <c r="Q482" s="2">
        <v>5</v>
      </c>
      <c r="R482" s="2" t="s">
        <v>24</v>
      </c>
      <c r="S482" s="11" t="str">
        <f t="shared" si="38"/>
        <v>Bagus</v>
      </c>
      <c r="T482" s="2" t="str">
        <f t="shared" si="39"/>
        <v>Normal</v>
      </c>
    </row>
    <row r="483" spans="1:20" ht="15.75" customHeight="1" x14ac:dyDescent="0.3">
      <c r="A483" s="4" t="s">
        <v>1894</v>
      </c>
      <c r="B483" s="3">
        <v>45830.878240740742</v>
      </c>
      <c r="C483" s="2" t="s">
        <v>273</v>
      </c>
      <c r="D483" s="2" t="s">
        <v>195</v>
      </c>
      <c r="E483" s="2" t="s">
        <v>136</v>
      </c>
      <c r="F483" s="2">
        <v>12000</v>
      </c>
      <c r="G483" s="2">
        <v>2</v>
      </c>
      <c r="H483" s="2">
        <v>0</v>
      </c>
      <c r="I483">
        <f t="shared" si="35"/>
        <v>24000</v>
      </c>
      <c r="J483">
        <f t="shared" si="36"/>
        <v>0</v>
      </c>
      <c r="K483" s="6">
        <f t="shared" si="37"/>
        <v>24000</v>
      </c>
      <c r="L483" s="2">
        <v>87000</v>
      </c>
      <c r="M483" s="6">
        <f>Table1[[#This Row],[Total Sales]]+Table1[[#This Row],[Shipping Fee]]</f>
        <v>111000</v>
      </c>
      <c r="N483" s="2" t="s">
        <v>22</v>
      </c>
      <c r="O483" t="str">
        <f>VLOOKUP(Table1[[#This Row],[Order ID]],Status!A:B, 2,FALSE)</f>
        <v>Completed</v>
      </c>
      <c r="P483" s="2" t="s">
        <v>30</v>
      </c>
      <c r="Q483" s="2">
        <v>5</v>
      </c>
      <c r="R483" s="2" t="s">
        <v>24</v>
      </c>
      <c r="S483" s="11" t="str">
        <f t="shared" si="38"/>
        <v>Bagus</v>
      </c>
      <c r="T483" s="2" t="str">
        <f t="shared" si="39"/>
        <v>Sangat Rendah</v>
      </c>
    </row>
    <row r="484" spans="1:20" ht="15.75" customHeight="1" x14ac:dyDescent="0.3">
      <c r="A484" s="4" t="s">
        <v>1893</v>
      </c>
      <c r="B484" s="3">
        <v>45830.708506944437</v>
      </c>
      <c r="C484" s="2" t="s">
        <v>1382</v>
      </c>
      <c r="D484" s="2" t="s">
        <v>74</v>
      </c>
      <c r="E484" s="2" t="s">
        <v>75</v>
      </c>
      <c r="F484" s="2">
        <v>55000</v>
      </c>
      <c r="G484" s="2">
        <v>2</v>
      </c>
      <c r="H484" s="2">
        <v>20</v>
      </c>
      <c r="I484">
        <f t="shared" si="35"/>
        <v>110000</v>
      </c>
      <c r="J484">
        <f t="shared" si="36"/>
        <v>22000</v>
      </c>
      <c r="K484" s="6">
        <f t="shared" si="37"/>
        <v>88000</v>
      </c>
      <c r="L484" s="2">
        <v>87000</v>
      </c>
      <c r="M484" s="6">
        <f>Table1[[#This Row],[Total Sales]]+Table1[[#This Row],[Shipping Fee]]</f>
        <v>175000</v>
      </c>
      <c r="N484" s="2" t="s">
        <v>63</v>
      </c>
      <c r="O484" t="str">
        <f>VLOOKUP(Table1[[#This Row],[Order ID]],Status!A:B, 2,FALSE)</f>
        <v>Completed</v>
      </c>
      <c r="P484" s="2" t="s">
        <v>46</v>
      </c>
      <c r="Q484" s="2">
        <v>3</v>
      </c>
      <c r="R484" s="2" t="s">
        <v>24</v>
      </c>
      <c r="S484" s="11" t="str">
        <f t="shared" si="38"/>
        <v>Standar</v>
      </c>
      <c r="T484" s="2" t="str">
        <f t="shared" si="39"/>
        <v>Tinggi</v>
      </c>
    </row>
    <row r="485" spans="1:20" ht="15.75" customHeight="1" x14ac:dyDescent="0.3">
      <c r="A485" s="4" t="s">
        <v>1892</v>
      </c>
      <c r="B485" s="3">
        <v>45830.705601851849</v>
      </c>
      <c r="C485" s="2" t="s">
        <v>1133</v>
      </c>
      <c r="D485" s="2" t="s">
        <v>80</v>
      </c>
      <c r="E485" s="2" t="s">
        <v>21</v>
      </c>
      <c r="F485" s="2">
        <v>45000</v>
      </c>
      <c r="G485" s="2">
        <v>3</v>
      </c>
      <c r="H485" s="2">
        <v>15</v>
      </c>
      <c r="I485">
        <f t="shared" si="35"/>
        <v>135000</v>
      </c>
      <c r="J485">
        <f t="shared" si="36"/>
        <v>20250</v>
      </c>
      <c r="K485" s="6">
        <f t="shared" si="37"/>
        <v>114750</v>
      </c>
      <c r="L485" s="2">
        <v>74000</v>
      </c>
      <c r="M485" s="6">
        <f>Table1[[#This Row],[Total Sales]]+Table1[[#This Row],[Shipping Fee]]</f>
        <v>188750</v>
      </c>
      <c r="N485" s="2" t="s">
        <v>22</v>
      </c>
      <c r="O485" t="str">
        <f>VLOOKUP(Table1[[#This Row],[Order ID]],Status!A:B, 2,FALSE)</f>
        <v>Returned</v>
      </c>
      <c r="P485" s="2" t="s">
        <v>46</v>
      </c>
      <c r="Q485" s="2">
        <v>2</v>
      </c>
      <c r="R485" s="2" t="s">
        <v>24</v>
      </c>
      <c r="S485" s="11" t="str">
        <f t="shared" si="38"/>
        <v>Rendah</v>
      </c>
      <c r="T485" s="2" t="str">
        <f t="shared" si="39"/>
        <v>Tinggi</v>
      </c>
    </row>
    <row r="486" spans="1:20" ht="15.75" customHeight="1" x14ac:dyDescent="0.3">
      <c r="A486" s="4" t="s">
        <v>1891</v>
      </c>
      <c r="B486" s="3">
        <v>45830.673506944448</v>
      </c>
      <c r="C486" s="2" t="s">
        <v>246</v>
      </c>
      <c r="D486" s="2" t="s">
        <v>238</v>
      </c>
      <c r="E486" s="2" t="s">
        <v>54</v>
      </c>
      <c r="F486" s="2">
        <v>16000</v>
      </c>
      <c r="G486" s="2">
        <v>2</v>
      </c>
      <c r="H486" s="2">
        <v>15</v>
      </c>
      <c r="I486">
        <f t="shared" si="35"/>
        <v>32000</v>
      </c>
      <c r="J486">
        <f t="shared" si="36"/>
        <v>4800</v>
      </c>
      <c r="K486" s="6">
        <f t="shared" si="37"/>
        <v>27200</v>
      </c>
      <c r="L486" s="2">
        <v>28000</v>
      </c>
      <c r="M486" s="6">
        <f>Table1[[#This Row],[Total Sales]]+Table1[[#This Row],[Shipping Fee]]</f>
        <v>55200</v>
      </c>
      <c r="N486" s="2" t="s">
        <v>22</v>
      </c>
      <c r="O486" t="str">
        <f>VLOOKUP(Table1[[#This Row],[Order ID]],Status!A:B, 2,FALSE)</f>
        <v>Completed</v>
      </c>
      <c r="P486" s="2" t="s">
        <v>82</v>
      </c>
      <c r="Q486" s="2">
        <v>2</v>
      </c>
      <c r="R486" s="2" t="s">
        <v>24</v>
      </c>
      <c r="S486" s="11" t="str">
        <f t="shared" si="38"/>
        <v>Rendah</v>
      </c>
      <c r="T486" s="2" t="str">
        <f t="shared" si="39"/>
        <v>Sangat Rendah</v>
      </c>
    </row>
    <row r="487" spans="1:20" ht="15.75" customHeight="1" x14ac:dyDescent="0.3">
      <c r="A487" s="4" t="s">
        <v>1890</v>
      </c>
      <c r="B487" s="3">
        <v>45830.671400462961</v>
      </c>
      <c r="C487" s="2" t="s">
        <v>361</v>
      </c>
      <c r="D487" s="2" t="s">
        <v>70</v>
      </c>
      <c r="E487" s="2" t="s">
        <v>250</v>
      </c>
      <c r="F487" s="2">
        <v>18000</v>
      </c>
      <c r="G487" s="2">
        <v>5</v>
      </c>
      <c r="H487" s="2">
        <v>0</v>
      </c>
      <c r="I487">
        <f t="shared" si="35"/>
        <v>90000</v>
      </c>
      <c r="J487">
        <f t="shared" si="36"/>
        <v>0</v>
      </c>
      <c r="K487" s="6">
        <f t="shared" si="37"/>
        <v>90000</v>
      </c>
      <c r="L487" s="2">
        <v>89000</v>
      </c>
      <c r="M487" s="6">
        <f>Table1[[#This Row],[Total Sales]]+Table1[[#This Row],[Shipping Fee]]</f>
        <v>179000</v>
      </c>
      <c r="N487" s="2" t="s">
        <v>63</v>
      </c>
      <c r="O487" t="str">
        <f>VLOOKUP(Table1[[#This Row],[Order ID]],Status!A:B, 2,FALSE)</f>
        <v>Completed</v>
      </c>
      <c r="P487" s="2" t="s">
        <v>23</v>
      </c>
      <c r="Q487" s="2">
        <v>1</v>
      </c>
      <c r="R487" s="2" t="s">
        <v>37</v>
      </c>
      <c r="S487" s="11" t="str">
        <f t="shared" si="38"/>
        <v>Rendah</v>
      </c>
      <c r="T487" s="2" t="str">
        <f t="shared" si="39"/>
        <v>Sangat Rendah</v>
      </c>
    </row>
    <row r="488" spans="1:20" ht="15.75" customHeight="1" x14ac:dyDescent="0.3">
      <c r="A488" s="4" t="s">
        <v>1889</v>
      </c>
      <c r="B488" s="3">
        <v>45830.581990740742</v>
      </c>
      <c r="C488" s="2" t="s">
        <v>708</v>
      </c>
      <c r="D488" s="2" t="s">
        <v>116</v>
      </c>
      <c r="E488" s="2" t="s">
        <v>50</v>
      </c>
      <c r="F488" s="2">
        <v>14000</v>
      </c>
      <c r="G488" s="2">
        <v>3</v>
      </c>
      <c r="H488" s="2">
        <v>20</v>
      </c>
      <c r="I488">
        <f t="shared" si="35"/>
        <v>42000</v>
      </c>
      <c r="J488">
        <f t="shared" si="36"/>
        <v>8400</v>
      </c>
      <c r="K488" s="6">
        <f t="shared" si="37"/>
        <v>33600</v>
      </c>
      <c r="L488" s="2">
        <v>72000</v>
      </c>
      <c r="M488" s="6">
        <f>Table1[[#This Row],[Total Sales]]+Table1[[#This Row],[Shipping Fee]]</f>
        <v>105600</v>
      </c>
      <c r="N488" s="2" t="s">
        <v>29</v>
      </c>
      <c r="O488" t="str">
        <f>VLOOKUP(Table1[[#This Row],[Order ID]],Status!A:B, 2,FALSE)</f>
        <v>Completed</v>
      </c>
      <c r="P488" s="2" t="s">
        <v>30</v>
      </c>
      <c r="Q488" s="2">
        <v>1</v>
      </c>
      <c r="R488" s="2" t="s">
        <v>24</v>
      </c>
      <c r="S488" s="11" t="str">
        <f t="shared" si="38"/>
        <v>Rendah</v>
      </c>
      <c r="T488" s="2" t="str">
        <f t="shared" si="39"/>
        <v>Rendah</v>
      </c>
    </row>
    <row r="489" spans="1:20" ht="15.75" customHeight="1" x14ac:dyDescent="0.3">
      <c r="A489" s="4" t="s">
        <v>1888</v>
      </c>
      <c r="B489" s="3">
        <v>45830.345300925917</v>
      </c>
      <c r="C489" s="2" t="s">
        <v>222</v>
      </c>
      <c r="D489" s="2" t="s">
        <v>49</v>
      </c>
      <c r="E489" s="2" t="s">
        <v>38</v>
      </c>
      <c r="F489" s="2">
        <v>28000</v>
      </c>
      <c r="G489" s="2">
        <v>2</v>
      </c>
      <c r="H489" s="2">
        <v>0</v>
      </c>
      <c r="I489">
        <f t="shared" si="35"/>
        <v>56000</v>
      </c>
      <c r="J489">
        <f t="shared" si="36"/>
        <v>0</v>
      </c>
      <c r="K489" s="6">
        <f t="shared" si="37"/>
        <v>56000</v>
      </c>
      <c r="L489" s="2">
        <v>43000</v>
      </c>
      <c r="M489" s="6">
        <f>Table1[[#This Row],[Total Sales]]+Table1[[#This Row],[Shipping Fee]]</f>
        <v>99000</v>
      </c>
      <c r="N489" s="2" t="s">
        <v>63</v>
      </c>
      <c r="O489" t="str">
        <f>VLOOKUP(Table1[[#This Row],[Order ID]],Status!A:B, 2,FALSE)</f>
        <v>Completed</v>
      </c>
      <c r="P489" s="2" t="s">
        <v>82</v>
      </c>
      <c r="Q489" s="2">
        <v>1</v>
      </c>
      <c r="R489" s="2" t="s">
        <v>24</v>
      </c>
      <c r="S489" s="11" t="str">
        <f t="shared" si="38"/>
        <v>Rendah</v>
      </c>
      <c r="T489" s="2" t="str">
        <f t="shared" si="39"/>
        <v>Sangat Rendah</v>
      </c>
    </row>
    <row r="490" spans="1:20" ht="15.75" customHeight="1" x14ac:dyDescent="0.3">
      <c r="A490" s="4" t="s">
        <v>1886</v>
      </c>
      <c r="B490" s="3">
        <v>45830.288483796299</v>
      </c>
      <c r="C490" s="2" t="s">
        <v>1887</v>
      </c>
      <c r="D490" s="2" t="s">
        <v>238</v>
      </c>
      <c r="E490" s="2" t="s">
        <v>123</v>
      </c>
      <c r="F490" s="2">
        <v>22000</v>
      </c>
      <c r="G490" s="2">
        <v>5</v>
      </c>
      <c r="H490" s="2">
        <v>10</v>
      </c>
      <c r="I490">
        <f t="shared" si="35"/>
        <v>110000</v>
      </c>
      <c r="J490">
        <f t="shared" si="36"/>
        <v>11000</v>
      </c>
      <c r="K490" s="6">
        <f t="shared" si="37"/>
        <v>99000</v>
      </c>
      <c r="L490" s="2">
        <v>28000</v>
      </c>
      <c r="M490" s="6">
        <f>Table1[[#This Row],[Total Sales]]+Table1[[#This Row],[Shipping Fee]]</f>
        <v>127000</v>
      </c>
      <c r="N490" s="2" t="s">
        <v>63</v>
      </c>
      <c r="O490" t="str">
        <f>VLOOKUP(Table1[[#This Row],[Order ID]],Status!A:B, 2,FALSE)</f>
        <v>Completed</v>
      </c>
      <c r="P490" s="2" t="s">
        <v>36</v>
      </c>
      <c r="Q490" s="2">
        <v>2</v>
      </c>
      <c r="R490" s="2" t="s">
        <v>24</v>
      </c>
      <c r="S490" s="11" t="str">
        <f t="shared" si="38"/>
        <v>Rendah</v>
      </c>
      <c r="T490" s="2" t="str">
        <f t="shared" si="39"/>
        <v>Normal</v>
      </c>
    </row>
    <row r="491" spans="1:20" ht="15.75" customHeight="1" x14ac:dyDescent="0.3">
      <c r="A491" s="4" t="s">
        <v>1886</v>
      </c>
      <c r="B491" s="3">
        <v>45830.288483796299</v>
      </c>
      <c r="C491" s="2" t="s">
        <v>1887</v>
      </c>
      <c r="D491" s="2" t="s">
        <v>238</v>
      </c>
      <c r="E491" s="2" t="s">
        <v>71</v>
      </c>
      <c r="F491" s="2">
        <v>40000</v>
      </c>
      <c r="G491" s="2">
        <v>2</v>
      </c>
      <c r="H491" s="2">
        <v>10</v>
      </c>
      <c r="I491">
        <f t="shared" si="35"/>
        <v>80000</v>
      </c>
      <c r="J491">
        <f t="shared" si="36"/>
        <v>8000</v>
      </c>
      <c r="K491" s="6">
        <f t="shared" si="37"/>
        <v>72000</v>
      </c>
      <c r="L491" s="2">
        <v>0</v>
      </c>
      <c r="M491" s="6">
        <f>Table1[[#This Row],[Total Sales]]+Table1[[#This Row],[Shipping Fee]]</f>
        <v>72000</v>
      </c>
      <c r="N491" s="2" t="s">
        <v>63</v>
      </c>
      <c r="O491" t="str">
        <f>VLOOKUP(Table1[[#This Row],[Order ID]],Status!A:B, 2,FALSE)</f>
        <v>Completed</v>
      </c>
      <c r="P491" s="2" t="s">
        <v>36</v>
      </c>
      <c r="Q491" s="2">
        <v>2</v>
      </c>
      <c r="R491" s="2" t="s">
        <v>24</v>
      </c>
      <c r="S491" s="11" t="str">
        <f t="shared" si="38"/>
        <v>Rendah</v>
      </c>
      <c r="T491" s="2" t="str">
        <f t="shared" si="39"/>
        <v>Rendah</v>
      </c>
    </row>
    <row r="492" spans="1:20" ht="15.75" customHeight="1" x14ac:dyDescent="0.3">
      <c r="A492" s="4" t="s">
        <v>1885</v>
      </c>
      <c r="B492" s="3">
        <v>45830.227199074077</v>
      </c>
      <c r="C492" s="2" t="s">
        <v>786</v>
      </c>
      <c r="D492" s="2" t="s">
        <v>107</v>
      </c>
      <c r="E492" s="2" t="s">
        <v>21</v>
      </c>
      <c r="F492" s="2">
        <v>45000</v>
      </c>
      <c r="G492" s="2">
        <v>4</v>
      </c>
      <c r="H492" s="2">
        <v>5</v>
      </c>
      <c r="I492">
        <f t="shared" si="35"/>
        <v>180000</v>
      </c>
      <c r="J492">
        <f t="shared" si="36"/>
        <v>9000</v>
      </c>
      <c r="K492" s="6">
        <f t="shared" si="37"/>
        <v>171000</v>
      </c>
      <c r="L492" s="2">
        <v>97000</v>
      </c>
      <c r="M492" s="6">
        <f>Table1[[#This Row],[Total Sales]]+Table1[[#This Row],[Shipping Fee]]</f>
        <v>268000</v>
      </c>
      <c r="N492" s="2" t="s">
        <v>22</v>
      </c>
      <c r="O492" t="str">
        <f>VLOOKUP(Table1[[#This Row],[Order ID]],Status!A:B, 2,FALSE)</f>
        <v>Returned</v>
      </c>
      <c r="P492" s="2" t="s">
        <v>30</v>
      </c>
      <c r="Q492" s="2">
        <v>3</v>
      </c>
      <c r="R492" s="2" t="s">
        <v>24</v>
      </c>
      <c r="S492" s="11" t="str">
        <f t="shared" si="38"/>
        <v>Standar</v>
      </c>
      <c r="T492" s="2" t="str">
        <f t="shared" si="39"/>
        <v>Rendah</v>
      </c>
    </row>
    <row r="493" spans="1:20" ht="15.75" customHeight="1" x14ac:dyDescent="0.3">
      <c r="A493" s="4" t="s">
        <v>1884</v>
      </c>
      <c r="B493" s="3">
        <v>45830.073067129633</v>
      </c>
      <c r="C493" s="2" t="s">
        <v>167</v>
      </c>
      <c r="D493" s="2" t="s">
        <v>44</v>
      </c>
      <c r="E493" s="2" t="s">
        <v>81</v>
      </c>
      <c r="F493" s="2">
        <v>17000</v>
      </c>
      <c r="G493" s="2">
        <v>3</v>
      </c>
      <c r="H493" s="2">
        <v>20</v>
      </c>
      <c r="I493">
        <f t="shared" si="35"/>
        <v>51000</v>
      </c>
      <c r="J493">
        <f t="shared" si="36"/>
        <v>10200</v>
      </c>
      <c r="K493" s="6">
        <f t="shared" si="37"/>
        <v>40800</v>
      </c>
      <c r="L493" s="2">
        <v>93000</v>
      </c>
      <c r="M493" s="6">
        <f>Table1[[#This Row],[Total Sales]]+Table1[[#This Row],[Shipping Fee]]</f>
        <v>133800</v>
      </c>
      <c r="N493" s="2" t="s">
        <v>22</v>
      </c>
      <c r="O493" t="str">
        <f>VLOOKUP(Table1[[#This Row],[Order ID]],Status!A:B, 2,FALSE)</f>
        <v>Completed</v>
      </c>
      <c r="P493" s="2" t="s">
        <v>82</v>
      </c>
      <c r="Q493" s="2">
        <v>4</v>
      </c>
      <c r="R493" s="2" t="s">
        <v>24</v>
      </c>
      <c r="S493" s="11" t="str">
        <f t="shared" si="38"/>
        <v>Bagus</v>
      </c>
      <c r="T493" s="2" t="str">
        <f t="shared" si="39"/>
        <v>Normal</v>
      </c>
    </row>
    <row r="494" spans="1:20" ht="15.75" customHeight="1" x14ac:dyDescent="0.3">
      <c r="A494" s="4" t="s">
        <v>1883</v>
      </c>
      <c r="B494" s="3">
        <v>45829.995729166672</v>
      </c>
      <c r="C494" s="2" t="s">
        <v>1530</v>
      </c>
      <c r="D494" s="2" t="s">
        <v>122</v>
      </c>
      <c r="E494" s="2" t="s">
        <v>174</v>
      </c>
      <c r="F494" s="2">
        <v>10000</v>
      </c>
      <c r="G494" s="2">
        <v>3</v>
      </c>
      <c r="H494" s="2">
        <v>5</v>
      </c>
      <c r="I494">
        <f t="shared" si="35"/>
        <v>30000</v>
      </c>
      <c r="J494">
        <f t="shared" si="36"/>
        <v>1500</v>
      </c>
      <c r="K494" s="6">
        <f t="shared" si="37"/>
        <v>28500</v>
      </c>
      <c r="L494" s="2">
        <v>78000</v>
      </c>
      <c r="M494" s="6">
        <f>Table1[[#This Row],[Total Sales]]+Table1[[#This Row],[Shipping Fee]]</f>
        <v>106500</v>
      </c>
      <c r="N494" s="2" t="s">
        <v>22</v>
      </c>
      <c r="O494" t="str">
        <f>VLOOKUP(Table1[[#This Row],[Order ID]],Status!A:B, 2,FALSE)</f>
        <v>Cancelled</v>
      </c>
      <c r="P494" s="2" t="s">
        <v>82</v>
      </c>
      <c r="Q494" s="2">
        <v>3</v>
      </c>
      <c r="R494" s="2" t="s">
        <v>24</v>
      </c>
      <c r="S494" s="11" t="str">
        <f t="shared" si="38"/>
        <v>Standar</v>
      </c>
      <c r="T494" s="2" t="str">
        <f t="shared" si="39"/>
        <v>Sangat Rendah</v>
      </c>
    </row>
    <row r="495" spans="1:20" ht="15.75" customHeight="1" x14ac:dyDescent="0.3">
      <c r="A495" s="4" t="s">
        <v>1882</v>
      </c>
      <c r="B495" s="3">
        <v>45829.718715277777</v>
      </c>
      <c r="C495" s="2" t="s">
        <v>557</v>
      </c>
      <c r="D495" s="2" t="s">
        <v>173</v>
      </c>
      <c r="E495" s="2" t="s">
        <v>104</v>
      </c>
      <c r="F495" s="2">
        <v>30000</v>
      </c>
      <c r="G495" s="2">
        <v>5</v>
      </c>
      <c r="H495" s="2">
        <v>10</v>
      </c>
      <c r="I495">
        <f t="shared" si="35"/>
        <v>150000</v>
      </c>
      <c r="J495">
        <f t="shared" si="36"/>
        <v>15000</v>
      </c>
      <c r="K495" s="6">
        <f t="shared" si="37"/>
        <v>135000</v>
      </c>
      <c r="L495" s="2">
        <v>49000</v>
      </c>
      <c r="M495" s="6">
        <f>Table1[[#This Row],[Total Sales]]+Table1[[#This Row],[Shipping Fee]]</f>
        <v>184000</v>
      </c>
      <c r="N495" s="2" t="s">
        <v>29</v>
      </c>
      <c r="O495" t="str">
        <f>VLOOKUP(Table1[[#This Row],[Order ID]],Status!A:B, 2,FALSE)</f>
        <v>Cancelled</v>
      </c>
      <c r="P495" s="2" t="s">
        <v>36</v>
      </c>
      <c r="Q495" s="2">
        <v>5</v>
      </c>
      <c r="R495" s="2" t="s">
        <v>24</v>
      </c>
      <c r="S495" s="11" t="str">
        <f t="shared" si="38"/>
        <v>Bagus</v>
      </c>
      <c r="T495" s="2" t="str">
        <f t="shared" si="39"/>
        <v>Normal</v>
      </c>
    </row>
    <row r="496" spans="1:20" ht="15.75" customHeight="1" x14ac:dyDescent="0.3">
      <c r="A496" s="4" t="s">
        <v>1881</v>
      </c>
      <c r="B496" s="3">
        <v>45829.627430555563</v>
      </c>
      <c r="C496" s="2" t="s">
        <v>688</v>
      </c>
      <c r="D496" s="2" t="s">
        <v>92</v>
      </c>
      <c r="E496" s="2" t="s">
        <v>250</v>
      </c>
      <c r="F496" s="2">
        <v>18000</v>
      </c>
      <c r="G496" s="2">
        <v>2</v>
      </c>
      <c r="H496" s="2">
        <v>15</v>
      </c>
      <c r="I496">
        <f t="shared" si="35"/>
        <v>36000</v>
      </c>
      <c r="J496">
        <f t="shared" si="36"/>
        <v>5400</v>
      </c>
      <c r="K496" s="6">
        <f t="shared" si="37"/>
        <v>30600</v>
      </c>
      <c r="L496" s="2">
        <v>30000</v>
      </c>
      <c r="M496" s="6">
        <f>Table1[[#This Row],[Total Sales]]+Table1[[#This Row],[Shipping Fee]]</f>
        <v>60600</v>
      </c>
      <c r="N496" s="2" t="s">
        <v>29</v>
      </c>
      <c r="O496" t="str">
        <f>VLOOKUP(Table1[[#This Row],[Order ID]],Status!A:B, 2,FALSE)</f>
        <v>Completed</v>
      </c>
      <c r="P496" s="2" t="s">
        <v>36</v>
      </c>
      <c r="Q496" s="2">
        <v>1</v>
      </c>
      <c r="R496" s="2" t="s">
        <v>24</v>
      </c>
      <c r="S496" s="11" t="str">
        <f t="shared" si="38"/>
        <v>Rendah</v>
      </c>
      <c r="T496" s="2" t="str">
        <f t="shared" si="39"/>
        <v>Rendah</v>
      </c>
    </row>
    <row r="497" spans="1:20" ht="15.75" customHeight="1" x14ac:dyDescent="0.3">
      <c r="A497" s="4" t="s">
        <v>1880</v>
      </c>
      <c r="B497" s="3">
        <v>45829.607395833344</v>
      </c>
      <c r="C497" s="2" t="s">
        <v>473</v>
      </c>
      <c r="D497" s="2" t="s">
        <v>122</v>
      </c>
      <c r="E497" s="2" t="s">
        <v>71</v>
      </c>
      <c r="F497" s="2">
        <v>40000</v>
      </c>
      <c r="G497" s="2">
        <v>1</v>
      </c>
      <c r="H497" s="2">
        <v>0</v>
      </c>
      <c r="I497">
        <f t="shared" si="35"/>
        <v>40000</v>
      </c>
      <c r="J497">
        <f t="shared" si="36"/>
        <v>0</v>
      </c>
      <c r="K497" s="6">
        <f t="shared" si="37"/>
        <v>40000</v>
      </c>
      <c r="L497" s="2">
        <v>78000</v>
      </c>
      <c r="M497" s="6">
        <f>Table1[[#This Row],[Total Sales]]+Table1[[#This Row],[Shipping Fee]]</f>
        <v>118000</v>
      </c>
      <c r="N497" s="2" t="s">
        <v>22</v>
      </c>
      <c r="O497" t="str">
        <f>VLOOKUP(Table1[[#This Row],[Order ID]],Status!A:B, 2,FALSE)</f>
        <v>Completed</v>
      </c>
      <c r="P497" s="2" t="s">
        <v>30</v>
      </c>
      <c r="Q497" s="2">
        <v>1</v>
      </c>
      <c r="R497" s="2" t="s">
        <v>24</v>
      </c>
      <c r="S497" s="11" t="str">
        <f t="shared" si="38"/>
        <v>Rendah</v>
      </c>
      <c r="T497" s="2" t="str">
        <f t="shared" si="39"/>
        <v>Sangat Rendah</v>
      </c>
    </row>
    <row r="498" spans="1:20" ht="15.75" customHeight="1" x14ac:dyDescent="0.3">
      <c r="A498" s="4" t="s">
        <v>1879</v>
      </c>
      <c r="B498" s="3">
        <v>45829.580046296287</v>
      </c>
      <c r="C498" s="2" t="s">
        <v>1436</v>
      </c>
      <c r="D498" s="2" t="s">
        <v>119</v>
      </c>
      <c r="E498" s="2" t="s">
        <v>85</v>
      </c>
      <c r="F498" s="2">
        <v>35000</v>
      </c>
      <c r="G498" s="2">
        <v>1</v>
      </c>
      <c r="H498" s="2">
        <v>0</v>
      </c>
      <c r="I498">
        <f t="shared" si="35"/>
        <v>35000</v>
      </c>
      <c r="J498">
        <f t="shared" si="36"/>
        <v>0</v>
      </c>
      <c r="K498" s="6">
        <f t="shared" si="37"/>
        <v>35000</v>
      </c>
      <c r="L498" s="2">
        <v>0</v>
      </c>
      <c r="M498" s="6">
        <f>Table1[[#This Row],[Total Sales]]+Table1[[#This Row],[Shipping Fee]]</f>
        <v>35000</v>
      </c>
      <c r="N498" s="2" t="s">
        <v>29</v>
      </c>
      <c r="O498" t="str">
        <f>VLOOKUP(Table1[[#This Row],[Order ID]],Status!A:B, 2,FALSE)</f>
        <v>Completed</v>
      </c>
      <c r="P498" s="2" t="s">
        <v>36</v>
      </c>
      <c r="Q498" s="2">
        <v>2</v>
      </c>
      <c r="R498" s="2" t="s">
        <v>24</v>
      </c>
      <c r="S498" s="11" t="str">
        <f t="shared" si="38"/>
        <v>Rendah</v>
      </c>
      <c r="T498" s="2" t="str">
        <f t="shared" si="39"/>
        <v>Sangat Rendah</v>
      </c>
    </row>
    <row r="499" spans="1:20" ht="15.75" customHeight="1" x14ac:dyDescent="0.3">
      <c r="A499" s="4" t="s">
        <v>1878</v>
      </c>
      <c r="B499" s="3">
        <v>45829.474479166667</v>
      </c>
      <c r="C499" s="2" t="s">
        <v>593</v>
      </c>
      <c r="D499" s="2" t="s">
        <v>195</v>
      </c>
      <c r="E499" s="2" t="s">
        <v>41</v>
      </c>
      <c r="F499" s="2">
        <v>4000</v>
      </c>
      <c r="G499" s="2">
        <v>2</v>
      </c>
      <c r="H499" s="2">
        <v>15</v>
      </c>
      <c r="I499">
        <f t="shared" si="35"/>
        <v>8000</v>
      </c>
      <c r="J499">
        <f t="shared" si="36"/>
        <v>1200</v>
      </c>
      <c r="K499" s="6">
        <f t="shared" si="37"/>
        <v>6800</v>
      </c>
      <c r="L499" s="2">
        <v>87000</v>
      </c>
      <c r="M499" s="6">
        <f>Table1[[#This Row],[Total Sales]]+Table1[[#This Row],[Shipping Fee]]</f>
        <v>93800</v>
      </c>
      <c r="N499" s="2" t="s">
        <v>63</v>
      </c>
      <c r="O499" t="str">
        <f>VLOOKUP(Table1[[#This Row],[Order ID]],Status!A:B, 2,FALSE)</f>
        <v>Completed</v>
      </c>
      <c r="P499" s="2" t="s">
        <v>23</v>
      </c>
      <c r="Q499" s="2">
        <v>3</v>
      </c>
      <c r="R499" s="2" t="s">
        <v>24</v>
      </c>
      <c r="S499" s="11" t="str">
        <f t="shared" si="38"/>
        <v>Standar</v>
      </c>
      <c r="T499" s="2" t="str">
        <f t="shared" si="39"/>
        <v>Sangat Rendah</v>
      </c>
    </row>
    <row r="500" spans="1:20" ht="15.75" customHeight="1" x14ac:dyDescent="0.3">
      <c r="A500" s="4" t="s">
        <v>1877</v>
      </c>
      <c r="B500" s="3">
        <v>45829.202673611107</v>
      </c>
      <c r="C500" s="2" t="s">
        <v>593</v>
      </c>
      <c r="D500" s="2" t="s">
        <v>195</v>
      </c>
      <c r="E500" s="2" t="s">
        <v>41</v>
      </c>
      <c r="F500" s="2">
        <v>4000</v>
      </c>
      <c r="G500" s="2">
        <v>3</v>
      </c>
      <c r="H500" s="2">
        <v>5</v>
      </c>
      <c r="I500">
        <f t="shared" si="35"/>
        <v>12000</v>
      </c>
      <c r="J500">
        <f t="shared" si="36"/>
        <v>600</v>
      </c>
      <c r="K500" s="6">
        <f t="shared" si="37"/>
        <v>11400</v>
      </c>
      <c r="L500" s="2">
        <v>87000</v>
      </c>
      <c r="M500" s="6">
        <f>Table1[[#This Row],[Total Sales]]+Table1[[#This Row],[Shipping Fee]]</f>
        <v>98400</v>
      </c>
      <c r="N500" s="2" t="s">
        <v>22</v>
      </c>
      <c r="O500" t="str">
        <f>VLOOKUP(Table1[[#This Row],[Order ID]],Status!A:B, 2,FALSE)</f>
        <v>Completed</v>
      </c>
      <c r="P500" s="2" t="s">
        <v>30</v>
      </c>
      <c r="Q500" s="2">
        <v>2</v>
      </c>
      <c r="R500" s="2" t="s">
        <v>24</v>
      </c>
      <c r="S500" s="11" t="str">
        <f t="shared" si="38"/>
        <v>Rendah</v>
      </c>
      <c r="T500" s="2" t="str">
        <f t="shared" si="39"/>
        <v>Sangat Rendah</v>
      </c>
    </row>
    <row r="501" spans="1:20" ht="15.75" customHeight="1" x14ac:dyDescent="0.3">
      <c r="A501" s="4" t="s">
        <v>1876</v>
      </c>
      <c r="B501" s="3">
        <v>45829.102546296293</v>
      </c>
      <c r="C501" s="2" t="s">
        <v>681</v>
      </c>
      <c r="D501" s="2" t="s">
        <v>262</v>
      </c>
      <c r="E501" s="2" t="s">
        <v>21</v>
      </c>
      <c r="F501" s="2">
        <v>45000</v>
      </c>
      <c r="G501" s="2">
        <v>4</v>
      </c>
      <c r="H501" s="2">
        <v>20</v>
      </c>
      <c r="I501">
        <f t="shared" si="35"/>
        <v>180000</v>
      </c>
      <c r="J501">
        <f t="shared" si="36"/>
        <v>36000</v>
      </c>
      <c r="K501" s="6">
        <f t="shared" si="37"/>
        <v>144000</v>
      </c>
      <c r="L501" s="2">
        <v>18000</v>
      </c>
      <c r="M501" s="6">
        <f>Table1[[#This Row],[Total Sales]]+Table1[[#This Row],[Shipping Fee]]</f>
        <v>162000</v>
      </c>
      <c r="N501" s="2" t="s">
        <v>35</v>
      </c>
      <c r="O501" t="str">
        <f>VLOOKUP(Table1[[#This Row],[Order ID]],Status!A:B, 2,FALSE)</f>
        <v>Completed</v>
      </c>
      <c r="P501" s="2" t="s">
        <v>23</v>
      </c>
      <c r="Q501" s="2">
        <v>1</v>
      </c>
      <c r="R501" s="2" t="s">
        <v>24</v>
      </c>
      <c r="S501" s="11" t="str">
        <f t="shared" si="38"/>
        <v>Rendah</v>
      </c>
      <c r="T501" s="2" t="str">
        <f t="shared" si="39"/>
        <v>Sangat Tinggi</v>
      </c>
    </row>
    <row r="502" spans="1:20" ht="15.75" customHeight="1" x14ac:dyDescent="0.3">
      <c r="A502" s="4" t="s">
        <v>1875</v>
      </c>
      <c r="B502" s="3">
        <v>45828.7734837963</v>
      </c>
      <c r="C502" s="2" t="s">
        <v>321</v>
      </c>
      <c r="D502" s="2" t="s">
        <v>80</v>
      </c>
      <c r="E502" s="2" t="s">
        <v>144</v>
      </c>
      <c r="F502" s="2">
        <v>18000</v>
      </c>
      <c r="G502" s="2">
        <v>2</v>
      </c>
      <c r="H502" s="2">
        <v>5</v>
      </c>
      <c r="I502">
        <f t="shared" si="35"/>
        <v>36000</v>
      </c>
      <c r="J502">
        <f t="shared" si="36"/>
        <v>1800</v>
      </c>
      <c r="K502" s="6">
        <f t="shared" si="37"/>
        <v>34200</v>
      </c>
      <c r="L502" s="2">
        <v>74000</v>
      </c>
      <c r="M502" s="6">
        <f>Table1[[#This Row],[Total Sales]]+Table1[[#This Row],[Shipping Fee]]</f>
        <v>108200</v>
      </c>
      <c r="N502" s="2" t="s">
        <v>63</v>
      </c>
      <c r="O502" t="str">
        <f>VLOOKUP(Table1[[#This Row],[Order ID]],Status!A:B, 2,FALSE)</f>
        <v>Completed</v>
      </c>
      <c r="P502" s="2" t="s">
        <v>23</v>
      </c>
      <c r="Q502" s="2">
        <v>3</v>
      </c>
      <c r="R502" s="2" t="s">
        <v>24</v>
      </c>
      <c r="S502" s="11" t="str">
        <f t="shared" si="38"/>
        <v>Standar</v>
      </c>
      <c r="T502" s="2" t="str">
        <f t="shared" si="39"/>
        <v>Sangat Rendah</v>
      </c>
    </row>
    <row r="503" spans="1:20" ht="15.75" customHeight="1" x14ac:dyDescent="0.3">
      <c r="A503" s="4" t="s">
        <v>1874</v>
      </c>
      <c r="B503" s="3">
        <v>45828.640914351847</v>
      </c>
      <c r="C503" s="2" t="s">
        <v>130</v>
      </c>
      <c r="D503" s="2" t="s">
        <v>131</v>
      </c>
      <c r="E503" s="2" t="s">
        <v>93</v>
      </c>
      <c r="F503" s="2">
        <v>25000</v>
      </c>
      <c r="G503" s="2">
        <v>2</v>
      </c>
      <c r="H503" s="2">
        <v>5</v>
      </c>
      <c r="I503">
        <f t="shared" si="35"/>
        <v>50000</v>
      </c>
      <c r="J503">
        <f t="shared" si="36"/>
        <v>2500</v>
      </c>
      <c r="K503" s="6">
        <f t="shared" si="37"/>
        <v>47500</v>
      </c>
      <c r="L503" s="2">
        <v>59000</v>
      </c>
      <c r="M503" s="6">
        <f>Table1[[#This Row],[Total Sales]]+Table1[[#This Row],[Shipping Fee]]</f>
        <v>106500</v>
      </c>
      <c r="N503" s="2" t="s">
        <v>29</v>
      </c>
      <c r="O503" t="str">
        <f>VLOOKUP(Table1[[#This Row],[Order ID]],Status!A:B, 2,FALSE)</f>
        <v>Cancelled</v>
      </c>
      <c r="P503" s="2" t="s">
        <v>36</v>
      </c>
      <c r="Q503" s="2">
        <v>2</v>
      </c>
      <c r="R503" s="2" t="s">
        <v>24</v>
      </c>
      <c r="S503" s="11" t="str">
        <f t="shared" si="38"/>
        <v>Rendah</v>
      </c>
      <c r="T503" s="2" t="str">
        <f t="shared" si="39"/>
        <v>Sangat Rendah</v>
      </c>
    </row>
    <row r="504" spans="1:20" ht="15.75" customHeight="1" x14ac:dyDescent="0.3">
      <c r="A504" s="4" t="s">
        <v>1873</v>
      </c>
      <c r="B504" s="3">
        <v>45828.4608912037</v>
      </c>
      <c r="C504" s="2" t="s">
        <v>860</v>
      </c>
      <c r="D504" s="2" t="s">
        <v>44</v>
      </c>
      <c r="E504" s="2" t="s">
        <v>88</v>
      </c>
      <c r="F504" s="2">
        <v>14000</v>
      </c>
      <c r="G504" s="2">
        <v>1</v>
      </c>
      <c r="H504" s="2">
        <v>15</v>
      </c>
      <c r="I504">
        <f t="shared" si="35"/>
        <v>14000</v>
      </c>
      <c r="J504">
        <f t="shared" si="36"/>
        <v>2100</v>
      </c>
      <c r="K504" s="6">
        <f t="shared" si="37"/>
        <v>11900</v>
      </c>
      <c r="L504" s="2">
        <v>93000</v>
      </c>
      <c r="M504" s="6">
        <f>Table1[[#This Row],[Total Sales]]+Table1[[#This Row],[Shipping Fee]]</f>
        <v>104900</v>
      </c>
      <c r="N504" s="2" t="s">
        <v>22</v>
      </c>
      <c r="O504" t="str">
        <f>VLOOKUP(Table1[[#This Row],[Order ID]],Status!A:B, 2,FALSE)</f>
        <v>Completed</v>
      </c>
      <c r="P504" s="2" t="s">
        <v>36</v>
      </c>
      <c r="Q504" s="2">
        <v>5</v>
      </c>
      <c r="R504" s="2" t="s">
        <v>37</v>
      </c>
      <c r="S504" s="11" t="str">
        <f t="shared" si="38"/>
        <v>Bagus</v>
      </c>
      <c r="T504" s="2" t="str">
        <f t="shared" si="39"/>
        <v>Sangat Rendah</v>
      </c>
    </row>
    <row r="505" spans="1:20" ht="15.75" customHeight="1" x14ac:dyDescent="0.3">
      <c r="A505" s="4" t="s">
        <v>1872</v>
      </c>
      <c r="B505" s="3">
        <v>45828.358946759261</v>
      </c>
      <c r="C505" s="2" t="s">
        <v>497</v>
      </c>
      <c r="D505" s="2" t="s">
        <v>173</v>
      </c>
      <c r="E505" s="2" t="s">
        <v>136</v>
      </c>
      <c r="F505" s="2">
        <v>12000</v>
      </c>
      <c r="G505" s="2">
        <v>4</v>
      </c>
      <c r="H505" s="2">
        <v>15</v>
      </c>
      <c r="I505">
        <f t="shared" si="35"/>
        <v>48000</v>
      </c>
      <c r="J505">
        <f t="shared" si="36"/>
        <v>7200</v>
      </c>
      <c r="K505" s="6">
        <f t="shared" si="37"/>
        <v>40800</v>
      </c>
      <c r="L505" s="2">
        <v>49000</v>
      </c>
      <c r="M505" s="6">
        <f>Table1[[#This Row],[Total Sales]]+Table1[[#This Row],[Shipping Fee]]</f>
        <v>89800</v>
      </c>
      <c r="N505" s="2" t="s">
        <v>29</v>
      </c>
      <c r="O505" t="str">
        <f>VLOOKUP(Table1[[#This Row],[Order ID]],Status!A:B, 2,FALSE)</f>
        <v>Completed</v>
      </c>
      <c r="P505" s="2" t="s">
        <v>23</v>
      </c>
      <c r="Q505" s="2">
        <v>4</v>
      </c>
      <c r="R505" s="2" t="s">
        <v>37</v>
      </c>
      <c r="S505" s="11" t="str">
        <f t="shared" si="38"/>
        <v>Bagus</v>
      </c>
      <c r="T505" s="2" t="str">
        <f t="shared" si="39"/>
        <v>Rendah</v>
      </c>
    </row>
    <row r="506" spans="1:20" ht="15.75" customHeight="1" x14ac:dyDescent="0.3">
      <c r="A506" s="4" t="s">
        <v>1871</v>
      </c>
      <c r="B506" s="3">
        <v>45828.297627314823</v>
      </c>
      <c r="C506" s="2" t="s">
        <v>112</v>
      </c>
      <c r="D506" s="2" t="s">
        <v>113</v>
      </c>
      <c r="E506" s="2" t="s">
        <v>38</v>
      </c>
      <c r="F506" s="2">
        <v>28000</v>
      </c>
      <c r="G506" s="2">
        <v>3</v>
      </c>
      <c r="H506" s="2">
        <v>20</v>
      </c>
      <c r="I506">
        <f t="shared" si="35"/>
        <v>84000</v>
      </c>
      <c r="J506">
        <f t="shared" si="36"/>
        <v>16800</v>
      </c>
      <c r="K506" s="6">
        <f t="shared" si="37"/>
        <v>67200</v>
      </c>
      <c r="L506" s="2">
        <v>18000</v>
      </c>
      <c r="M506" s="6">
        <f>Table1[[#This Row],[Total Sales]]+Table1[[#This Row],[Shipping Fee]]</f>
        <v>85200</v>
      </c>
      <c r="N506" s="2" t="s">
        <v>35</v>
      </c>
      <c r="O506" t="str">
        <f>VLOOKUP(Table1[[#This Row],[Order ID]],Status!A:B, 2,FALSE)</f>
        <v>Returned</v>
      </c>
      <c r="P506" s="2" t="s">
        <v>46</v>
      </c>
      <c r="Q506" s="2">
        <v>3</v>
      </c>
      <c r="R506" s="2" t="s">
        <v>24</v>
      </c>
      <c r="S506" s="11" t="str">
        <f t="shared" si="38"/>
        <v>Standar</v>
      </c>
      <c r="T506" s="2" t="str">
        <f t="shared" si="39"/>
        <v>Normal</v>
      </c>
    </row>
    <row r="507" spans="1:20" ht="15.75" customHeight="1" x14ac:dyDescent="0.3">
      <c r="A507" s="4" t="s">
        <v>1870</v>
      </c>
      <c r="B507" s="3">
        <v>45828.168564814812</v>
      </c>
      <c r="C507" s="2" t="s">
        <v>261</v>
      </c>
      <c r="D507" s="2" t="s">
        <v>262</v>
      </c>
      <c r="E507" s="2" t="s">
        <v>123</v>
      </c>
      <c r="F507" s="2">
        <v>22000</v>
      </c>
      <c r="G507" s="2">
        <v>5</v>
      </c>
      <c r="H507" s="2">
        <v>0</v>
      </c>
      <c r="I507">
        <f t="shared" si="35"/>
        <v>110000</v>
      </c>
      <c r="J507">
        <f t="shared" si="36"/>
        <v>0</v>
      </c>
      <c r="K507" s="6">
        <f t="shared" si="37"/>
        <v>110000</v>
      </c>
      <c r="L507" s="2">
        <v>18000</v>
      </c>
      <c r="M507" s="6">
        <f>Table1[[#This Row],[Total Sales]]+Table1[[#This Row],[Shipping Fee]]</f>
        <v>128000</v>
      </c>
      <c r="N507" s="2" t="s">
        <v>29</v>
      </c>
      <c r="O507" t="str">
        <f>VLOOKUP(Table1[[#This Row],[Order ID]],Status!A:B, 2,FALSE)</f>
        <v>Completed</v>
      </c>
      <c r="P507" s="2" t="s">
        <v>30</v>
      </c>
      <c r="Q507" s="2">
        <v>4</v>
      </c>
      <c r="R507" s="2" t="s">
        <v>24</v>
      </c>
      <c r="S507" s="11" t="str">
        <f t="shared" si="38"/>
        <v>Bagus</v>
      </c>
      <c r="T507" s="2" t="str">
        <f t="shared" si="39"/>
        <v>Sangat Rendah</v>
      </c>
    </row>
    <row r="508" spans="1:20" ht="15.75" customHeight="1" x14ac:dyDescent="0.3">
      <c r="A508" s="4" t="s">
        <v>1869</v>
      </c>
      <c r="B508" s="3">
        <v>45828.014074074083</v>
      </c>
      <c r="C508" s="2" t="s">
        <v>192</v>
      </c>
      <c r="D508" s="2" t="s">
        <v>107</v>
      </c>
      <c r="E508" s="2" t="s">
        <v>34</v>
      </c>
      <c r="F508" s="2">
        <v>16000</v>
      </c>
      <c r="G508" s="2">
        <v>1</v>
      </c>
      <c r="H508" s="2">
        <v>15</v>
      </c>
      <c r="I508">
        <f t="shared" si="35"/>
        <v>16000</v>
      </c>
      <c r="J508">
        <f t="shared" si="36"/>
        <v>2400</v>
      </c>
      <c r="K508" s="6">
        <f t="shared" si="37"/>
        <v>13600</v>
      </c>
      <c r="L508" s="2">
        <v>97000</v>
      </c>
      <c r="M508" s="6">
        <f>Table1[[#This Row],[Total Sales]]+Table1[[#This Row],[Shipping Fee]]</f>
        <v>110600</v>
      </c>
      <c r="N508" s="2" t="s">
        <v>63</v>
      </c>
      <c r="O508" t="str">
        <f>VLOOKUP(Table1[[#This Row],[Order ID]],Status!A:B, 2,FALSE)</f>
        <v>Completed</v>
      </c>
      <c r="P508" s="2" t="s">
        <v>30</v>
      </c>
      <c r="Q508" s="2">
        <v>3</v>
      </c>
      <c r="R508" s="2" t="s">
        <v>24</v>
      </c>
      <c r="S508" s="11" t="str">
        <f t="shared" si="38"/>
        <v>Standar</v>
      </c>
      <c r="T508" s="2" t="str">
        <f t="shared" si="39"/>
        <v>Sangat Rendah</v>
      </c>
    </row>
    <row r="509" spans="1:20" ht="15.75" customHeight="1" x14ac:dyDescent="0.3">
      <c r="A509" s="4" t="s">
        <v>1868</v>
      </c>
      <c r="B509" s="3">
        <v>45827.70103009259</v>
      </c>
      <c r="C509" s="2" t="s">
        <v>601</v>
      </c>
      <c r="D509" s="2" t="s">
        <v>119</v>
      </c>
      <c r="E509" s="2" t="s">
        <v>38</v>
      </c>
      <c r="F509" s="2">
        <v>28000</v>
      </c>
      <c r="G509" s="2">
        <v>4</v>
      </c>
      <c r="H509" s="2">
        <v>15</v>
      </c>
      <c r="I509">
        <f t="shared" si="35"/>
        <v>112000</v>
      </c>
      <c r="J509">
        <f t="shared" si="36"/>
        <v>16800</v>
      </c>
      <c r="K509" s="6">
        <f t="shared" si="37"/>
        <v>95200</v>
      </c>
      <c r="L509" s="2">
        <v>0</v>
      </c>
      <c r="M509" s="6">
        <f>Table1[[#This Row],[Total Sales]]+Table1[[#This Row],[Shipping Fee]]</f>
        <v>95200</v>
      </c>
      <c r="N509" s="2" t="s">
        <v>29</v>
      </c>
      <c r="O509" t="str">
        <f>VLOOKUP(Table1[[#This Row],[Order ID]],Status!A:B, 2,FALSE)</f>
        <v>Completed</v>
      </c>
      <c r="P509" s="2" t="s">
        <v>36</v>
      </c>
      <c r="Q509" s="2">
        <v>3</v>
      </c>
      <c r="R509" s="2" t="s">
        <v>24</v>
      </c>
      <c r="S509" s="11" t="str">
        <f t="shared" si="38"/>
        <v>Standar</v>
      </c>
      <c r="T509" s="2" t="str">
        <f t="shared" si="39"/>
        <v>Normal</v>
      </c>
    </row>
    <row r="510" spans="1:20" ht="15.75" customHeight="1" x14ac:dyDescent="0.3">
      <c r="A510" s="4" t="s">
        <v>1867</v>
      </c>
      <c r="B510" s="3">
        <v>45827.169039351851</v>
      </c>
      <c r="C510" s="2" t="s">
        <v>207</v>
      </c>
      <c r="D510" s="2" t="s">
        <v>96</v>
      </c>
      <c r="E510" s="2" t="s">
        <v>88</v>
      </c>
      <c r="F510" s="2">
        <v>14000</v>
      </c>
      <c r="G510" s="2">
        <v>5</v>
      </c>
      <c r="H510" s="2">
        <v>20</v>
      </c>
      <c r="I510">
        <f t="shared" si="35"/>
        <v>70000</v>
      </c>
      <c r="J510">
        <f t="shared" si="36"/>
        <v>14000</v>
      </c>
      <c r="K510" s="6">
        <f t="shared" si="37"/>
        <v>56000</v>
      </c>
      <c r="L510" s="2">
        <v>49000</v>
      </c>
      <c r="M510" s="6">
        <f>Table1[[#This Row],[Total Sales]]+Table1[[#This Row],[Shipping Fee]]</f>
        <v>105000</v>
      </c>
      <c r="N510" s="2" t="s">
        <v>35</v>
      </c>
      <c r="O510" t="str">
        <f>VLOOKUP(Table1[[#This Row],[Order ID]],Status!A:B, 2,FALSE)</f>
        <v>Completed</v>
      </c>
      <c r="P510" s="2" t="s">
        <v>46</v>
      </c>
      <c r="Q510" s="2">
        <v>2</v>
      </c>
      <c r="R510" s="2" t="s">
        <v>24</v>
      </c>
      <c r="S510" s="11" t="str">
        <f t="shared" si="38"/>
        <v>Rendah</v>
      </c>
      <c r="T510" s="2" t="str">
        <f t="shared" si="39"/>
        <v>Normal</v>
      </c>
    </row>
    <row r="511" spans="1:20" ht="15.75" customHeight="1" x14ac:dyDescent="0.3">
      <c r="A511" s="4" t="s">
        <v>1867</v>
      </c>
      <c r="B511" s="3">
        <v>45827.169039351851</v>
      </c>
      <c r="C511" s="2" t="s">
        <v>207</v>
      </c>
      <c r="D511" s="2" t="s">
        <v>96</v>
      </c>
      <c r="E511" s="2" t="s">
        <v>110</v>
      </c>
      <c r="F511" s="2">
        <v>6000</v>
      </c>
      <c r="G511" s="2">
        <v>4</v>
      </c>
      <c r="H511" s="2">
        <v>5</v>
      </c>
      <c r="I511">
        <f t="shared" si="35"/>
        <v>24000</v>
      </c>
      <c r="J511">
        <f t="shared" si="36"/>
        <v>1200</v>
      </c>
      <c r="K511" s="6">
        <f t="shared" si="37"/>
        <v>22800</v>
      </c>
      <c r="L511" s="2">
        <v>0</v>
      </c>
      <c r="M511" s="6">
        <f>Table1[[#This Row],[Total Sales]]+Table1[[#This Row],[Shipping Fee]]</f>
        <v>22800</v>
      </c>
      <c r="N511" s="2" t="s">
        <v>35</v>
      </c>
      <c r="O511" t="str">
        <f>VLOOKUP(Table1[[#This Row],[Order ID]],Status!A:B, 2,FALSE)</f>
        <v>Completed</v>
      </c>
      <c r="P511" s="2" t="s">
        <v>46</v>
      </c>
      <c r="Q511" s="2">
        <v>2</v>
      </c>
      <c r="R511" s="2" t="s">
        <v>24</v>
      </c>
      <c r="S511" s="11" t="str">
        <f t="shared" si="38"/>
        <v>Rendah</v>
      </c>
      <c r="T511" s="2" t="str">
        <f t="shared" si="39"/>
        <v>Sangat Rendah</v>
      </c>
    </row>
    <row r="512" spans="1:20" ht="15.75" customHeight="1" x14ac:dyDescent="0.3">
      <c r="A512" s="4" t="s">
        <v>1866</v>
      </c>
      <c r="B512" s="3">
        <v>45826.87427083333</v>
      </c>
      <c r="C512" s="2" t="s">
        <v>377</v>
      </c>
      <c r="D512" s="2" t="s">
        <v>182</v>
      </c>
      <c r="E512" s="2" t="s">
        <v>54</v>
      </c>
      <c r="F512" s="2">
        <v>16000</v>
      </c>
      <c r="G512" s="2">
        <v>4</v>
      </c>
      <c r="H512" s="2">
        <v>0</v>
      </c>
      <c r="I512">
        <f t="shared" si="35"/>
        <v>64000</v>
      </c>
      <c r="J512">
        <f t="shared" si="36"/>
        <v>0</v>
      </c>
      <c r="K512" s="6">
        <f t="shared" si="37"/>
        <v>64000</v>
      </c>
      <c r="L512" s="2">
        <v>48000</v>
      </c>
      <c r="M512" s="6">
        <f>Table1[[#This Row],[Total Sales]]+Table1[[#This Row],[Shipping Fee]]</f>
        <v>112000</v>
      </c>
      <c r="N512" s="2" t="s">
        <v>35</v>
      </c>
      <c r="O512" t="str">
        <f>VLOOKUP(Table1[[#This Row],[Order ID]],Status!A:B, 2,FALSE)</f>
        <v>Completed</v>
      </c>
      <c r="P512" s="2" t="s">
        <v>36</v>
      </c>
      <c r="Q512" s="2">
        <v>4</v>
      </c>
      <c r="R512" s="2" t="s">
        <v>24</v>
      </c>
      <c r="S512" s="11" t="str">
        <f t="shared" si="38"/>
        <v>Bagus</v>
      </c>
      <c r="T512" s="2" t="str">
        <f t="shared" si="39"/>
        <v>Sangat Rendah</v>
      </c>
    </row>
    <row r="513" spans="1:20" ht="15.75" customHeight="1" x14ac:dyDescent="0.3">
      <c r="A513" s="4" t="s">
        <v>1865</v>
      </c>
      <c r="B513" s="3">
        <v>45826.736527777779</v>
      </c>
      <c r="C513" s="2" t="s">
        <v>1063</v>
      </c>
      <c r="D513" s="2" t="s">
        <v>96</v>
      </c>
      <c r="E513" s="2" t="s">
        <v>54</v>
      </c>
      <c r="F513" s="2">
        <v>16000</v>
      </c>
      <c r="G513" s="2">
        <v>5</v>
      </c>
      <c r="H513" s="2">
        <v>20</v>
      </c>
      <c r="I513">
        <f t="shared" si="35"/>
        <v>80000</v>
      </c>
      <c r="J513">
        <f t="shared" si="36"/>
        <v>16000</v>
      </c>
      <c r="K513" s="6">
        <f t="shared" si="37"/>
        <v>64000</v>
      </c>
      <c r="L513" s="2">
        <v>49000</v>
      </c>
      <c r="M513" s="6">
        <f>Table1[[#This Row],[Total Sales]]+Table1[[#This Row],[Shipping Fee]]</f>
        <v>113000</v>
      </c>
      <c r="N513" s="2" t="s">
        <v>63</v>
      </c>
      <c r="O513" t="str">
        <f>VLOOKUP(Table1[[#This Row],[Order ID]],Status!A:B, 2,FALSE)</f>
        <v>Completed</v>
      </c>
      <c r="P513" s="2" t="s">
        <v>30</v>
      </c>
      <c r="Q513" s="2">
        <v>3</v>
      </c>
      <c r="R513" s="2" t="s">
        <v>24</v>
      </c>
      <c r="S513" s="11" t="str">
        <f t="shared" si="38"/>
        <v>Standar</v>
      </c>
      <c r="T513" s="2" t="str">
        <f t="shared" si="39"/>
        <v>Normal</v>
      </c>
    </row>
    <row r="514" spans="1:20" ht="15.75" customHeight="1" x14ac:dyDescent="0.3">
      <c r="A514" s="4" t="s">
        <v>1864</v>
      </c>
      <c r="B514" s="3">
        <v>45826.692928240736</v>
      </c>
      <c r="C514" s="2" t="s">
        <v>1035</v>
      </c>
      <c r="D514" s="2" t="s">
        <v>66</v>
      </c>
      <c r="E514" s="2" t="s">
        <v>58</v>
      </c>
      <c r="F514" s="2">
        <v>16000</v>
      </c>
      <c r="G514" s="2">
        <v>5</v>
      </c>
      <c r="H514" s="2">
        <v>20</v>
      </c>
      <c r="I514">
        <f t="shared" ref="I514:I577" si="40">F514*G514</f>
        <v>80000</v>
      </c>
      <c r="J514">
        <f t="shared" ref="J514:J577" si="41">I514*H514/100</f>
        <v>16000</v>
      </c>
      <c r="K514" s="6">
        <f t="shared" ref="K514:K577" si="42">I514-J514</f>
        <v>64000</v>
      </c>
      <c r="L514" s="2">
        <v>59000</v>
      </c>
      <c r="M514" s="6">
        <f>Table1[[#This Row],[Total Sales]]+Table1[[#This Row],[Shipping Fee]]</f>
        <v>123000</v>
      </c>
      <c r="N514" s="2" t="s">
        <v>63</v>
      </c>
      <c r="O514" t="str">
        <f>VLOOKUP(Table1[[#This Row],[Order ID]],Status!A:B, 2,FALSE)</f>
        <v>Completed</v>
      </c>
      <c r="P514" s="2" t="s">
        <v>30</v>
      </c>
      <c r="Q514" s="2">
        <v>3</v>
      </c>
      <c r="R514" s="2" t="s">
        <v>24</v>
      </c>
      <c r="S514" s="11" t="str">
        <f t="shared" ref="S514:S577" si="43">_xlfn.IFS(Q514&gt;3,"Bagus",Q514=3,"Standar",Q514&lt;3,"Rendah")</f>
        <v>Standar</v>
      </c>
      <c r="T514" s="2" t="str">
        <f t="shared" ref="T514:T577" si="44">_xlfn.IFS(J514&lt;=5000,"Sangat Rendah", J514&lt;=10000,"Rendah", J514&lt;=20000, "Normal", J514&lt;=35000, "Tinggi", J514&lt;= 50000, "Sangat Tinggi", J514&gt;50000, "Clearance")</f>
        <v>Normal</v>
      </c>
    </row>
    <row r="515" spans="1:20" ht="15.75" customHeight="1" x14ac:dyDescent="0.3">
      <c r="A515" s="4" t="s">
        <v>1863</v>
      </c>
      <c r="B515" s="3">
        <v>45826.623067129629</v>
      </c>
      <c r="C515" s="2" t="s">
        <v>207</v>
      </c>
      <c r="D515" s="2" t="s">
        <v>96</v>
      </c>
      <c r="E515" s="2" t="s">
        <v>110</v>
      </c>
      <c r="F515" s="2">
        <v>6000</v>
      </c>
      <c r="G515" s="2">
        <v>5</v>
      </c>
      <c r="H515" s="2">
        <v>0</v>
      </c>
      <c r="I515">
        <f t="shared" si="40"/>
        <v>30000</v>
      </c>
      <c r="J515">
        <f t="shared" si="41"/>
        <v>0</v>
      </c>
      <c r="K515" s="6">
        <f t="shared" si="42"/>
        <v>30000</v>
      </c>
      <c r="L515" s="2">
        <v>49000</v>
      </c>
      <c r="M515" s="6">
        <f>Table1[[#This Row],[Total Sales]]+Table1[[#This Row],[Shipping Fee]]</f>
        <v>79000</v>
      </c>
      <c r="N515" s="2" t="s">
        <v>63</v>
      </c>
      <c r="O515" t="str">
        <f>VLOOKUP(Table1[[#This Row],[Order ID]],Status!A:B, 2,FALSE)</f>
        <v>Completed</v>
      </c>
      <c r="P515" s="2" t="s">
        <v>36</v>
      </c>
      <c r="Q515" s="2">
        <v>1</v>
      </c>
      <c r="R515" s="2" t="s">
        <v>24</v>
      </c>
      <c r="S515" s="11" t="str">
        <f t="shared" si="43"/>
        <v>Rendah</v>
      </c>
      <c r="T515" s="2" t="str">
        <f t="shared" si="44"/>
        <v>Sangat Rendah</v>
      </c>
    </row>
    <row r="516" spans="1:20" ht="15.75" customHeight="1" x14ac:dyDescent="0.3">
      <c r="A516" s="4" t="s">
        <v>1862</v>
      </c>
      <c r="B516" s="3">
        <v>45826.58625</v>
      </c>
      <c r="C516" s="2" t="s">
        <v>65</v>
      </c>
      <c r="D516" s="2" t="s">
        <v>66</v>
      </c>
      <c r="E516" s="2" t="s">
        <v>93</v>
      </c>
      <c r="F516" s="2">
        <v>25000</v>
      </c>
      <c r="G516" s="2">
        <v>4</v>
      </c>
      <c r="H516" s="2">
        <v>0</v>
      </c>
      <c r="I516">
        <f t="shared" si="40"/>
        <v>100000</v>
      </c>
      <c r="J516">
        <f t="shared" si="41"/>
        <v>0</v>
      </c>
      <c r="K516" s="6">
        <f t="shared" si="42"/>
        <v>100000</v>
      </c>
      <c r="L516" s="2">
        <v>59000</v>
      </c>
      <c r="M516" s="6">
        <f>Table1[[#This Row],[Total Sales]]+Table1[[#This Row],[Shipping Fee]]</f>
        <v>159000</v>
      </c>
      <c r="N516" s="2" t="s">
        <v>22</v>
      </c>
      <c r="O516" t="str">
        <f>VLOOKUP(Table1[[#This Row],[Order ID]],Status!A:B, 2,FALSE)</f>
        <v>Completed</v>
      </c>
      <c r="P516" s="2" t="s">
        <v>82</v>
      </c>
      <c r="Q516" s="2">
        <v>4</v>
      </c>
      <c r="R516" s="2" t="s">
        <v>37</v>
      </c>
      <c r="S516" s="11" t="str">
        <f t="shared" si="43"/>
        <v>Bagus</v>
      </c>
      <c r="T516" s="2" t="str">
        <f t="shared" si="44"/>
        <v>Sangat Rendah</v>
      </c>
    </row>
    <row r="517" spans="1:20" ht="15.75" customHeight="1" x14ac:dyDescent="0.3">
      <c r="A517" s="4" t="s">
        <v>1861</v>
      </c>
      <c r="B517" s="3">
        <v>45826.569467592592</v>
      </c>
      <c r="C517" s="2" t="s">
        <v>429</v>
      </c>
      <c r="D517" s="2" t="s">
        <v>177</v>
      </c>
      <c r="E517" s="2" t="s">
        <v>34</v>
      </c>
      <c r="F517" s="2">
        <v>16000</v>
      </c>
      <c r="G517" s="2">
        <v>2</v>
      </c>
      <c r="H517" s="2">
        <v>0</v>
      </c>
      <c r="I517">
        <f t="shared" si="40"/>
        <v>32000</v>
      </c>
      <c r="J517">
        <f t="shared" si="41"/>
        <v>0</v>
      </c>
      <c r="K517" s="6">
        <f t="shared" si="42"/>
        <v>32000</v>
      </c>
      <c r="L517" s="2">
        <v>56000</v>
      </c>
      <c r="M517" s="6">
        <f>Table1[[#This Row],[Total Sales]]+Table1[[#This Row],[Shipping Fee]]</f>
        <v>88000</v>
      </c>
      <c r="N517" s="2" t="s">
        <v>22</v>
      </c>
      <c r="O517" t="str">
        <f>VLOOKUP(Table1[[#This Row],[Order ID]],Status!A:B, 2,FALSE)</f>
        <v>Completed</v>
      </c>
      <c r="P517" s="2" t="s">
        <v>36</v>
      </c>
      <c r="Q517" s="2">
        <v>3</v>
      </c>
      <c r="R517" s="2" t="s">
        <v>37</v>
      </c>
      <c r="S517" s="11" t="str">
        <f t="shared" si="43"/>
        <v>Standar</v>
      </c>
      <c r="T517" s="2" t="str">
        <f t="shared" si="44"/>
        <v>Sangat Rendah</v>
      </c>
    </row>
    <row r="518" spans="1:20" ht="15.75" customHeight="1" x14ac:dyDescent="0.3">
      <c r="A518" s="4" t="s">
        <v>1860</v>
      </c>
      <c r="B518" s="3">
        <v>45826.42459490741</v>
      </c>
      <c r="C518" s="2" t="s">
        <v>1311</v>
      </c>
      <c r="D518" s="2" t="s">
        <v>49</v>
      </c>
      <c r="E518" s="2" t="s">
        <v>41</v>
      </c>
      <c r="F518" s="2">
        <v>4000</v>
      </c>
      <c r="G518" s="2">
        <v>5</v>
      </c>
      <c r="H518" s="2">
        <v>5</v>
      </c>
      <c r="I518">
        <f t="shared" si="40"/>
        <v>20000</v>
      </c>
      <c r="J518">
        <f t="shared" si="41"/>
        <v>1000</v>
      </c>
      <c r="K518" s="6">
        <f t="shared" si="42"/>
        <v>19000</v>
      </c>
      <c r="L518" s="2">
        <v>43000</v>
      </c>
      <c r="M518" s="6">
        <f>Table1[[#This Row],[Total Sales]]+Table1[[#This Row],[Shipping Fee]]</f>
        <v>62000</v>
      </c>
      <c r="N518" s="2" t="s">
        <v>29</v>
      </c>
      <c r="O518" t="str">
        <f>VLOOKUP(Table1[[#This Row],[Order ID]],Status!A:B, 2,FALSE)</f>
        <v>Completed</v>
      </c>
      <c r="P518" s="2" t="s">
        <v>23</v>
      </c>
      <c r="Q518" s="2">
        <v>3</v>
      </c>
      <c r="R518" s="2" t="s">
        <v>24</v>
      </c>
      <c r="S518" s="11" t="str">
        <f t="shared" si="43"/>
        <v>Standar</v>
      </c>
      <c r="T518" s="2" t="str">
        <f t="shared" si="44"/>
        <v>Sangat Rendah</v>
      </c>
    </row>
    <row r="519" spans="1:20" ht="15.75" customHeight="1" x14ac:dyDescent="0.3">
      <c r="A519" s="4" t="s">
        <v>1859</v>
      </c>
      <c r="B519" s="3">
        <v>45826.315011574072</v>
      </c>
      <c r="C519" s="2" t="s">
        <v>148</v>
      </c>
      <c r="D519" s="2" t="s">
        <v>74</v>
      </c>
      <c r="E519" s="2" t="s">
        <v>104</v>
      </c>
      <c r="F519" s="2">
        <v>30000</v>
      </c>
      <c r="G519" s="2">
        <v>5</v>
      </c>
      <c r="H519" s="2">
        <v>5</v>
      </c>
      <c r="I519">
        <f t="shared" si="40"/>
        <v>150000</v>
      </c>
      <c r="J519">
        <f t="shared" si="41"/>
        <v>7500</v>
      </c>
      <c r="K519" s="6">
        <f t="shared" si="42"/>
        <v>142500</v>
      </c>
      <c r="L519" s="2">
        <v>87000</v>
      </c>
      <c r="M519" s="6">
        <f>Table1[[#This Row],[Total Sales]]+Table1[[#This Row],[Shipping Fee]]</f>
        <v>229500</v>
      </c>
      <c r="N519" s="2" t="s">
        <v>63</v>
      </c>
      <c r="O519" t="str">
        <f>VLOOKUP(Table1[[#This Row],[Order ID]],Status!A:B, 2,FALSE)</f>
        <v>Completed</v>
      </c>
      <c r="P519" s="2" t="s">
        <v>30</v>
      </c>
      <c r="Q519" s="2">
        <v>4</v>
      </c>
      <c r="R519" s="2" t="s">
        <v>24</v>
      </c>
      <c r="S519" s="11" t="str">
        <f t="shared" si="43"/>
        <v>Bagus</v>
      </c>
      <c r="T519" s="2" t="str">
        <f t="shared" si="44"/>
        <v>Rendah</v>
      </c>
    </row>
    <row r="520" spans="1:20" ht="15.75" customHeight="1" x14ac:dyDescent="0.3">
      <c r="A520" s="4" t="s">
        <v>1858</v>
      </c>
      <c r="B520" s="3">
        <v>45825.66238425926</v>
      </c>
      <c r="C520" s="2" t="s">
        <v>631</v>
      </c>
      <c r="D520" s="2" t="s">
        <v>20</v>
      </c>
      <c r="E520" s="2" t="s">
        <v>93</v>
      </c>
      <c r="F520" s="2">
        <v>25000</v>
      </c>
      <c r="G520" s="2">
        <v>4</v>
      </c>
      <c r="H520" s="2">
        <v>15</v>
      </c>
      <c r="I520">
        <f t="shared" si="40"/>
        <v>100000</v>
      </c>
      <c r="J520">
        <f t="shared" si="41"/>
        <v>15000</v>
      </c>
      <c r="K520" s="6">
        <f t="shared" si="42"/>
        <v>85000</v>
      </c>
      <c r="L520" s="2">
        <v>15000</v>
      </c>
      <c r="M520" s="6">
        <f>Table1[[#This Row],[Total Sales]]+Table1[[#This Row],[Shipping Fee]]</f>
        <v>100000</v>
      </c>
      <c r="N520" s="2" t="s">
        <v>22</v>
      </c>
      <c r="O520" t="str">
        <f>VLOOKUP(Table1[[#This Row],[Order ID]],Status!A:B, 2,FALSE)</f>
        <v>Completed</v>
      </c>
      <c r="P520" s="2" t="s">
        <v>23</v>
      </c>
      <c r="Q520" s="2">
        <v>2</v>
      </c>
      <c r="R520" s="2" t="s">
        <v>37</v>
      </c>
      <c r="S520" s="11" t="str">
        <f t="shared" si="43"/>
        <v>Rendah</v>
      </c>
      <c r="T520" s="2" t="str">
        <f t="shared" si="44"/>
        <v>Normal</v>
      </c>
    </row>
    <row r="521" spans="1:20" ht="15.75" customHeight="1" x14ac:dyDescent="0.3">
      <c r="A521" s="4" t="s">
        <v>1857</v>
      </c>
      <c r="B521" s="3">
        <v>45825.580231481479</v>
      </c>
      <c r="C521" s="2" t="s">
        <v>128</v>
      </c>
      <c r="D521" s="2" t="s">
        <v>103</v>
      </c>
      <c r="E521" s="2" t="s">
        <v>144</v>
      </c>
      <c r="F521" s="2">
        <v>18000</v>
      </c>
      <c r="G521" s="2">
        <v>5</v>
      </c>
      <c r="H521" s="2">
        <v>5</v>
      </c>
      <c r="I521">
        <f t="shared" si="40"/>
        <v>90000</v>
      </c>
      <c r="J521">
        <f t="shared" si="41"/>
        <v>4500</v>
      </c>
      <c r="K521" s="6">
        <f t="shared" si="42"/>
        <v>85500</v>
      </c>
      <c r="L521" s="2">
        <v>85000</v>
      </c>
      <c r="M521" s="6">
        <f>Table1[[#This Row],[Total Sales]]+Table1[[#This Row],[Shipping Fee]]</f>
        <v>170500</v>
      </c>
      <c r="N521" s="2" t="s">
        <v>29</v>
      </c>
      <c r="O521" t="str">
        <f>VLOOKUP(Table1[[#This Row],[Order ID]],Status!A:B, 2,FALSE)</f>
        <v>Returned</v>
      </c>
      <c r="P521" s="2" t="s">
        <v>23</v>
      </c>
      <c r="Q521" s="2">
        <v>5</v>
      </c>
      <c r="R521" s="2" t="s">
        <v>37</v>
      </c>
      <c r="S521" s="11" t="str">
        <f t="shared" si="43"/>
        <v>Bagus</v>
      </c>
      <c r="T521" s="2" t="str">
        <f t="shared" si="44"/>
        <v>Sangat Rendah</v>
      </c>
    </row>
    <row r="522" spans="1:20" ht="15.75" customHeight="1" x14ac:dyDescent="0.3">
      <c r="A522" s="4" t="s">
        <v>1856</v>
      </c>
      <c r="B522" s="3">
        <v>45825.424328703702</v>
      </c>
      <c r="C522" s="2" t="s">
        <v>468</v>
      </c>
      <c r="D522" s="2" t="s">
        <v>163</v>
      </c>
      <c r="E522" s="2" t="s">
        <v>58</v>
      </c>
      <c r="F522" s="2">
        <v>16000</v>
      </c>
      <c r="G522" s="2">
        <v>5</v>
      </c>
      <c r="H522" s="2">
        <v>20</v>
      </c>
      <c r="I522">
        <f t="shared" si="40"/>
        <v>80000</v>
      </c>
      <c r="J522">
        <f t="shared" si="41"/>
        <v>16000</v>
      </c>
      <c r="K522" s="6">
        <f t="shared" si="42"/>
        <v>64000</v>
      </c>
      <c r="L522" s="2">
        <v>50000</v>
      </c>
      <c r="M522" s="6">
        <f>Table1[[#This Row],[Total Sales]]+Table1[[#This Row],[Shipping Fee]]</f>
        <v>114000</v>
      </c>
      <c r="N522" s="2" t="s">
        <v>22</v>
      </c>
      <c r="O522" t="str">
        <f>VLOOKUP(Table1[[#This Row],[Order ID]],Status!A:B, 2,FALSE)</f>
        <v>Completed</v>
      </c>
      <c r="P522" s="2" t="s">
        <v>30</v>
      </c>
      <c r="Q522" s="2">
        <v>4</v>
      </c>
      <c r="R522" s="2" t="s">
        <v>24</v>
      </c>
      <c r="S522" s="11" t="str">
        <f t="shared" si="43"/>
        <v>Bagus</v>
      </c>
      <c r="T522" s="2" t="str">
        <f t="shared" si="44"/>
        <v>Normal</v>
      </c>
    </row>
    <row r="523" spans="1:20" ht="15.75" customHeight="1" x14ac:dyDescent="0.3">
      <c r="A523" s="4" t="s">
        <v>1855</v>
      </c>
      <c r="B523" s="3">
        <v>45825.375011574077</v>
      </c>
      <c r="C523" s="2" t="s">
        <v>1038</v>
      </c>
      <c r="D523" s="2" t="s">
        <v>53</v>
      </c>
      <c r="E523" s="2" t="s">
        <v>186</v>
      </c>
      <c r="F523" s="2">
        <v>45000</v>
      </c>
      <c r="G523" s="2">
        <v>2</v>
      </c>
      <c r="H523" s="2">
        <v>10</v>
      </c>
      <c r="I523">
        <f t="shared" si="40"/>
        <v>90000</v>
      </c>
      <c r="J523">
        <f t="shared" si="41"/>
        <v>9000</v>
      </c>
      <c r="K523" s="6">
        <f t="shared" si="42"/>
        <v>81000</v>
      </c>
      <c r="L523" s="2">
        <v>18000</v>
      </c>
      <c r="M523" s="6">
        <f>Table1[[#This Row],[Total Sales]]+Table1[[#This Row],[Shipping Fee]]</f>
        <v>99000</v>
      </c>
      <c r="N523" s="2" t="s">
        <v>35</v>
      </c>
      <c r="O523" t="str">
        <f>VLOOKUP(Table1[[#This Row],[Order ID]],Status!A:B, 2,FALSE)</f>
        <v>Completed</v>
      </c>
      <c r="P523" s="2" t="s">
        <v>46</v>
      </c>
      <c r="Q523" s="2">
        <v>3</v>
      </c>
      <c r="R523" s="2" t="s">
        <v>24</v>
      </c>
      <c r="S523" s="11" t="str">
        <f t="shared" si="43"/>
        <v>Standar</v>
      </c>
      <c r="T523" s="2" t="str">
        <f t="shared" si="44"/>
        <v>Rendah</v>
      </c>
    </row>
    <row r="524" spans="1:20" ht="15.75" customHeight="1" x14ac:dyDescent="0.3">
      <c r="A524" s="4" t="s">
        <v>1854</v>
      </c>
      <c r="B524" s="3">
        <v>45825.270729166667</v>
      </c>
      <c r="C524" s="2" t="s">
        <v>377</v>
      </c>
      <c r="D524" s="2" t="s">
        <v>182</v>
      </c>
      <c r="E524" s="2" t="s">
        <v>93</v>
      </c>
      <c r="F524" s="2">
        <v>25000</v>
      </c>
      <c r="G524" s="2">
        <v>5</v>
      </c>
      <c r="H524" s="2">
        <v>0</v>
      </c>
      <c r="I524">
        <f t="shared" si="40"/>
        <v>125000</v>
      </c>
      <c r="J524">
        <f t="shared" si="41"/>
        <v>0</v>
      </c>
      <c r="K524" s="6">
        <f t="shared" si="42"/>
        <v>125000</v>
      </c>
      <c r="L524" s="2">
        <v>48000</v>
      </c>
      <c r="M524" s="6">
        <f>Table1[[#This Row],[Total Sales]]+Table1[[#This Row],[Shipping Fee]]</f>
        <v>173000</v>
      </c>
      <c r="N524" s="2" t="s">
        <v>63</v>
      </c>
      <c r="O524" t="str">
        <f>VLOOKUP(Table1[[#This Row],[Order ID]],Status!A:B, 2,FALSE)</f>
        <v>Completed</v>
      </c>
      <c r="P524" s="2" t="s">
        <v>23</v>
      </c>
      <c r="Q524" s="2">
        <v>4</v>
      </c>
      <c r="R524" s="2" t="s">
        <v>24</v>
      </c>
      <c r="S524" s="11" t="str">
        <f t="shared" si="43"/>
        <v>Bagus</v>
      </c>
      <c r="T524" s="2" t="str">
        <f t="shared" si="44"/>
        <v>Sangat Rendah</v>
      </c>
    </row>
    <row r="525" spans="1:20" ht="15.75" customHeight="1" x14ac:dyDescent="0.3">
      <c r="A525" s="4" t="s">
        <v>1853</v>
      </c>
      <c r="B525" s="3">
        <v>45825.263229166667</v>
      </c>
      <c r="C525" s="2" t="s">
        <v>1130</v>
      </c>
      <c r="D525" s="2" t="s">
        <v>122</v>
      </c>
      <c r="E525" s="2" t="s">
        <v>71</v>
      </c>
      <c r="F525" s="2">
        <v>40000</v>
      </c>
      <c r="G525" s="2">
        <v>5</v>
      </c>
      <c r="H525" s="2">
        <v>20</v>
      </c>
      <c r="I525">
        <f t="shared" si="40"/>
        <v>200000</v>
      </c>
      <c r="J525">
        <f t="shared" si="41"/>
        <v>40000</v>
      </c>
      <c r="K525" s="6">
        <f t="shared" si="42"/>
        <v>160000</v>
      </c>
      <c r="L525" s="2">
        <v>78000</v>
      </c>
      <c r="M525" s="6">
        <f>Table1[[#This Row],[Total Sales]]+Table1[[#This Row],[Shipping Fee]]</f>
        <v>238000</v>
      </c>
      <c r="N525" s="2" t="s">
        <v>63</v>
      </c>
      <c r="O525" t="str">
        <f>VLOOKUP(Table1[[#This Row],[Order ID]],Status!A:B, 2,FALSE)</f>
        <v>Completed</v>
      </c>
      <c r="P525" s="2" t="s">
        <v>46</v>
      </c>
      <c r="Q525" s="2">
        <v>3</v>
      </c>
      <c r="R525" s="2" t="s">
        <v>24</v>
      </c>
      <c r="S525" s="11" t="str">
        <f t="shared" si="43"/>
        <v>Standar</v>
      </c>
      <c r="T525" s="2" t="str">
        <f t="shared" si="44"/>
        <v>Sangat Tinggi</v>
      </c>
    </row>
    <row r="526" spans="1:20" ht="15.75" customHeight="1" x14ac:dyDescent="0.3">
      <c r="A526" s="4" t="s">
        <v>1852</v>
      </c>
      <c r="B526" s="3">
        <v>45825.189467592587</v>
      </c>
      <c r="C526" s="2" t="s">
        <v>455</v>
      </c>
      <c r="D526" s="2" t="s">
        <v>33</v>
      </c>
      <c r="E526" s="2" t="s">
        <v>54</v>
      </c>
      <c r="F526" s="2">
        <v>16000</v>
      </c>
      <c r="G526" s="2">
        <v>5</v>
      </c>
      <c r="H526" s="2">
        <v>20</v>
      </c>
      <c r="I526">
        <f t="shared" si="40"/>
        <v>80000</v>
      </c>
      <c r="J526">
        <f t="shared" si="41"/>
        <v>16000</v>
      </c>
      <c r="K526" s="6">
        <f t="shared" si="42"/>
        <v>64000</v>
      </c>
      <c r="L526" s="2">
        <v>76000</v>
      </c>
      <c r="M526" s="6">
        <f>Table1[[#This Row],[Total Sales]]+Table1[[#This Row],[Shipping Fee]]</f>
        <v>140000</v>
      </c>
      <c r="N526" s="2" t="s">
        <v>29</v>
      </c>
      <c r="O526" t="str">
        <f>VLOOKUP(Table1[[#This Row],[Order ID]],Status!A:B, 2,FALSE)</f>
        <v>Completed</v>
      </c>
      <c r="P526" s="2" t="s">
        <v>23</v>
      </c>
      <c r="Q526" s="2">
        <v>5</v>
      </c>
      <c r="R526" s="2" t="s">
        <v>24</v>
      </c>
      <c r="S526" s="11" t="str">
        <f t="shared" si="43"/>
        <v>Bagus</v>
      </c>
      <c r="T526" s="2" t="str">
        <f t="shared" si="44"/>
        <v>Normal</v>
      </c>
    </row>
    <row r="527" spans="1:20" ht="15.75" customHeight="1" x14ac:dyDescent="0.3">
      <c r="A527" s="4" t="s">
        <v>1851</v>
      </c>
      <c r="B527" s="3">
        <v>45825.14534722222</v>
      </c>
      <c r="C527" s="2" t="s">
        <v>827</v>
      </c>
      <c r="D527" s="2" t="s">
        <v>20</v>
      </c>
      <c r="E527" s="2" t="s">
        <v>136</v>
      </c>
      <c r="F527" s="2">
        <v>12000</v>
      </c>
      <c r="G527" s="2">
        <v>5</v>
      </c>
      <c r="H527" s="2">
        <v>20</v>
      </c>
      <c r="I527">
        <f t="shared" si="40"/>
        <v>60000</v>
      </c>
      <c r="J527">
        <f t="shared" si="41"/>
        <v>12000</v>
      </c>
      <c r="K527" s="6">
        <f t="shared" si="42"/>
        <v>48000</v>
      </c>
      <c r="L527" s="2">
        <v>15000</v>
      </c>
      <c r="M527" s="6">
        <f>Table1[[#This Row],[Total Sales]]+Table1[[#This Row],[Shipping Fee]]</f>
        <v>63000</v>
      </c>
      <c r="N527" s="2" t="s">
        <v>35</v>
      </c>
      <c r="O527" t="str">
        <f>VLOOKUP(Table1[[#This Row],[Order ID]],Status!A:B, 2,FALSE)</f>
        <v>Completed</v>
      </c>
      <c r="P527" s="2" t="s">
        <v>36</v>
      </c>
      <c r="Q527" s="2">
        <v>3</v>
      </c>
      <c r="R527" s="2" t="s">
        <v>24</v>
      </c>
      <c r="S527" s="11" t="str">
        <f t="shared" si="43"/>
        <v>Standar</v>
      </c>
      <c r="T527" s="2" t="str">
        <f t="shared" si="44"/>
        <v>Normal</v>
      </c>
    </row>
    <row r="528" spans="1:20" ht="15.75" customHeight="1" x14ac:dyDescent="0.3">
      <c r="A528" s="4" t="s">
        <v>1850</v>
      </c>
      <c r="B528" s="3">
        <v>45825.124027777783</v>
      </c>
      <c r="C528" s="2" t="s">
        <v>431</v>
      </c>
      <c r="D528" s="2" t="s">
        <v>33</v>
      </c>
      <c r="E528" s="2" t="s">
        <v>67</v>
      </c>
      <c r="F528" s="2">
        <v>15000</v>
      </c>
      <c r="G528" s="2">
        <v>4</v>
      </c>
      <c r="H528" s="2">
        <v>5</v>
      </c>
      <c r="I528">
        <f t="shared" si="40"/>
        <v>60000</v>
      </c>
      <c r="J528">
        <f t="shared" si="41"/>
        <v>3000</v>
      </c>
      <c r="K528" s="6">
        <f t="shared" si="42"/>
        <v>57000</v>
      </c>
      <c r="L528" s="2">
        <v>76000</v>
      </c>
      <c r="M528" s="6">
        <f>Table1[[#This Row],[Total Sales]]+Table1[[#This Row],[Shipping Fee]]</f>
        <v>133000</v>
      </c>
      <c r="N528" s="2" t="s">
        <v>22</v>
      </c>
      <c r="O528" t="str">
        <f>VLOOKUP(Table1[[#This Row],[Order ID]],Status!A:B, 2,FALSE)</f>
        <v>Completed</v>
      </c>
      <c r="P528" s="2" t="s">
        <v>82</v>
      </c>
      <c r="Q528" s="2">
        <v>5</v>
      </c>
      <c r="R528" s="2" t="s">
        <v>24</v>
      </c>
      <c r="S528" s="11" t="str">
        <f t="shared" si="43"/>
        <v>Bagus</v>
      </c>
      <c r="T528" s="2" t="str">
        <f t="shared" si="44"/>
        <v>Sangat Rendah</v>
      </c>
    </row>
    <row r="529" spans="1:20" ht="15.75" customHeight="1" x14ac:dyDescent="0.3">
      <c r="A529" s="4" t="s">
        <v>1850</v>
      </c>
      <c r="B529" s="3">
        <v>45825.124027777783</v>
      </c>
      <c r="C529" s="2" t="s">
        <v>431</v>
      </c>
      <c r="D529" s="2" t="s">
        <v>33</v>
      </c>
      <c r="E529" s="2" t="s">
        <v>45</v>
      </c>
      <c r="F529" s="2">
        <v>40000</v>
      </c>
      <c r="G529" s="2">
        <v>5</v>
      </c>
      <c r="H529" s="2">
        <v>10</v>
      </c>
      <c r="I529">
        <f t="shared" si="40"/>
        <v>200000</v>
      </c>
      <c r="J529">
        <f t="shared" si="41"/>
        <v>20000</v>
      </c>
      <c r="K529" s="6">
        <f t="shared" si="42"/>
        <v>180000</v>
      </c>
      <c r="L529" s="2">
        <v>0</v>
      </c>
      <c r="M529" s="6">
        <f>Table1[[#This Row],[Total Sales]]+Table1[[#This Row],[Shipping Fee]]</f>
        <v>180000</v>
      </c>
      <c r="N529" s="2" t="s">
        <v>22</v>
      </c>
      <c r="O529" t="str">
        <f>VLOOKUP(Table1[[#This Row],[Order ID]],Status!A:B, 2,FALSE)</f>
        <v>Completed</v>
      </c>
      <c r="P529" s="2" t="s">
        <v>82</v>
      </c>
      <c r="Q529" s="2">
        <v>5</v>
      </c>
      <c r="R529" s="2" t="s">
        <v>24</v>
      </c>
      <c r="S529" s="11" t="str">
        <f t="shared" si="43"/>
        <v>Bagus</v>
      </c>
      <c r="T529" s="2" t="str">
        <f t="shared" si="44"/>
        <v>Normal</v>
      </c>
    </row>
    <row r="530" spans="1:20" ht="15.75" customHeight="1" x14ac:dyDescent="0.3">
      <c r="A530" s="4" t="s">
        <v>1848</v>
      </c>
      <c r="B530" s="3">
        <v>45824.939189814817</v>
      </c>
      <c r="C530" s="2" t="s">
        <v>1849</v>
      </c>
      <c r="D530" s="2" t="s">
        <v>238</v>
      </c>
      <c r="E530" s="2" t="s">
        <v>85</v>
      </c>
      <c r="F530" s="2">
        <v>35000</v>
      </c>
      <c r="G530" s="2">
        <v>5</v>
      </c>
      <c r="H530" s="2">
        <v>5</v>
      </c>
      <c r="I530">
        <f t="shared" si="40"/>
        <v>175000</v>
      </c>
      <c r="J530">
        <f t="shared" si="41"/>
        <v>8750</v>
      </c>
      <c r="K530" s="6">
        <f t="shared" si="42"/>
        <v>166250</v>
      </c>
      <c r="L530" s="2">
        <v>28000</v>
      </c>
      <c r="M530" s="6">
        <f>Table1[[#This Row],[Total Sales]]+Table1[[#This Row],[Shipping Fee]]</f>
        <v>194250</v>
      </c>
      <c r="N530" s="2" t="s">
        <v>63</v>
      </c>
      <c r="O530" t="str">
        <f>VLOOKUP(Table1[[#This Row],[Order ID]],Status!A:B, 2,FALSE)</f>
        <v>Completed</v>
      </c>
      <c r="P530" s="2" t="s">
        <v>30</v>
      </c>
      <c r="Q530" s="2">
        <v>5</v>
      </c>
      <c r="R530" s="2" t="s">
        <v>24</v>
      </c>
      <c r="S530" s="11" t="str">
        <f t="shared" si="43"/>
        <v>Bagus</v>
      </c>
      <c r="T530" s="2" t="str">
        <f t="shared" si="44"/>
        <v>Rendah</v>
      </c>
    </row>
    <row r="531" spans="1:20" ht="15.75" customHeight="1" x14ac:dyDescent="0.3">
      <c r="A531" s="4" t="s">
        <v>1847</v>
      </c>
      <c r="B531" s="3">
        <v>45824.869571759264</v>
      </c>
      <c r="C531" s="2" t="s">
        <v>87</v>
      </c>
      <c r="D531" s="2" t="s">
        <v>80</v>
      </c>
      <c r="E531" s="2" t="s">
        <v>250</v>
      </c>
      <c r="F531" s="2">
        <v>18000</v>
      </c>
      <c r="G531" s="2">
        <v>1</v>
      </c>
      <c r="H531" s="2">
        <v>15</v>
      </c>
      <c r="I531">
        <f t="shared" si="40"/>
        <v>18000</v>
      </c>
      <c r="J531">
        <f t="shared" si="41"/>
        <v>2700</v>
      </c>
      <c r="K531" s="6">
        <f t="shared" si="42"/>
        <v>15300</v>
      </c>
      <c r="L531" s="2">
        <v>74000</v>
      </c>
      <c r="M531" s="6">
        <f>Table1[[#This Row],[Total Sales]]+Table1[[#This Row],[Shipping Fee]]</f>
        <v>89300</v>
      </c>
      <c r="N531" s="2" t="s">
        <v>29</v>
      </c>
      <c r="O531" t="str">
        <f>VLOOKUP(Table1[[#This Row],[Order ID]],Status!A:B, 2,FALSE)</f>
        <v>Returned</v>
      </c>
      <c r="P531" s="2" t="s">
        <v>46</v>
      </c>
      <c r="Q531" s="2">
        <v>2</v>
      </c>
      <c r="R531" s="2" t="s">
        <v>24</v>
      </c>
      <c r="S531" s="11" t="str">
        <f t="shared" si="43"/>
        <v>Rendah</v>
      </c>
      <c r="T531" s="2" t="str">
        <f t="shared" si="44"/>
        <v>Sangat Rendah</v>
      </c>
    </row>
    <row r="532" spans="1:20" ht="15.75" customHeight="1" x14ac:dyDescent="0.3">
      <c r="A532" s="4" t="s">
        <v>1846</v>
      </c>
      <c r="B532" s="3">
        <v>45824.867627314823</v>
      </c>
      <c r="C532" s="2" t="s">
        <v>252</v>
      </c>
      <c r="D532" s="2" t="s">
        <v>131</v>
      </c>
      <c r="E532" s="2" t="s">
        <v>110</v>
      </c>
      <c r="F532" s="2">
        <v>6000</v>
      </c>
      <c r="G532" s="2">
        <v>4</v>
      </c>
      <c r="H532" s="2">
        <v>10</v>
      </c>
      <c r="I532">
        <f t="shared" si="40"/>
        <v>24000</v>
      </c>
      <c r="J532">
        <f t="shared" si="41"/>
        <v>2400</v>
      </c>
      <c r="K532" s="6">
        <f t="shared" si="42"/>
        <v>21600</v>
      </c>
      <c r="L532" s="2">
        <v>59000</v>
      </c>
      <c r="M532" s="6">
        <f>Table1[[#This Row],[Total Sales]]+Table1[[#This Row],[Shipping Fee]]</f>
        <v>80600</v>
      </c>
      <c r="N532" s="2" t="s">
        <v>63</v>
      </c>
      <c r="O532" t="str">
        <f>VLOOKUP(Table1[[#This Row],[Order ID]],Status!A:B, 2,FALSE)</f>
        <v>Returned</v>
      </c>
      <c r="P532" s="2" t="s">
        <v>36</v>
      </c>
      <c r="Q532" s="2">
        <v>4</v>
      </c>
      <c r="R532" s="2" t="s">
        <v>24</v>
      </c>
      <c r="S532" s="11" t="str">
        <f t="shared" si="43"/>
        <v>Bagus</v>
      </c>
      <c r="T532" s="2" t="str">
        <f t="shared" si="44"/>
        <v>Sangat Rendah</v>
      </c>
    </row>
    <row r="533" spans="1:20" ht="15.75" customHeight="1" x14ac:dyDescent="0.3">
      <c r="A533" s="4" t="s">
        <v>1845</v>
      </c>
      <c r="B533" s="3">
        <v>45824.819444444453</v>
      </c>
      <c r="C533" s="2" t="s">
        <v>410</v>
      </c>
      <c r="D533" s="2" t="s">
        <v>151</v>
      </c>
      <c r="E533" s="2" t="s">
        <v>186</v>
      </c>
      <c r="F533" s="2">
        <v>45000</v>
      </c>
      <c r="G533" s="2">
        <v>3</v>
      </c>
      <c r="H533" s="2">
        <v>10</v>
      </c>
      <c r="I533">
        <f t="shared" si="40"/>
        <v>135000</v>
      </c>
      <c r="J533">
        <f t="shared" si="41"/>
        <v>13500</v>
      </c>
      <c r="K533" s="6">
        <f t="shared" si="42"/>
        <v>121500</v>
      </c>
      <c r="L533" s="2">
        <v>55000</v>
      </c>
      <c r="M533" s="6">
        <f>Table1[[#This Row],[Total Sales]]+Table1[[#This Row],[Shipping Fee]]</f>
        <v>176500</v>
      </c>
      <c r="N533" s="2" t="s">
        <v>35</v>
      </c>
      <c r="O533" t="str">
        <f>VLOOKUP(Table1[[#This Row],[Order ID]],Status!A:B, 2,FALSE)</f>
        <v>Completed</v>
      </c>
      <c r="P533" s="2" t="s">
        <v>36</v>
      </c>
      <c r="Q533" s="2">
        <v>1</v>
      </c>
      <c r="R533" s="2" t="s">
        <v>24</v>
      </c>
      <c r="S533" s="11" t="str">
        <f t="shared" si="43"/>
        <v>Rendah</v>
      </c>
      <c r="T533" s="2" t="str">
        <f t="shared" si="44"/>
        <v>Normal</v>
      </c>
    </row>
    <row r="534" spans="1:20" ht="15.75" customHeight="1" x14ac:dyDescent="0.3">
      <c r="A534" s="4" t="s">
        <v>1844</v>
      </c>
      <c r="B534" s="3">
        <v>45824.791226851848</v>
      </c>
      <c r="C534" s="2" t="s">
        <v>1321</v>
      </c>
      <c r="D534" s="2" t="s">
        <v>113</v>
      </c>
      <c r="E534" s="2" t="s">
        <v>93</v>
      </c>
      <c r="F534" s="2">
        <v>25000</v>
      </c>
      <c r="G534" s="2">
        <v>4</v>
      </c>
      <c r="H534" s="2">
        <v>10</v>
      </c>
      <c r="I534">
        <f t="shared" si="40"/>
        <v>100000</v>
      </c>
      <c r="J534">
        <f t="shared" si="41"/>
        <v>10000</v>
      </c>
      <c r="K534" s="6">
        <f t="shared" si="42"/>
        <v>90000</v>
      </c>
      <c r="L534" s="2">
        <v>18000</v>
      </c>
      <c r="M534" s="6">
        <f>Table1[[#This Row],[Total Sales]]+Table1[[#This Row],[Shipping Fee]]</f>
        <v>108000</v>
      </c>
      <c r="N534" s="2" t="s">
        <v>29</v>
      </c>
      <c r="O534" t="str">
        <f>VLOOKUP(Table1[[#This Row],[Order ID]],Status!A:B, 2,FALSE)</f>
        <v>Completed</v>
      </c>
      <c r="P534" s="2" t="s">
        <v>46</v>
      </c>
      <c r="Q534" s="2">
        <v>5</v>
      </c>
      <c r="R534" s="2" t="s">
        <v>24</v>
      </c>
      <c r="S534" s="11" t="str">
        <f t="shared" si="43"/>
        <v>Bagus</v>
      </c>
      <c r="T534" s="2" t="str">
        <f t="shared" si="44"/>
        <v>Rendah</v>
      </c>
    </row>
    <row r="535" spans="1:20" ht="15.75" customHeight="1" x14ac:dyDescent="0.3">
      <c r="A535" s="4" t="s">
        <v>1843</v>
      </c>
      <c r="B535" s="3">
        <v>45824.400405092587</v>
      </c>
      <c r="C535" s="2" t="s">
        <v>412</v>
      </c>
      <c r="D535" s="2" t="s">
        <v>70</v>
      </c>
      <c r="E535" s="2" t="s">
        <v>75</v>
      </c>
      <c r="F535" s="2">
        <v>55000</v>
      </c>
      <c r="G535" s="2">
        <v>3</v>
      </c>
      <c r="H535" s="2">
        <v>5</v>
      </c>
      <c r="I535">
        <f t="shared" si="40"/>
        <v>165000</v>
      </c>
      <c r="J535">
        <f t="shared" si="41"/>
        <v>8250</v>
      </c>
      <c r="K535" s="6">
        <f t="shared" si="42"/>
        <v>156750</v>
      </c>
      <c r="L535" s="2">
        <v>89000</v>
      </c>
      <c r="M535" s="6">
        <f>Table1[[#This Row],[Total Sales]]+Table1[[#This Row],[Shipping Fee]]</f>
        <v>245750</v>
      </c>
      <c r="N535" s="2" t="s">
        <v>35</v>
      </c>
      <c r="O535" t="str">
        <f>VLOOKUP(Table1[[#This Row],[Order ID]],Status!A:B, 2,FALSE)</f>
        <v>Completed</v>
      </c>
      <c r="P535" s="2" t="s">
        <v>30</v>
      </c>
      <c r="Q535" s="2">
        <v>3</v>
      </c>
      <c r="R535" s="2" t="s">
        <v>24</v>
      </c>
      <c r="S535" s="11" t="str">
        <f t="shared" si="43"/>
        <v>Standar</v>
      </c>
      <c r="T535" s="2" t="str">
        <f t="shared" si="44"/>
        <v>Rendah</v>
      </c>
    </row>
    <row r="536" spans="1:20" ht="15.75" customHeight="1" x14ac:dyDescent="0.3">
      <c r="A536" s="4" t="s">
        <v>1842</v>
      </c>
      <c r="B536" s="3">
        <v>45824.325555555559</v>
      </c>
      <c r="C536" s="2" t="s">
        <v>416</v>
      </c>
      <c r="D536" s="2" t="s">
        <v>131</v>
      </c>
      <c r="E536" s="2" t="s">
        <v>138</v>
      </c>
      <c r="F536" s="2">
        <v>17000</v>
      </c>
      <c r="G536" s="2">
        <v>2</v>
      </c>
      <c r="H536" s="2">
        <v>20</v>
      </c>
      <c r="I536">
        <f t="shared" si="40"/>
        <v>34000</v>
      </c>
      <c r="J536">
        <f t="shared" si="41"/>
        <v>6800</v>
      </c>
      <c r="K536" s="6">
        <f t="shared" si="42"/>
        <v>27200</v>
      </c>
      <c r="L536" s="2">
        <v>59000</v>
      </c>
      <c r="M536" s="6">
        <f>Table1[[#This Row],[Total Sales]]+Table1[[#This Row],[Shipping Fee]]</f>
        <v>86200</v>
      </c>
      <c r="N536" s="2" t="s">
        <v>63</v>
      </c>
      <c r="O536" t="str">
        <f>VLOOKUP(Table1[[#This Row],[Order ID]],Status!A:B, 2,FALSE)</f>
        <v>Completed</v>
      </c>
      <c r="P536" s="2" t="s">
        <v>36</v>
      </c>
      <c r="Q536" s="2">
        <v>5</v>
      </c>
      <c r="R536" s="2" t="s">
        <v>24</v>
      </c>
      <c r="S536" s="11" t="str">
        <f t="shared" si="43"/>
        <v>Bagus</v>
      </c>
      <c r="T536" s="2" t="str">
        <f t="shared" si="44"/>
        <v>Rendah</v>
      </c>
    </row>
    <row r="537" spans="1:20" ht="15.75" customHeight="1" x14ac:dyDescent="0.3">
      <c r="A537" s="4" t="s">
        <v>1841</v>
      </c>
      <c r="B537" s="3">
        <v>45824.182256944441</v>
      </c>
      <c r="C537" s="2" t="s">
        <v>220</v>
      </c>
      <c r="D537" s="2" t="s">
        <v>53</v>
      </c>
      <c r="E537" s="2" t="s">
        <v>88</v>
      </c>
      <c r="F537" s="2">
        <v>14000</v>
      </c>
      <c r="G537" s="2">
        <v>2</v>
      </c>
      <c r="H537" s="2">
        <v>5</v>
      </c>
      <c r="I537">
        <f t="shared" si="40"/>
        <v>28000</v>
      </c>
      <c r="J537">
        <f t="shared" si="41"/>
        <v>1400</v>
      </c>
      <c r="K537" s="6">
        <f t="shared" si="42"/>
        <v>26600</v>
      </c>
      <c r="L537" s="2">
        <v>18000</v>
      </c>
      <c r="M537" s="6">
        <f>Table1[[#This Row],[Total Sales]]+Table1[[#This Row],[Shipping Fee]]</f>
        <v>44600</v>
      </c>
      <c r="N537" s="2" t="s">
        <v>22</v>
      </c>
      <c r="O537" t="str">
        <f>VLOOKUP(Table1[[#This Row],[Order ID]],Status!A:B, 2,FALSE)</f>
        <v>Completed</v>
      </c>
      <c r="P537" s="2" t="s">
        <v>23</v>
      </c>
      <c r="Q537" s="2">
        <v>1</v>
      </c>
      <c r="R537" s="2" t="s">
        <v>24</v>
      </c>
      <c r="S537" s="11" t="str">
        <f t="shared" si="43"/>
        <v>Rendah</v>
      </c>
      <c r="T537" s="2" t="str">
        <f t="shared" si="44"/>
        <v>Sangat Rendah</v>
      </c>
    </row>
    <row r="538" spans="1:20" ht="15.75" customHeight="1" x14ac:dyDescent="0.3">
      <c r="A538" s="4" t="s">
        <v>1840</v>
      </c>
      <c r="B538" s="3">
        <v>45824.059537037043</v>
      </c>
      <c r="C538" s="2" t="s">
        <v>121</v>
      </c>
      <c r="D538" s="2" t="s">
        <v>122</v>
      </c>
      <c r="E538" s="2" t="s">
        <v>28</v>
      </c>
      <c r="F538" s="2">
        <v>5000</v>
      </c>
      <c r="G538" s="2">
        <v>1</v>
      </c>
      <c r="H538" s="2">
        <v>20</v>
      </c>
      <c r="I538">
        <f t="shared" si="40"/>
        <v>5000</v>
      </c>
      <c r="J538">
        <f t="shared" si="41"/>
        <v>1000</v>
      </c>
      <c r="K538" s="6">
        <f t="shared" si="42"/>
        <v>4000</v>
      </c>
      <c r="L538" s="2">
        <v>78000</v>
      </c>
      <c r="M538" s="6">
        <f>Table1[[#This Row],[Total Sales]]+Table1[[#This Row],[Shipping Fee]]</f>
        <v>82000</v>
      </c>
      <c r="N538" s="2" t="s">
        <v>29</v>
      </c>
      <c r="O538" t="str">
        <f>VLOOKUP(Table1[[#This Row],[Order ID]],Status!A:B, 2,FALSE)</f>
        <v>Completed</v>
      </c>
      <c r="P538" s="2" t="s">
        <v>36</v>
      </c>
      <c r="Q538" s="2">
        <v>1</v>
      </c>
      <c r="R538" s="2" t="s">
        <v>24</v>
      </c>
      <c r="S538" s="11" t="str">
        <f t="shared" si="43"/>
        <v>Rendah</v>
      </c>
      <c r="T538" s="2" t="str">
        <f t="shared" si="44"/>
        <v>Sangat Rendah</v>
      </c>
    </row>
    <row r="539" spans="1:20" ht="15.75" customHeight="1" x14ac:dyDescent="0.3">
      <c r="A539" s="4" t="s">
        <v>1839</v>
      </c>
      <c r="B539" s="3">
        <v>45823.580659722233</v>
      </c>
      <c r="C539" s="2" t="s">
        <v>644</v>
      </c>
      <c r="D539" s="2" t="s">
        <v>244</v>
      </c>
      <c r="E539" s="2" t="s">
        <v>38</v>
      </c>
      <c r="F539" s="2">
        <v>28000</v>
      </c>
      <c r="G539" s="2">
        <v>2</v>
      </c>
      <c r="H539" s="2">
        <v>15</v>
      </c>
      <c r="I539">
        <f t="shared" si="40"/>
        <v>56000</v>
      </c>
      <c r="J539">
        <f t="shared" si="41"/>
        <v>8400</v>
      </c>
      <c r="K539" s="6">
        <f t="shared" si="42"/>
        <v>47600</v>
      </c>
      <c r="L539" s="2">
        <v>80000</v>
      </c>
      <c r="M539" s="6">
        <f>Table1[[#This Row],[Total Sales]]+Table1[[#This Row],[Shipping Fee]]</f>
        <v>127600</v>
      </c>
      <c r="N539" s="2" t="s">
        <v>63</v>
      </c>
      <c r="O539" t="str">
        <f>VLOOKUP(Table1[[#This Row],[Order ID]],Status!A:B, 2,FALSE)</f>
        <v>Completed</v>
      </c>
      <c r="P539" s="2" t="s">
        <v>23</v>
      </c>
      <c r="Q539" s="2">
        <v>1</v>
      </c>
      <c r="R539" s="2" t="s">
        <v>24</v>
      </c>
      <c r="S539" s="11" t="str">
        <f t="shared" si="43"/>
        <v>Rendah</v>
      </c>
      <c r="T539" s="2" t="str">
        <f t="shared" si="44"/>
        <v>Rendah</v>
      </c>
    </row>
    <row r="540" spans="1:20" ht="15.75" customHeight="1" x14ac:dyDescent="0.3">
      <c r="A540" s="4" t="s">
        <v>1838</v>
      </c>
      <c r="B540" s="3">
        <v>45823.572916666657</v>
      </c>
      <c r="C540" s="2" t="s">
        <v>488</v>
      </c>
      <c r="D540" s="2" t="s">
        <v>49</v>
      </c>
      <c r="E540" s="2" t="s">
        <v>58</v>
      </c>
      <c r="F540" s="2">
        <v>16000</v>
      </c>
      <c r="G540" s="2">
        <v>5</v>
      </c>
      <c r="H540" s="2">
        <v>15</v>
      </c>
      <c r="I540">
        <f t="shared" si="40"/>
        <v>80000</v>
      </c>
      <c r="J540">
        <f t="shared" si="41"/>
        <v>12000</v>
      </c>
      <c r="K540" s="6">
        <f t="shared" si="42"/>
        <v>68000</v>
      </c>
      <c r="L540" s="2">
        <v>43000</v>
      </c>
      <c r="M540" s="6">
        <f>Table1[[#This Row],[Total Sales]]+Table1[[#This Row],[Shipping Fee]]</f>
        <v>111000</v>
      </c>
      <c r="N540" s="2" t="s">
        <v>35</v>
      </c>
      <c r="O540" t="str">
        <f>VLOOKUP(Table1[[#This Row],[Order ID]],Status!A:B, 2,FALSE)</f>
        <v>Returned</v>
      </c>
      <c r="P540" s="2" t="s">
        <v>46</v>
      </c>
      <c r="Q540" s="2">
        <v>4</v>
      </c>
      <c r="R540" s="2" t="s">
        <v>24</v>
      </c>
      <c r="S540" s="11" t="str">
        <f t="shared" si="43"/>
        <v>Bagus</v>
      </c>
      <c r="T540" s="2" t="str">
        <f t="shared" si="44"/>
        <v>Normal</v>
      </c>
    </row>
    <row r="541" spans="1:20" ht="15.75" customHeight="1" x14ac:dyDescent="0.3">
      <c r="A541" s="4" t="s">
        <v>1837</v>
      </c>
      <c r="B541" s="3">
        <v>45823.496724537043</v>
      </c>
      <c r="C541" s="2" t="s">
        <v>851</v>
      </c>
      <c r="D541" s="2" t="s">
        <v>66</v>
      </c>
      <c r="E541" s="2" t="s">
        <v>75</v>
      </c>
      <c r="F541" s="2">
        <v>55000</v>
      </c>
      <c r="G541" s="2">
        <v>4</v>
      </c>
      <c r="H541" s="2">
        <v>5</v>
      </c>
      <c r="I541">
        <f t="shared" si="40"/>
        <v>220000</v>
      </c>
      <c r="J541">
        <f t="shared" si="41"/>
        <v>11000</v>
      </c>
      <c r="K541" s="6">
        <f t="shared" si="42"/>
        <v>209000</v>
      </c>
      <c r="L541" s="2">
        <v>59000</v>
      </c>
      <c r="M541" s="6">
        <f>Table1[[#This Row],[Total Sales]]+Table1[[#This Row],[Shipping Fee]]</f>
        <v>268000</v>
      </c>
      <c r="N541" s="2" t="s">
        <v>63</v>
      </c>
      <c r="O541" t="str">
        <f>VLOOKUP(Table1[[#This Row],[Order ID]],Status!A:B, 2,FALSE)</f>
        <v>Cancelled</v>
      </c>
      <c r="P541" s="2" t="s">
        <v>46</v>
      </c>
      <c r="Q541" s="2">
        <v>4</v>
      </c>
      <c r="R541" s="2" t="s">
        <v>37</v>
      </c>
      <c r="S541" s="11" t="str">
        <f t="shared" si="43"/>
        <v>Bagus</v>
      </c>
      <c r="T541" s="2" t="str">
        <f t="shared" si="44"/>
        <v>Normal</v>
      </c>
    </row>
    <row r="542" spans="1:20" ht="15.75" customHeight="1" x14ac:dyDescent="0.3">
      <c r="A542" s="4" t="s">
        <v>1836</v>
      </c>
      <c r="B542" s="3">
        <v>45823.440046296288</v>
      </c>
      <c r="C542" s="2" t="s">
        <v>1311</v>
      </c>
      <c r="D542" s="2" t="s">
        <v>49</v>
      </c>
      <c r="E542" s="2" t="s">
        <v>136</v>
      </c>
      <c r="F542" s="2">
        <v>12000</v>
      </c>
      <c r="G542" s="2">
        <v>3</v>
      </c>
      <c r="H542" s="2">
        <v>10</v>
      </c>
      <c r="I542">
        <f t="shared" si="40"/>
        <v>36000</v>
      </c>
      <c r="J542">
        <f t="shared" si="41"/>
        <v>3600</v>
      </c>
      <c r="K542" s="6">
        <f t="shared" si="42"/>
        <v>32400</v>
      </c>
      <c r="L542" s="2">
        <v>43000</v>
      </c>
      <c r="M542" s="6">
        <f>Table1[[#This Row],[Total Sales]]+Table1[[#This Row],[Shipping Fee]]</f>
        <v>75400</v>
      </c>
      <c r="N542" s="2" t="s">
        <v>35</v>
      </c>
      <c r="O542" t="str">
        <f>VLOOKUP(Table1[[#This Row],[Order ID]],Status!A:B, 2,FALSE)</f>
        <v>Completed</v>
      </c>
      <c r="P542" s="2" t="s">
        <v>82</v>
      </c>
      <c r="Q542" s="2">
        <v>4</v>
      </c>
      <c r="R542" s="2" t="s">
        <v>24</v>
      </c>
      <c r="S542" s="11" t="str">
        <f t="shared" si="43"/>
        <v>Bagus</v>
      </c>
      <c r="T542" s="2" t="str">
        <f t="shared" si="44"/>
        <v>Sangat Rendah</v>
      </c>
    </row>
    <row r="543" spans="1:20" ht="15.75" customHeight="1" x14ac:dyDescent="0.3">
      <c r="A543" s="4" t="s">
        <v>1835</v>
      </c>
      <c r="B543" s="3">
        <v>45823.283379629633</v>
      </c>
      <c r="C543" s="2" t="s">
        <v>437</v>
      </c>
      <c r="D543" s="2" t="s">
        <v>375</v>
      </c>
      <c r="E543" s="2" t="s">
        <v>136</v>
      </c>
      <c r="F543" s="2">
        <v>12000</v>
      </c>
      <c r="G543" s="2">
        <v>3</v>
      </c>
      <c r="H543" s="2">
        <v>10</v>
      </c>
      <c r="I543">
        <f t="shared" si="40"/>
        <v>36000</v>
      </c>
      <c r="J543">
        <f t="shared" si="41"/>
        <v>3600</v>
      </c>
      <c r="K543" s="6">
        <f t="shared" si="42"/>
        <v>32400</v>
      </c>
      <c r="L543" s="2">
        <v>21000</v>
      </c>
      <c r="M543" s="6">
        <f>Table1[[#This Row],[Total Sales]]+Table1[[#This Row],[Shipping Fee]]</f>
        <v>53400</v>
      </c>
      <c r="N543" s="2" t="s">
        <v>63</v>
      </c>
      <c r="O543" t="str">
        <f>VLOOKUP(Table1[[#This Row],[Order ID]],Status!A:B, 2,FALSE)</f>
        <v>Completed</v>
      </c>
      <c r="P543" s="2" t="s">
        <v>82</v>
      </c>
      <c r="Q543" s="2">
        <v>5</v>
      </c>
      <c r="R543" s="2" t="s">
        <v>24</v>
      </c>
      <c r="S543" s="11" t="str">
        <f t="shared" si="43"/>
        <v>Bagus</v>
      </c>
      <c r="T543" s="2" t="str">
        <f t="shared" si="44"/>
        <v>Sangat Rendah</v>
      </c>
    </row>
    <row r="544" spans="1:20" ht="15.75" customHeight="1" x14ac:dyDescent="0.3">
      <c r="A544" s="4" t="s">
        <v>1834</v>
      </c>
      <c r="B544" s="3">
        <v>45823.111273148148</v>
      </c>
      <c r="C544" s="2" t="s">
        <v>446</v>
      </c>
      <c r="D544" s="2" t="s">
        <v>296</v>
      </c>
      <c r="E544" s="2" t="s">
        <v>144</v>
      </c>
      <c r="F544" s="2">
        <v>18000</v>
      </c>
      <c r="G544" s="2">
        <v>1</v>
      </c>
      <c r="H544" s="2">
        <v>0</v>
      </c>
      <c r="I544">
        <f t="shared" si="40"/>
        <v>18000</v>
      </c>
      <c r="J544">
        <f t="shared" si="41"/>
        <v>0</v>
      </c>
      <c r="K544" s="6">
        <f t="shared" si="42"/>
        <v>18000</v>
      </c>
      <c r="L544" s="2">
        <v>79000</v>
      </c>
      <c r="M544" s="6">
        <f>Table1[[#This Row],[Total Sales]]+Table1[[#This Row],[Shipping Fee]]</f>
        <v>97000</v>
      </c>
      <c r="N544" s="2" t="s">
        <v>63</v>
      </c>
      <c r="O544" t="str">
        <f>VLOOKUP(Table1[[#This Row],[Order ID]],Status!A:B, 2,FALSE)</f>
        <v>Completed</v>
      </c>
      <c r="P544" s="2" t="s">
        <v>23</v>
      </c>
      <c r="Q544" s="2">
        <v>3</v>
      </c>
      <c r="R544" s="2" t="s">
        <v>37</v>
      </c>
      <c r="S544" s="11" t="str">
        <f t="shared" si="43"/>
        <v>Standar</v>
      </c>
      <c r="T544" s="2" t="str">
        <f t="shared" si="44"/>
        <v>Sangat Rendah</v>
      </c>
    </row>
    <row r="545" spans="1:20" ht="15.75" customHeight="1" x14ac:dyDescent="0.3">
      <c r="A545" s="4" t="s">
        <v>1833</v>
      </c>
      <c r="B545" s="3">
        <v>45823.082731481481</v>
      </c>
      <c r="C545" s="2" t="s">
        <v>398</v>
      </c>
      <c r="D545" s="2" t="s">
        <v>182</v>
      </c>
      <c r="E545" s="2" t="s">
        <v>190</v>
      </c>
      <c r="F545" s="2">
        <v>35000</v>
      </c>
      <c r="G545" s="2">
        <v>3</v>
      </c>
      <c r="H545" s="2">
        <v>10</v>
      </c>
      <c r="I545">
        <f t="shared" si="40"/>
        <v>105000</v>
      </c>
      <c r="J545">
        <f t="shared" si="41"/>
        <v>10500</v>
      </c>
      <c r="K545" s="6">
        <f t="shared" si="42"/>
        <v>94500</v>
      </c>
      <c r="L545" s="2">
        <v>48000</v>
      </c>
      <c r="M545" s="6">
        <f>Table1[[#This Row],[Total Sales]]+Table1[[#This Row],[Shipping Fee]]</f>
        <v>142500</v>
      </c>
      <c r="N545" s="2" t="s">
        <v>22</v>
      </c>
      <c r="O545" t="str">
        <f>VLOOKUP(Table1[[#This Row],[Order ID]],Status!A:B, 2,FALSE)</f>
        <v>Completed</v>
      </c>
      <c r="P545" s="2" t="s">
        <v>30</v>
      </c>
      <c r="Q545" s="2">
        <v>4</v>
      </c>
      <c r="R545" s="2" t="s">
        <v>24</v>
      </c>
      <c r="S545" s="11" t="str">
        <f t="shared" si="43"/>
        <v>Bagus</v>
      </c>
      <c r="T545" s="2" t="str">
        <f t="shared" si="44"/>
        <v>Normal</v>
      </c>
    </row>
    <row r="546" spans="1:20" ht="15.75" customHeight="1" x14ac:dyDescent="0.3">
      <c r="A546" s="4" t="s">
        <v>1832</v>
      </c>
      <c r="B546" s="3">
        <v>45823.010370370372</v>
      </c>
      <c r="C546" s="2" t="s">
        <v>194</v>
      </c>
      <c r="D546" s="2" t="s">
        <v>195</v>
      </c>
      <c r="E546" s="2" t="s">
        <v>93</v>
      </c>
      <c r="F546" s="2">
        <v>25000</v>
      </c>
      <c r="G546" s="2">
        <v>1</v>
      </c>
      <c r="H546" s="2">
        <v>0</v>
      </c>
      <c r="I546">
        <f t="shared" si="40"/>
        <v>25000</v>
      </c>
      <c r="J546">
        <f t="shared" si="41"/>
        <v>0</v>
      </c>
      <c r="K546" s="6">
        <f t="shared" si="42"/>
        <v>25000</v>
      </c>
      <c r="L546" s="2">
        <v>87000</v>
      </c>
      <c r="M546" s="6">
        <f>Table1[[#This Row],[Total Sales]]+Table1[[#This Row],[Shipping Fee]]</f>
        <v>112000</v>
      </c>
      <c r="N546" s="2" t="s">
        <v>22</v>
      </c>
      <c r="O546" t="str">
        <f>VLOOKUP(Table1[[#This Row],[Order ID]],Status!A:B, 2,FALSE)</f>
        <v>Completed</v>
      </c>
      <c r="P546" s="2" t="s">
        <v>46</v>
      </c>
      <c r="Q546" s="2">
        <v>1</v>
      </c>
      <c r="R546" s="2" t="s">
        <v>24</v>
      </c>
      <c r="S546" s="11" t="str">
        <f t="shared" si="43"/>
        <v>Rendah</v>
      </c>
      <c r="T546" s="2" t="str">
        <f t="shared" si="44"/>
        <v>Sangat Rendah</v>
      </c>
    </row>
    <row r="547" spans="1:20" ht="15.75" customHeight="1" x14ac:dyDescent="0.3">
      <c r="A547" s="4" t="s">
        <v>1831</v>
      </c>
      <c r="B547" s="3">
        <v>45822.71671296296</v>
      </c>
      <c r="C547" s="2" t="s">
        <v>416</v>
      </c>
      <c r="D547" s="2" t="s">
        <v>131</v>
      </c>
      <c r="E547" s="2" t="s">
        <v>93</v>
      </c>
      <c r="F547" s="2">
        <v>25000</v>
      </c>
      <c r="G547" s="2">
        <v>5</v>
      </c>
      <c r="H547" s="2">
        <v>10</v>
      </c>
      <c r="I547">
        <f t="shared" si="40"/>
        <v>125000</v>
      </c>
      <c r="J547">
        <f t="shared" si="41"/>
        <v>12500</v>
      </c>
      <c r="K547" s="6">
        <f t="shared" si="42"/>
        <v>112500</v>
      </c>
      <c r="L547" s="2">
        <v>59000</v>
      </c>
      <c r="M547" s="6">
        <f>Table1[[#This Row],[Total Sales]]+Table1[[#This Row],[Shipping Fee]]</f>
        <v>171500</v>
      </c>
      <c r="N547" s="2" t="s">
        <v>63</v>
      </c>
      <c r="O547" t="str">
        <f>VLOOKUP(Table1[[#This Row],[Order ID]],Status!A:B, 2,FALSE)</f>
        <v>Returned</v>
      </c>
      <c r="P547" s="2" t="s">
        <v>36</v>
      </c>
      <c r="Q547" s="2">
        <v>5</v>
      </c>
      <c r="R547" s="2" t="s">
        <v>24</v>
      </c>
      <c r="S547" s="11" t="str">
        <f t="shared" si="43"/>
        <v>Bagus</v>
      </c>
      <c r="T547" s="2" t="str">
        <f t="shared" si="44"/>
        <v>Normal</v>
      </c>
    </row>
    <row r="548" spans="1:20" ht="15.75" customHeight="1" x14ac:dyDescent="0.3">
      <c r="A548" s="4" t="s">
        <v>1830</v>
      </c>
      <c r="B548" s="3">
        <v>45822.294039351851</v>
      </c>
      <c r="C548" s="2" t="s">
        <v>508</v>
      </c>
      <c r="D548" s="2" t="s">
        <v>20</v>
      </c>
      <c r="E548" s="2" t="s">
        <v>81</v>
      </c>
      <c r="F548" s="2">
        <v>17000</v>
      </c>
      <c r="G548" s="2">
        <v>2</v>
      </c>
      <c r="H548" s="2">
        <v>5</v>
      </c>
      <c r="I548">
        <f t="shared" si="40"/>
        <v>34000</v>
      </c>
      <c r="J548">
        <f t="shared" si="41"/>
        <v>1700</v>
      </c>
      <c r="K548" s="6">
        <f t="shared" si="42"/>
        <v>32300</v>
      </c>
      <c r="L548" s="2">
        <v>15000</v>
      </c>
      <c r="M548" s="6">
        <f>Table1[[#This Row],[Total Sales]]+Table1[[#This Row],[Shipping Fee]]</f>
        <v>47300</v>
      </c>
      <c r="N548" s="2" t="s">
        <v>29</v>
      </c>
      <c r="O548" t="str">
        <f>VLOOKUP(Table1[[#This Row],[Order ID]],Status!A:B, 2,FALSE)</f>
        <v>Completed</v>
      </c>
      <c r="P548" s="2" t="s">
        <v>30</v>
      </c>
      <c r="Q548" s="2">
        <v>4</v>
      </c>
      <c r="R548" s="2" t="s">
        <v>37</v>
      </c>
      <c r="S548" s="11" t="str">
        <f t="shared" si="43"/>
        <v>Bagus</v>
      </c>
      <c r="T548" s="2" t="str">
        <f t="shared" si="44"/>
        <v>Sangat Rendah</v>
      </c>
    </row>
    <row r="549" spans="1:20" ht="15.75" customHeight="1" x14ac:dyDescent="0.3">
      <c r="A549" s="4" t="s">
        <v>1830</v>
      </c>
      <c r="B549" s="3">
        <v>45822.294039351851</v>
      </c>
      <c r="C549" s="2" t="s">
        <v>508</v>
      </c>
      <c r="D549" s="2" t="s">
        <v>20</v>
      </c>
      <c r="E549" s="2" t="s">
        <v>186</v>
      </c>
      <c r="F549" s="2">
        <v>45000</v>
      </c>
      <c r="G549" s="2">
        <v>3</v>
      </c>
      <c r="H549" s="2">
        <v>15</v>
      </c>
      <c r="I549">
        <f t="shared" si="40"/>
        <v>135000</v>
      </c>
      <c r="J549">
        <f t="shared" si="41"/>
        <v>20250</v>
      </c>
      <c r="K549" s="6">
        <f t="shared" si="42"/>
        <v>114750</v>
      </c>
      <c r="L549" s="2">
        <v>0</v>
      </c>
      <c r="M549" s="6">
        <f>Table1[[#This Row],[Total Sales]]+Table1[[#This Row],[Shipping Fee]]</f>
        <v>114750</v>
      </c>
      <c r="N549" s="2" t="s">
        <v>29</v>
      </c>
      <c r="O549" t="str">
        <f>VLOOKUP(Table1[[#This Row],[Order ID]],Status!A:B, 2,FALSE)</f>
        <v>Completed</v>
      </c>
      <c r="P549" s="2" t="s">
        <v>30</v>
      </c>
      <c r="Q549" s="2">
        <v>4</v>
      </c>
      <c r="R549" s="2" t="s">
        <v>37</v>
      </c>
      <c r="S549" s="11" t="str">
        <f t="shared" si="43"/>
        <v>Bagus</v>
      </c>
      <c r="T549" s="2" t="str">
        <f t="shared" si="44"/>
        <v>Tinggi</v>
      </c>
    </row>
    <row r="550" spans="1:20" ht="15.75" customHeight="1" x14ac:dyDescent="0.3">
      <c r="A550" s="4" t="s">
        <v>1829</v>
      </c>
      <c r="B550" s="3">
        <v>45822.203634259262</v>
      </c>
      <c r="C550" s="2" t="s">
        <v>140</v>
      </c>
      <c r="D550" s="2" t="s">
        <v>92</v>
      </c>
      <c r="E550" s="2" t="s">
        <v>144</v>
      </c>
      <c r="F550" s="2">
        <v>18000</v>
      </c>
      <c r="G550" s="2">
        <v>4</v>
      </c>
      <c r="H550" s="2">
        <v>5</v>
      </c>
      <c r="I550">
        <f t="shared" si="40"/>
        <v>72000</v>
      </c>
      <c r="J550">
        <f t="shared" si="41"/>
        <v>3600</v>
      </c>
      <c r="K550" s="6">
        <f t="shared" si="42"/>
        <v>68400</v>
      </c>
      <c r="L550" s="2">
        <v>30000</v>
      </c>
      <c r="M550" s="6">
        <f>Table1[[#This Row],[Total Sales]]+Table1[[#This Row],[Shipping Fee]]</f>
        <v>98400</v>
      </c>
      <c r="N550" s="2" t="s">
        <v>63</v>
      </c>
      <c r="O550" t="str">
        <f>VLOOKUP(Table1[[#This Row],[Order ID]],Status!A:B, 2,FALSE)</f>
        <v>Cancelled</v>
      </c>
      <c r="P550" s="2" t="s">
        <v>36</v>
      </c>
      <c r="Q550" s="2">
        <v>4</v>
      </c>
      <c r="R550" s="2" t="s">
        <v>24</v>
      </c>
      <c r="S550" s="11" t="str">
        <f t="shared" si="43"/>
        <v>Bagus</v>
      </c>
      <c r="T550" s="2" t="str">
        <f t="shared" si="44"/>
        <v>Sangat Rendah</v>
      </c>
    </row>
    <row r="551" spans="1:20" ht="15.75" customHeight="1" x14ac:dyDescent="0.3">
      <c r="A551" s="4" t="s">
        <v>1828</v>
      </c>
      <c r="B551" s="3">
        <v>45822.033310185187</v>
      </c>
      <c r="C551" s="2" t="s">
        <v>381</v>
      </c>
      <c r="D551" s="2" t="s">
        <v>103</v>
      </c>
      <c r="E551" s="2" t="s">
        <v>93</v>
      </c>
      <c r="F551" s="2">
        <v>25000</v>
      </c>
      <c r="G551" s="2">
        <v>1</v>
      </c>
      <c r="H551" s="2">
        <v>15</v>
      </c>
      <c r="I551">
        <f t="shared" si="40"/>
        <v>25000</v>
      </c>
      <c r="J551">
        <f t="shared" si="41"/>
        <v>3750</v>
      </c>
      <c r="K551" s="6">
        <f t="shared" si="42"/>
        <v>21250</v>
      </c>
      <c r="L551" s="2">
        <v>85000</v>
      </c>
      <c r="M551" s="6">
        <f>Table1[[#This Row],[Total Sales]]+Table1[[#This Row],[Shipping Fee]]</f>
        <v>106250</v>
      </c>
      <c r="N551" s="2" t="s">
        <v>35</v>
      </c>
      <c r="O551" t="str">
        <f>VLOOKUP(Table1[[#This Row],[Order ID]],Status!A:B, 2,FALSE)</f>
        <v>Completed</v>
      </c>
      <c r="P551" s="2" t="s">
        <v>46</v>
      </c>
      <c r="Q551" s="2">
        <v>1</v>
      </c>
      <c r="R551" s="2" t="s">
        <v>24</v>
      </c>
      <c r="S551" s="11" t="str">
        <f t="shared" si="43"/>
        <v>Rendah</v>
      </c>
      <c r="T551" s="2" t="str">
        <f t="shared" si="44"/>
        <v>Sangat Rendah</v>
      </c>
    </row>
    <row r="552" spans="1:20" ht="15.75" customHeight="1" x14ac:dyDescent="0.3">
      <c r="A552" s="4" t="s">
        <v>1827</v>
      </c>
      <c r="B552" s="3">
        <v>45821.971087962957</v>
      </c>
      <c r="C552" s="2" t="s">
        <v>387</v>
      </c>
      <c r="D552" s="2" t="s">
        <v>49</v>
      </c>
      <c r="E552" s="2" t="s">
        <v>21</v>
      </c>
      <c r="F552" s="2">
        <v>45000</v>
      </c>
      <c r="G552" s="2">
        <v>5</v>
      </c>
      <c r="H552" s="2">
        <v>10</v>
      </c>
      <c r="I552">
        <f t="shared" si="40"/>
        <v>225000</v>
      </c>
      <c r="J552">
        <f t="shared" si="41"/>
        <v>22500</v>
      </c>
      <c r="K552" s="6">
        <f t="shared" si="42"/>
        <v>202500</v>
      </c>
      <c r="L552" s="2">
        <v>43000</v>
      </c>
      <c r="M552" s="6">
        <f>Table1[[#This Row],[Total Sales]]+Table1[[#This Row],[Shipping Fee]]</f>
        <v>245500</v>
      </c>
      <c r="N552" s="2" t="s">
        <v>22</v>
      </c>
      <c r="O552" t="str">
        <f>VLOOKUP(Table1[[#This Row],[Order ID]],Status!A:B, 2,FALSE)</f>
        <v>Completed</v>
      </c>
      <c r="P552" s="2" t="s">
        <v>23</v>
      </c>
      <c r="Q552" s="2">
        <v>2</v>
      </c>
      <c r="R552" s="2" t="s">
        <v>37</v>
      </c>
      <c r="S552" s="11" t="str">
        <f t="shared" si="43"/>
        <v>Rendah</v>
      </c>
      <c r="T552" s="2" t="str">
        <f t="shared" si="44"/>
        <v>Tinggi</v>
      </c>
    </row>
    <row r="553" spans="1:20" ht="15.75" customHeight="1" x14ac:dyDescent="0.3">
      <c r="A553" s="4" t="s">
        <v>1826</v>
      </c>
      <c r="B553" s="3">
        <v>45821.869247685187</v>
      </c>
      <c r="C553" s="2" t="s">
        <v>165</v>
      </c>
      <c r="D553" s="2" t="s">
        <v>143</v>
      </c>
      <c r="E553" s="2" t="s">
        <v>41</v>
      </c>
      <c r="F553" s="2">
        <v>4000</v>
      </c>
      <c r="G553" s="2">
        <v>2</v>
      </c>
      <c r="H553" s="2">
        <v>15</v>
      </c>
      <c r="I553">
        <f t="shared" si="40"/>
        <v>8000</v>
      </c>
      <c r="J553">
        <f t="shared" si="41"/>
        <v>1200</v>
      </c>
      <c r="K553" s="6">
        <f t="shared" si="42"/>
        <v>6800</v>
      </c>
      <c r="L553" s="2">
        <v>50000</v>
      </c>
      <c r="M553" s="6">
        <f>Table1[[#This Row],[Total Sales]]+Table1[[#This Row],[Shipping Fee]]</f>
        <v>56800</v>
      </c>
      <c r="N553" s="2" t="s">
        <v>35</v>
      </c>
      <c r="O553" t="str">
        <f>VLOOKUP(Table1[[#This Row],[Order ID]],Status!A:B, 2,FALSE)</f>
        <v>Completed</v>
      </c>
      <c r="P553" s="2" t="s">
        <v>30</v>
      </c>
      <c r="Q553" s="2">
        <v>4</v>
      </c>
      <c r="R553" s="2" t="s">
        <v>24</v>
      </c>
      <c r="S553" s="11" t="str">
        <f t="shared" si="43"/>
        <v>Bagus</v>
      </c>
      <c r="T553" s="2" t="str">
        <f t="shared" si="44"/>
        <v>Sangat Rendah</v>
      </c>
    </row>
    <row r="554" spans="1:20" ht="15.75" customHeight="1" x14ac:dyDescent="0.3">
      <c r="A554" s="4" t="s">
        <v>1825</v>
      </c>
      <c r="B554" s="3">
        <v>45821.599606481483</v>
      </c>
      <c r="C554" s="2" t="s">
        <v>150</v>
      </c>
      <c r="D554" s="2" t="s">
        <v>151</v>
      </c>
      <c r="E554" s="2" t="s">
        <v>250</v>
      </c>
      <c r="F554" s="2">
        <v>18000</v>
      </c>
      <c r="G554" s="2">
        <v>5</v>
      </c>
      <c r="H554" s="2">
        <v>10</v>
      </c>
      <c r="I554">
        <f t="shared" si="40"/>
        <v>90000</v>
      </c>
      <c r="J554">
        <f t="shared" si="41"/>
        <v>9000</v>
      </c>
      <c r="K554" s="6">
        <f t="shared" si="42"/>
        <v>81000</v>
      </c>
      <c r="L554" s="2">
        <v>55000</v>
      </c>
      <c r="M554" s="6">
        <f>Table1[[#This Row],[Total Sales]]+Table1[[#This Row],[Shipping Fee]]</f>
        <v>136000</v>
      </c>
      <c r="N554" s="2" t="s">
        <v>22</v>
      </c>
      <c r="O554" t="str">
        <f>VLOOKUP(Table1[[#This Row],[Order ID]],Status!A:B, 2,FALSE)</f>
        <v>Returned</v>
      </c>
      <c r="P554" s="2" t="s">
        <v>36</v>
      </c>
      <c r="Q554" s="2">
        <v>5</v>
      </c>
      <c r="R554" s="2" t="s">
        <v>37</v>
      </c>
      <c r="S554" s="11" t="str">
        <f t="shared" si="43"/>
        <v>Bagus</v>
      </c>
      <c r="T554" s="2" t="str">
        <f t="shared" si="44"/>
        <v>Rendah</v>
      </c>
    </row>
    <row r="555" spans="1:20" ht="15.75" customHeight="1" x14ac:dyDescent="0.3">
      <c r="A555" s="4" t="s">
        <v>1824</v>
      </c>
      <c r="B555" s="3">
        <v>45821.530115740738</v>
      </c>
      <c r="C555" s="2" t="s">
        <v>1228</v>
      </c>
      <c r="D555" s="2" t="s">
        <v>33</v>
      </c>
      <c r="E555" s="2" t="s">
        <v>38</v>
      </c>
      <c r="F555" s="2">
        <v>28000</v>
      </c>
      <c r="G555" s="2">
        <v>2</v>
      </c>
      <c r="H555" s="2">
        <v>20</v>
      </c>
      <c r="I555">
        <f t="shared" si="40"/>
        <v>56000</v>
      </c>
      <c r="J555">
        <f t="shared" si="41"/>
        <v>11200</v>
      </c>
      <c r="K555" s="6">
        <f t="shared" si="42"/>
        <v>44800</v>
      </c>
      <c r="L555" s="2">
        <v>76000</v>
      </c>
      <c r="M555" s="6">
        <f>Table1[[#This Row],[Total Sales]]+Table1[[#This Row],[Shipping Fee]]</f>
        <v>120800</v>
      </c>
      <c r="N555" s="2" t="s">
        <v>29</v>
      </c>
      <c r="O555" t="str">
        <f>VLOOKUP(Table1[[#This Row],[Order ID]],Status!A:B, 2,FALSE)</f>
        <v>Completed</v>
      </c>
      <c r="P555" s="2" t="s">
        <v>36</v>
      </c>
      <c r="Q555" s="2">
        <v>2</v>
      </c>
      <c r="R555" s="2" t="s">
        <v>24</v>
      </c>
      <c r="S555" s="11" t="str">
        <f t="shared" si="43"/>
        <v>Rendah</v>
      </c>
      <c r="T555" s="2" t="str">
        <f t="shared" si="44"/>
        <v>Normal</v>
      </c>
    </row>
    <row r="556" spans="1:20" ht="15.75" customHeight="1" x14ac:dyDescent="0.3">
      <c r="A556" s="4" t="s">
        <v>1824</v>
      </c>
      <c r="B556" s="3">
        <v>45821.530115740738</v>
      </c>
      <c r="C556" s="2" t="s">
        <v>1228</v>
      </c>
      <c r="D556" s="2" t="s">
        <v>33</v>
      </c>
      <c r="E556" s="2" t="s">
        <v>174</v>
      </c>
      <c r="F556" s="2">
        <v>10000</v>
      </c>
      <c r="G556" s="2">
        <v>5</v>
      </c>
      <c r="H556" s="2">
        <v>10</v>
      </c>
      <c r="I556">
        <f t="shared" si="40"/>
        <v>50000</v>
      </c>
      <c r="J556">
        <f t="shared" si="41"/>
        <v>5000</v>
      </c>
      <c r="K556" s="6">
        <f t="shared" si="42"/>
        <v>45000</v>
      </c>
      <c r="L556" s="2">
        <v>0</v>
      </c>
      <c r="M556" s="6">
        <f>Table1[[#This Row],[Total Sales]]+Table1[[#This Row],[Shipping Fee]]</f>
        <v>45000</v>
      </c>
      <c r="N556" s="2" t="s">
        <v>29</v>
      </c>
      <c r="O556" t="str">
        <f>VLOOKUP(Table1[[#This Row],[Order ID]],Status!A:B, 2,FALSE)</f>
        <v>Completed</v>
      </c>
      <c r="P556" s="2" t="s">
        <v>36</v>
      </c>
      <c r="Q556" s="2">
        <v>2</v>
      </c>
      <c r="R556" s="2" t="s">
        <v>24</v>
      </c>
      <c r="S556" s="11" t="str">
        <f t="shared" si="43"/>
        <v>Rendah</v>
      </c>
      <c r="T556" s="2" t="str">
        <f t="shared" si="44"/>
        <v>Sangat Rendah</v>
      </c>
    </row>
    <row r="557" spans="1:20" ht="15.75" customHeight="1" x14ac:dyDescent="0.3">
      <c r="A557" s="4" t="s">
        <v>1823</v>
      </c>
      <c r="B557" s="3">
        <v>45821.481944444437</v>
      </c>
      <c r="C557" s="2" t="s">
        <v>1561</v>
      </c>
      <c r="D557" s="2" t="s">
        <v>160</v>
      </c>
      <c r="E557" s="2" t="s">
        <v>50</v>
      </c>
      <c r="F557" s="2">
        <v>14000</v>
      </c>
      <c r="G557" s="2">
        <v>4</v>
      </c>
      <c r="H557" s="2">
        <v>0</v>
      </c>
      <c r="I557">
        <f t="shared" si="40"/>
        <v>56000</v>
      </c>
      <c r="J557">
        <f t="shared" si="41"/>
        <v>0</v>
      </c>
      <c r="K557" s="6">
        <f t="shared" si="42"/>
        <v>56000</v>
      </c>
      <c r="L557" s="2">
        <v>68000</v>
      </c>
      <c r="M557" s="6">
        <f>Table1[[#This Row],[Total Sales]]+Table1[[#This Row],[Shipping Fee]]</f>
        <v>124000</v>
      </c>
      <c r="N557" s="2" t="s">
        <v>35</v>
      </c>
      <c r="O557" t="str">
        <f>VLOOKUP(Table1[[#This Row],[Order ID]],Status!A:B, 2,FALSE)</f>
        <v>Completed</v>
      </c>
      <c r="P557" s="2" t="s">
        <v>82</v>
      </c>
      <c r="Q557" s="2">
        <v>1</v>
      </c>
      <c r="R557" s="2" t="s">
        <v>24</v>
      </c>
      <c r="S557" s="11" t="str">
        <f t="shared" si="43"/>
        <v>Rendah</v>
      </c>
      <c r="T557" s="2" t="str">
        <f t="shared" si="44"/>
        <v>Sangat Rendah</v>
      </c>
    </row>
    <row r="558" spans="1:20" ht="15.75" customHeight="1" x14ac:dyDescent="0.3">
      <c r="A558" s="4" t="s">
        <v>1822</v>
      </c>
      <c r="B558" s="3">
        <v>45821.395208333342</v>
      </c>
      <c r="C558" s="2" t="s">
        <v>1237</v>
      </c>
      <c r="D558" s="2" t="s">
        <v>92</v>
      </c>
      <c r="E558" s="2" t="s">
        <v>190</v>
      </c>
      <c r="F558" s="2">
        <v>35000</v>
      </c>
      <c r="G558" s="2">
        <v>2</v>
      </c>
      <c r="H558" s="2">
        <v>10</v>
      </c>
      <c r="I558">
        <f t="shared" si="40"/>
        <v>70000</v>
      </c>
      <c r="J558">
        <f t="shared" si="41"/>
        <v>7000</v>
      </c>
      <c r="K558" s="6">
        <f t="shared" si="42"/>
        <v>63000</v>
      </c>
      <c r="L558" s="2">
        <v>30000</v>
      </c>
      <c r="M558" s="6">
        <f>Table1[[#This Row],[Total Sales]]+Table1[[#This Row],[Shipping Fee]]</f>
        <v>93000</v>
      </c>
      <c r="N558" s="2" t="s">
        <v>22</v>
      </c>
      <c r="O558" t="str">
        <f>VLOOKUP(Table1[[#This Row],[Order ID]],Status!A:B, 2,FALSE)</f>
        <v>Returned</v>
      </c>
      <c r="P558" s="2" t="s">
        <v>82</v>
      </c>
      <c r="Q558" s="2">
        <v>2</v>
      </c>
      <c r="R558" s="2" t="s">
        <v>24</v>
      </c>
      <c r="S558" s="11" t="str">
        <f t="shared" si="43"/>
        <v>Rendah</v>
      </c>
      <c r="T558" s="2" t="str">
        <f t="shared" si="44"/>
        <v>Rendah</v>
      </c>
    </row>
    <row r="559" spans="1:20" ht="15.75" customHeight="1" x14ac:dyDescent="0.3">
      <c r="A559" s="4" t="s">
        <v>1821</v>
      </c>
      <c r="B559" s="3">
        <v>45821.155428240738</v>
      </c>
      <c r="C559" s="2" t="s">
        <v>1130</v>
      </c>
      <c r="D559" s="2" t="s">
        <v>122</v>
      </c>
      <c r="E559" s="2" t="s">
        <v>38</v>
      </c>
      <c r="F559" s="2">
        <v>28000</v>
      </c>
      <c r="G559" s="2">
        <v>5</v>
      </c>
      <c r="H559" s="2">
        <v>5</v>
      </c>
      <c r="I559">
        <f t="shared" si="40"/>
        <v>140000</v>
      </c>
      <c r="J559">
        <f t="shared" si="41"/>
        <v>7000</v>
      </c>
      <c r="K559" s="6">
        <f t="shared" si="42"/>
        <v>133000</v>
      </c>
      <c r="L559" s="2">
        <v>78000</v>
      </c>
      <c r="M559" s="6">
        <f>Table1[[#This Row],[Total Sales]]+Table1[[#This Row],[Shipping Fee]]</f>
        <v>211000</v>
      </c>
      <c r="N559" s="2" t="s">
        <v>29</v>
      </c>
      <c r="O559" t="str">
        <f>VLOOKUP(Table1[[#This Row],[Order ID]],Status!A:B, 2,FALSE)</f>
        <v>Completed</v>
      </c>
      <c r="P559" s="2" t="s">
        <v>30</v>
      </c>
      <c r="Q559" s="2">
        <v>2</v>
      </c>
      <c r="R559" s="2" t="s">
        <v>24</v>
      </c>
      <c r="S559" s="11" t="str">
        <f t="shared" si="43"/>
        <v>Rendah</v>
      </c>
      <c r="T559" s="2" t="str">
        <f t="shared" si="44"/>
        <v>Rendah</v>
      </c>
    </row>
    <row r="560" spans="1:20" ht="15.75" customHeight="1" x14ac:dyDescent="0.3">
      <c r="A560" s="4" t="s">
        <v>1821</v>
      </c>
      <c r="B560" s="3">
        <v>45821.155428240738</v>
      </c>
      <c r="C560" s="2" t="s">
        <v>1130</v>
      </c>
      <c r="D560" s="2" t="s">
        <v>122</v>
      </c>
      <c r="E560" s="2" t="s">
        <v>38</v>
      </c>
      <c r="F560" s="2">
        <v>28000</v>
      </c>
      <c r="G560" s="2">
        <v>4</v>
      </c>
      <c r="H560" s="2">
        <v>20</v>
      </c>
      <c r="I560">
        <f t="shared" si="40"/>
        <v>112000</v>
      </c>
      <c r="J560">
        <f t="shared" si="41"/>
        <v>22400</v>
      </c>
      <c r="K560" s="6">
        <f t="shared" si="42"/>
        <v>89600</v>
      </c>
      <c r="L560" s="2">
        <v>0</v>
      </c>
      <c r="M560" s="6">
        <f>Table1[[#This Row],[Total Sales]]+Table1[[#This Row],[Shipping Fee]]</f>
        <v>89600</v>
      </c>
      <c r="N560" s="2" t="s">
        <v>29</v>
      </c>
      <c r="O560" t="str">
        <f>VLOOKUP(Table1[[#This Row],[Order ID]],Status!A:B, 2,FALSE)</f>
        <v>Completed</v>
      </c>
      <c r="P560" s="2" t="s">
        <v>30</v>
      </c>
      <c r="Q560" s="2">
        <v>2</v>
      </c>
      <c r="R560" s="2" t="s">
        <v>24</v>
      </c>
      <c r="S560" s="11" t="str">
        <f t="shared" si="43"/>
        <v>Rendah</v>
      </c>
      <c r="T560" s="2" t="str">
        <f t="shared" si="44"/>
        <v>Tinggi</v>
      </c>
    </row>
    <row r="561" spans="1:20" ht="15.75" customHeight="1" x14ac:dyDescent="0.3">
      <c r="A561" s="4" t="s">
        <v>1820</v>
      </c>
      <c r="B561" s="3">
        <v>45820.929259259261</v>
      </c>
      <c r="C561" s="2" t="s">
        <v>1317</v>
      </c>
      <c r="D561" s="2" t="s">
        <v>113</v>
      </c>
      <c r="E561" s="2" t="s">
        <v>38</v>
      </c>
      <c r="F561" s="2">
        <v>28000</v>
      </c>
      <c r="G561" s="2">
        <v>4</v>
      </c>
      <c r="H561" s="2">
        <v>5</v>
      </c>
      <c r="I561">
        <f t="shared" si="40"/>
        <v>112000</v>
      </c>
      <c r="J561">
        <f t="shared" si="41"/>
        <v>5600</v>
      </c>
      <c r="K561" s="6">
        <f t="shared" si="42"/>
        <v>106400</v>
      </c>
      <c r="L561" s="2">
        <v>18000</v>
      </c>
      <c r="M561" s="6">
        <f>Table1[[#This Row],[Total Sales]]+Table1[[#This Row],[Shipping Fee]]</f>
        <v>124400</v>
      </c>
      <c r="N561" s="2" t="s">
        <v>63</v>
      </c>
      <c r="O561" t="str">
        <f>VLOOKUP(Table1[[#This Row],[Order ID]],Status!A:B, 2,FALSE)</f>
        <v>Completed</v>
      </c>
      <c r="P561" s="2" t="s">
        <v>46</v>
      </c>
      <c r="Q561" s="2">
        <v>2</v>
      </c>
      <c r="R561" s="2" t="s">
        <v>37</v>
      </c>
      <c r="S561" s="11" t="str">
        <f t="shared" si="43"/>
        <v>Rendah</v>
      </c>
      <c r="T561" s="2" t="str">
        <f t="shared" si="44"/>
        <v>Rendah</v>
      </c>
    </row>
    <row r="562" spans="1:20" ht="15.75" customHeight="1" x14ac:dyDescent="0.3">
      <c r="A562" s="4" t="s">
        <v>1819</v>
      </c>
      <c r="B562" s="3">
        <v>45820.921006944453</v>
      </c>
      <c r="C562" s="2" t="s">
        <v>1050</v>
      </c>
      <c r="D562" s="2" t="s">
        <v>92</v>
      </c>
      <c r="E562" s="2" t="s">
        <v>136</v>
      </c>
      <c r="F562" s="2">
        <v>12000</v>
      </c>
      <c r="G562" s="2">
        <v>3</v>
      </c>
      <c r="H562" s="2">
        <v>20</v>
      </c>
      <c r="I562">
        <f t="shared" si="40"/>
        <v>36000</v>
      </c>
      <c r="J562">
        <f t="shared" si="41"/>
        <v>7200</v>
      </c>
      <c r="K562" s="6">
        <f t="shared" si="42"/>
        <v>28800</v>
      </c>
      <c r="L562" s="2">
        <v>30000</v>
      </c>
      <c r="M562" s="6">
        <f>Table1[[#This Row],[Total Sales]]+Table1[[#This Row],[Shipping Fee]]</f>
        <v>58800</v>
      </c>
      <c r="N562" s="2" t="s">
        <v>22</v>
      </c>
      <c r="O562" t="str">
        <f>VLOOKUP(Table1[[#This Row],[Order ID]],Status!A:B, 2,FALSE)</f>
        <v>Completed</v>
      </c>
      <c r="P562" s="2" t="s">
        <v>36</v>
      </c>
      <c r="Q562" s="2">
        <v>5</v>
      </c>
      <c r="R562" s="2" t="s">
        <v>24</v>
      </c>
      <c r="S562" s="11" t="str">
        <f t="shared" si="43"/>
        <v>Bagus</v>
      </c>
      <c r="T562" s="2" t="str">
        <f t="shared" si="44"/>
        <v>Rendah</v>
      </c>
    </row>
    <row r="563" spans="1:20" ht="15.75" customHeight="1" x14ac:dyDescent="0.3">
      <c r="A563" s="4" t="s">
        <v>1818</v>
      </c>
      <c r="B563" s="3">
        <v>45820.796851851846</v>
      </c>
      <c r="C563" s="2" t="s">
        <v>157</v>
      </c>
      <c r="D563" s="2" t="s">
        <v>20</v>
      </c>
      <c r="E563" s="2" t="s">
        <v>41</v>
      </c>
      <c r="F563" s="2">
        <v>4000</v>
      </c>
      <c r="G563" s="2">
        <v>1</v>
      </c>
      <c r="H563" s="2">
        <v>10</v>
      </c>
      <c r="I563">
        <f t="shared" si="40"/>
        <v>4000</v>
      </c>
      <c r="J563">
        <f t="shared" si="41"/>
        <v>400</v>
      </c>
      <c r="K563" s="6">
        <f t="shared" si="42"/>
        <v>3600</v>
      </c>
      <c r="L563" s="2">
        <v>15000</v>
      </c>
      <c r="M563" s="6">
        <f>Table1[[#This Row],[Total Sales]]+Table1[[#This Row],[Shipping Fee]]</f>
        <v>18600</v>
      </c>
      <c r="N563" s="2" t="s">
        <v>22</v>
      </c>
      <c r="O563" t="str">
        <f>VLOOKUP(Table1[[#This Row],[Order ID]],Status!A:B, 2,FALSE)</f>
        <v>Completed</v>
      </c>
      <c r="P563" s="2" t="s">
        <v>82</v>
      </c>
      <c r="Q563" s="2">
        <v>1</v>
      </c>
      <c r="R563" s="2" t="s">
        <v>24</v>
      </c>
      <c r="S563" s="11" t="str">
        <f t="shared" si="43"/>
        <v>Rendah</v>
      </c>
      <c r="T563" s="2" t="str">
        <f t="shared" si="44"/>
        <v>Sangat Rendah</v>
      </c>
    </row>
    <row r="564" spans="1:20" ht="15.75" customHeight="1" x14ac:dyDescent="0.3">
      <c r="A564" s="4" t="s">
        <v>1817</v>
      </c>
      <c r="B564" s="3">
        <v>45820.794479166667</v>
      </c>
      <c r="C564" s="2" t="s">
        <v>729</v>
      </c>
      <c r="D564" s="2" t="s">
        <v>74</v>
      </c>
      <c r="E564" s="2" t="s">
        <v>186</v>
      </c>
      <c r="F564" s="2">
        <v>45000</v>
      </c>
      <c r="G564" s="2">
        <v>1</v>
      </c>
      <c r="H564" s="2">
        <v>15</v>
      </c>
      <c r="I564">
        <f t="shared" si="40"/>
        <v>45000</v>
      </c>
      <c r="J564">
        <f t="shared" si="41"/>
        <v>6750</v>
      </c>
      <c r="K564" s="6">
        <f t="shared" si="42"/>
        <v>38250</v>
      </c>
      <c r="L564" s="2">
        <v>87000</v>
      </c>
      <c r="M564" s="6">
        <f>Table1[[#This Row],[Total Sales]]+Table1[[#This Row],[Shipping Fee]]</f>
        <v>125250</v>
      </c>
      <c r="N564" s="2" t="s">
        <v>29</v>
      </c>
      <c r="O564" t="str">
        <f>VLOOKUP(Table1[[#This Row],[Order ID]],Status!A:B, 2,FALSE)</f>
        <v>Completed</v>
      </c>
      <c r="P564" s="2" t="s">
        <v>23</v>
      </c>
      <c r="Q564" s="2">
        <v>5</v>
      </c>
      <c r="R564" s="2" t="s">
        <v>24</v>
      </c>
      <c r="S564" s="11" t="str">
        <f t="shared" si="43"/>
        <v>Bagus</v>
      </c>
      <c r="T564" s="2" t="str">
        <f t="shared" si="44"/>
        <v>Rendah</v>
      </c>
    </row>
    <row r="565" spans="1:20" ht="15.75" customHeight="1" x14ac:dyDescent="0.3">
      <c r="A565" s="4" t="s">
        <v>1816</v>
      </c>
      <c r="B565" s="3">
        <v>45820.572245370371</v>
      </c>
      <c r="C565" s="2" t="s">
        <v>851</v>
      </c>
      <c r="D565" s="2" t="s">
        <v>66</v>
      </c>
      <c r="E565" s="2" t="s">
        <v>38</v>
      </c>
      <c r="F565" s="2">
        <v>28000</v>
      </c>
      <c r="G565" s="2">
        <v>5</v>
      </c>
      <c r="H565" s="2">
        <v>20</v>
      </c>
      <c r="I565">
        <f t="shared" si="40"/>
        <v>140000</v>
      </c>
      <c r="J565">
        <f t="shared" si="41"/>
        <v>28000</v>
      </c>
      <c r="K565" s="6">
        <f t="shared" si="42"/>
        <v>112000</v>
      </c>
      <c r="L565" s="2">
        <v>59000</v>
      </c>
      <c r="M565" s="6">
        <f>Table1[[#This Row],[Total Sales]]+Table1[[#This Row],[Shipping Fee]]</f>
        <v>171000</v>
      </c>
      <c r="N565" s="2" t="s">
        <v>29</v>
      </c>
      <c r="O565" t="str">
        <f>VLOOKUP(Table1[[#This Row],[Order ID]],Status!A:B, 2,FALSE)</f>
        <v>Completed</v>
      </c>
      <c r="P565" s="2" t="s">
        <v>30</v>
      </c>
      <c r="Q565" s="2">
        <v>3</v>
      </c>
      <c r="R565" s="2" t="s">
        <v>37</v>
      </c>
      <c r="S565" s="11" t="str">
        <f t="shared" si="43"/>
        <v>Standar</v>
      </c>
      <c r="T565" s="2" t="str">
        <f t="shared" si="44"/>
        <v>Tinggi</v>
      </c>
    </row>
    <row r="566" spans="1:20" ht="15.75" customHeight="1" x14ac:dyDescent="0.3">
      <c r="A566" s="4" t="s">
        <v>1815</v>
      </c>
      <c r="B566" s="3">
        <v>45820.480416666673</v>
      </c>
      <c r="C566" s="2" t="s">
        <v>394</v>
      </c>
      <c r="D566" s="2" t="s">
        <v>53</v>
      </c>
      <c r="E566" s="2" t="s">
        <v>190</v>
      </c>
      <c r="F566" s="2">
        <v>35000</v>
      </c>
      <c r="G566" s="2">
        <v>2</v>
      </c>
      <c r="H566" s="2">
        <v>20</v>
      </c>
      <c r="I566">
        <f t="shared" si="40"/>
        <v>70000</v>
      </c>
      <c r="J566">
        <f t="shared" si="41"/>
        <v>14000</v>
      </c>
      <c r="K566" s="6">
        <f t="shared" si="42"/>
        <v>56000</v>
      </c>
      <c r="L566" s="2">
        <v>18000</v>
      </c>
      <c r="M566" s="6">
        <f>Table1[[#This Row],[Total Sales]]+Table1[[#This Row],[Shipping Fee]]</f>
        <v>74000</v>
      </c>
      <c r="N566" s="2" t="s">
        <v>29</v>
      </c>
      <c r="O566" t="str">
        <f>VLOOKUP(Table1[[#This Row],[Order ID]],Status!A:B, 2,FALSE)</f>
        <v>Completed</v>
      </c>
      <c r="P566" s="2" t="s">
        <v>23</v>
      </c>
      <c r="Q566" s="2">
        <v>2</v>
      </c>
      <c r="R566" s="2" t="s">
        <v>24</v>
      </c>
      <c r="S566" s="11" t="str">
        <f t="shared" si="43"/>
        <v>Rendah</v>
      </c>
      <c r="T566" s="2" t="str">
        <f t="shared" si="44"/>
        <v>Normal</v>
      </c>
    </row>
    <row r="567" spans="1:20" ht="15.75" customHeight="1" x14ac:dyDescent="0.3">
      <c r="A567" s="4" t="s">
        <v>1814</v>
      </c>
      <c r="B567" s="3">
        <v>45820.356620370367</v>
      </c>
      <c r="C567" s="2" t="s">
        <v>48</v>
      </c>
      <c r="D567" s="2" t="s">
        <v>49</v>
      </c>
      <c r="E567" s="2" t="s">
        <v>34</v>
      </c>
      <c r="F567" s="2">
        <v>16000</v>
      </c>
      <c r="G567" s="2">
        <v>4</v>
      </c>
      <c r="H567" s="2">
        <v>10</v>
      </c>
      <c r="I567">
        <f t="shared" si="40"/>
        <v>64000</v>
      </c>
      <c r="J567">
        <f t="shared" si="41"/>
        <v>6400</v>
      </c>
      <c r="K567" s="6">
        <f t="shared" si="42"/>
        <v>57600</v>
      </c>
      <c r="L567" s="2">
        <v>43000</v>
      </c>
      <c r="M567" s="6">
        <f>Table1[[#This Row],[Total Sales]]+Table1[[#This Row],[Shipping Fee]]</f>
        <v>100600</v>
      </c>
      <c r="N567" s="2" t="s">
        <v>35</v>
      </c>
      <c r="O567" t="str">
        <f>VLOOKUP(Table1[[#This Row],[Order ID]],Status!A:B, 2,FALSE)</f>
        <v>Completed</v>
      </c>
      <c r="P567" s="2" t="s">
        <v>36</v>
      </c>
      <c r="Q567" s="2">
        <v>3</v>
      </c>
      <c r="R567" s="2" t="s">
        <v>24</v>
      </c>
      <c r="S567" s="11" t="str">
        <f t="shared" si="43"/>
        <v>Standar</v>
      </c>
      <c r="T567" s="2" t="str">
        <f t="shared" si="44"/>
        <v>Rendah</v>
      </c>
    </row>
    <row r="568" spans="1:20" ht="15.75" customHeight="1" x14ac:dyDescent="0.3">
      <c r="A568" s="4" t="s">
        <v>1813</v>
      </c>
      <c r="B568" s="3">
        <v>45820.340925925928</v>
      </c>
      <c r="C568" s="2" t="s">
        <v>381</v>
      </c>
      <c r="D568" s="2" t="s">
        <v>103</v>
      </c>
      <c r="E568" s="2" t="s">
        <v>34</v>
      </c>
      <c r="F568" s="2">
        <v>16000</v>
      </c>
      <c r="G568" s="2">
        <v>3</v>
      </c>
      <c r="H568" s="2">
        <v>5</v>
      </c>
      <c r="I568">
        <f t="shared" si="40"/>
        <v>48000</v>
      </c>
      <c r="J568">
        <f t="shared" si="41"/>
        <v>2400</v>
      </c>
      <c r="K568" s="6">
        <f t="shared" si="42"/>
        <v>45600</v>
      </c>
      <c r="L568" s="2">
        <v>85000</v>
      </c>
      <c r="M568" s="6">
        <f>Table1[[#This Row],[Total Sales]]+Table1[[#This Row],[Shipping Fee]]</f>
        <v>130600</v>
      </c>
      <c r="N568" s="2" t="s">
        <v>22</v>
      </c>
      <c r="O568" t="str">
        <f>VLOOKUP(Table1[[#This Row],[Order ID]],Status!A:B, 2,FALSE)</f>
        <v>Cancelled</v>
      </c>
      <c r="P568" s="2" t="s">
        <v>36</v>
      </c>
      <c r="Q568" s="2">
        <v>4</v>
      </c>
      <c r="R568" s="2" t="s">
        <v>24</v>
      </c>
      <c r="S568" s="11" t="str">
        <f t="shared" si="43"/>
        <v>Bagus</v>
      </c>
      <c r="T568" s="2" t="str">
        <f t="shared" si="44"/>
        <v>Sangat Rendah</v>
      </c>
    </row>
    <row r="569" spans="1:20" ht="15.75" customHeight="1" x14ac:dyDescent="0.3">
      <c r="A569" s="4" t="s">
        <v>1812</v>
      </c>
      <c r="B569" s="3">
        <v>45820.31050925926</v>
      </c>
      <c r="C569" s="2" t="s">
        <v>271</v>
      </c>
      <c r="D569" s="2" t="s">
        <v>49</v>
      </c>
      <c r="E569" s="2" t="s">
        <v>81</v>
      </c>
      <c r="F569" s="2">
        <v>17000</v>
      </c>
      <c r="G569" s="2">
        <v>1</v>
      </c>
      <c r="H569" s="2">
        <v>5</v>
      </c>
      <c r="I569">
        <f t="shared" si="40"/>
        <v>17000</v>
      </c>
      <c r="J569">
        <f t="shared" si="41"/>
        <v>850</v>
      </c>
      <c r="K569" s="6">
        <f t="shared" si="42"/>
        <v>16150</v>
      </c>
      <c r="L569" s="2">
        <v>43000</v>
      </c>
      <c r="M569" s="6">
        <f>Table1[[#This Row],[Total Sales]]+Table1[[#This Row],[Shipping Fee]]</f>
        <v>59150</v>
      </c>
      <c r="N569" s="2" t="s">
        <v>22</v>
      </c>
      <c r="O569" t="str">
        <f>VLOOKUP(Table1[[#This Row],[Order ID]],Status!A:B, 2,FALSE)</f>
        <v>Completed</v>
      </c>
      <c r="P569" s="2" t="s">
        <v>36</v>
      </c>
      <c r="Q569" s="2">
        <v>5</v>
      </c>
      <c r="R569" s="2" t="s">
        <v>24</v>
      </c>
      <c r="S569" s="11" t="str">
        <f t="shared" si="43"/>
        <v>Bagus</v>
      </c>
      <c r="T569" s="2" t="str">
        <f t="shared" si="44"/>
        <v>Sangat Rendah</v>
      </c>
    </row>
    <row r="570" spans="1:20" ht="15.75" customHeight="1" x14ac:dyDescent="0.3">
      <c r="A570" s="4" t="s">
        <v>1811</v>
      </c>
      <c r="B570" s="3">
        <v>45819.857245370367</v>
      </c>
      <c r="C570" s="2" t="s">
        <v>1530</v>
      </c>
      <c r="D570" s="2" t="s">
        <v>122</v>
      </c>
      <c r="E570" s="2" t="s">
        <v>62</v>
      </c>
      <c r="F570" s="2">
        <v>50000</v>
      </c>
      <c r="G570" s="2">
        <v>3</v>
      </c>
      <c r="H570" s="2">
        <v>20</v>
      </c>
      <c r="I570">
        <f t="shared" si="40"/>
        <v>150000</v>
      </c>
      <c r="J570">
        <f t="shared" si="41"/>
        <v>30000</v>
      </c>
      <c r="K570" s="6">
        <f t="shared" si="42"/>
        <v>120000</v>
      </c>
      <c r="L570" s="2">
        <v>78000</v>
      </c>
      <c r="M570" s="6">
        <f>Table1[[#This Row],[Total Sales]]+Table1[[#This Row],[Shipping Fee]]</f>
        <v>198000</v>
      </c>
      <c r="N570" s="2" t="s">
        <v>22</v>
      </c>
      <c r="O570" t="str">
        <f>VLOOKUP(Table1[[#This Row],[Order ID]],Status!A:B, 2,FALSE)</f>
        <v>Completed</v>
      </c>
      <c r="P570" s="2" t="s">
        <v>46</v>
      </c>
      <c r="Q570" s="2">
        <v>4</v>
      </c>
      <c r="R570" s="2" t="s">
        <v>24</v>
      </c>
      <c r="S570" s="11" t="str">
        <f t="shared" si="43"/>
        <v>Bagus</v>
      </c>
      <c r="T570" s="2" t="str">
        <f t="shared" si="44"/>
        <v>Tinggi</v>
      </c>
    </row>
    <row r="571" spans="1:20" ht="15.75" customHeight="1" x14ac:dyDescent="0.3">
      <c r="A571" s="4" t="s">
        <v>1810</v>
      </c>
      <c r="B571" s="3">
        <v>45819.749537037038</v>
      </c>
      <c r="C571" s="2" t="s">
        <v>121</v>
      </c>
      <c r="D571" s="2" t="s">
        <v>122</v>
      </c>
      <c r="E571" s="2" t="s">
        <v>88</v>
      </c>
      <c r="F571" s="2">
        <v>14000</v>
      </c>
      <c r="G571" s="2">
        <v>2</v>
      </c>
      <c r="H571" s="2">
        <v>10</v>
      </c>
      <c r="I571">
        <f t="shared" si="40"/>
        <v>28000</v>
      </c>
      <c r="J571">
        <f t="shared" si="41"/>
        <v>2800</v>
      </c>
      <c r="K571" s="6">
        <f t="shared" si="42"/>
        <v>25200</v>
      </c>
      <c r="L571" s="2">
        <v>78000</v>
      </c>
      <c r="M571" s="6">
        <f>Table1[[#This Row],[Total Sales]]+Table1[[#This Row],[Shipping Fee]]</f>
        <v>103200</v>
      </c>
      <c r="N571" s="2" t="s">
        <v>63</v>
      </c>
      <c r="O571" t="str">
        <f>VLOOKUP(Table1[[#This Row],[Order ID]],Status!A:B, 2,FALSE)</f>
        <v>Completed</v>
      </c>
      <c r="P571" s="2" t="s">
        <v>46</v>
      </c>
      <c r="Q571" s="2">
        <v>4</v>
      </c>
      <c r="R571" s="2" t="s">
        <v>24</v>
      </c>
      <c r="S571" s="11" t="str">
        <f t="shared" si="43"/>
        <v>Bagus</v>
      </c>
      <c r="T571" s="2" t="str">
        <f t="shared" si="44"/>
        <v>Sangat Rendah</v>
      </c>
    </row>
    <row r="572" spans="1:20" ht="15.75" customHeight="1" x14ac:dyDescent="0.3">
      <c r="A572" s="4" t="s">
        <v>1809</v>
      </c>
      <c r="B572" s="3">
        <v>45819.572233796287</v>
      </c>
      <c r="C572" s="2" t="s">
        <v>513</v>
      </c>
      <c r="D572" s="2" t="s">
        <v>182</v>
      </c>
      <c r="E572" s="2" t="s">
        <v>138</v>
      </c>
      <c r="F572" s="2">
        <v>17000</v>
      </c>
      <c r="G572" s="2">
        <v>5</v>
      </c>
      <c r="H572" s="2">
        <v>5</v>
      </c>
      <c r="I572">
        <f t="shared" si="40"/>
        <v>85000</v>
      </c>
      <c r="J572">
        <f t="shared" si="41"/>
        <v>4250</v>
      </c>
      <c r="K572" s="6">
        <f t="shared" si="42"/>
        <v>80750</v>
      </c>
      <c r="L572" s="2">
        <v>48000</v>
      </c>
      <c r="M572" s="6">
        <f>Table1[[#This Row],[Total Sales]]+Table1[[#This Row],[Shipping Fee]]</f>
        <v>128750</v>
      </c>
      <c r="N572" s="2" t="s">
        <v>63</v>
      </c>
      <c r="O572" t="str">
        <f>VLOOKUP(Table1[[#This Row],[Order ID]],Status!A:B, 2,FALSE)</f>
        <v>Returned</v>
      </c>
      <c r="P572" s="2" t="s">
        <v>46</v>
      </c>
      <c r="Q572" s="2">
        <v>2</v>
      </c>
      <c r="R572" s="2" t="s">
        <v>24</v>
      </c>
      <c r="S572" s="11" t="str">
        <f t="shared" si="43"/>
        <v>Rendah</v>
      </c>
      <c r="T572" s="2" t="str">
        <f t="shared" si="44"/>
        <v>Sangat Rendah</v>
      </c>
    </row>
    <row r="573" spans="1:20" ht="15.75" customHeight="1" x14ac:dyDescent="0.3">
      <c r="A573" s="4" t="s">
        <v>1807</v>
      </c>
      <c r="B573" s="3">
        <v>45818.542754629627</v>
      </c>
      <c r="C573" s="2" t="s">
        <v>1808</v>
      </c>
      <c r="D573" s="2" t="s">
        <v>80</v>
      </c>
      <c r="E573" s="2" t="s">
        <v>67</v>
      </c>
      <c r="F573" s="2">
        <v>15000</v>
      </c>
      <c r="G573" s="2">
        <v>5</v>
      </c>
      <c r="H573" s="2">
        <v>10</v>
      </c>
      <c r="I573">
        <f t="shared" si="40"/>
        <v>75000</v>
      </c>
      <c r="J573">
        <f t="shared" si="41"/>
        <v>7500</v>
      </c>
      <c r="K573" s="6">
        <f t="shared" si="42"/>
        <v>67500</v>
      </c>
      <c r="L573" s="2">
        <v>74000</v>
      </c>
      <c r="M573" s="6">
        <f>Table1[[#This Row],[Total Sales]]+Table1[[#This Row],[Shipping Fee]]</f>
        <v>141500</v>
      </c>
      <c r="N573" s="2" t="s">
        <v>22</v>
      </c>
      <c r="O573" t="str">
        <f>VLOOKUP(Table1[[#This Row],[Order ID]],Status!A:B, 2,FALSE)</f>
        <v>Completed</v>
      </c>
      <c r="P573" s="2" t="s">
        <v>23</v>
      </c>
      <c r="Q573" s="2">
        <v>3</v>
      </c>
      <c r="R573" s="2" t="s">
        <v>24</v>
      </c>
      <c r="S573" s="11" t="str">
        <f t="shared" si="43"/>
        <v>Standar</v>
      </c>
      <c r="T573" s="2" t="str">
        <f t="shared" si="44"/>
        <v>Rendah</v>
      </c>
    </row>
    <row r="574" spans="1:20" ht="15.75" customHeight="1" x14ac:dyDescent="0.3">
      <c r="A574" s="4" t="s">
        <v>1807</v>
      </c>
      <c r="B574" s="3">
        <v>45818.542754629627</v>
      </c>
      <c r="C574" s="2" t="s">
        <v>1808</v>
      </c>
      <c r="D574" s="2" t="s">
        <v>80</v>
      </c>
      <c r="E574" s="2" t="s">
        <v>93</v>
      </c>
      <c r="F574" s="2">
        <v>25000</v>
      </c>
      <c r="G574" s="2">
        <v>4</v>
      </c>
      <c r="H574" s="2">
        <v>20</v>
      </c>
      <c r="I574">
        <f t="shared" si="40"/>
        <v>100000</v>
      </c>
      <c r="J574">
        <f t="shared" si="41"/>
        <v>20000</v>
      </c>
      <c r="K574" s="6">
        <f t="shared" si="42"/>
        <v>80000</v>
      </c>
      <c r="L574" s="2">
        <v>0</v>
      </c>
      <c r="M574" s="6">
        <f>Table1[[#This Row],[Total Sales]]+Table1[[#This Row],[Shipping Fee]]</f>
        <v>80000</v>
      </c>
      <c r="N574" s="2" t="s">
        <v>22</v>
      </c>
      <c r="O574" t="str">
        <f>VLOOKUP(Table1[[#This Row],[Order ID]],Status!A:B, 2,FALSE)</f>
        <v>Completed</v>
      </c>
      <c r="P574" s="2" t="s">
        <v>23</v>
      </c>
      <c r="Q574" s="2">
        <v>3</v>
      </c>
      <c r="R574" s="2" t="s">
        <v>24</v>
      </c>
      <c r="S574" s="11" t="str">
        <f t="shared" si="43"/>
        <v>Standar</v>
      </c>
      <c r="T574" s="2" t="str">
        <f t="shared" si="44"/>
        <v>Normal</v>
      </c>
    </row>
    <row r="575" spans="1:20" ht="15.75" customHeight="1" x14ac:dyDescent="0.3">
      <c r="A575" s="4" t="s">
        <v>1806</v>
      </c>
      <c r="B575" s="3">
        <v>45818.517754629633</v>
      </c>
      <c r="C575" s="2" t="s">
        <v>1317</v>
      </c>
      <c r="D575" s="2" t="s">
        <v>113</v>
      </c>
      <c r="E575" s="2" t="s">
        <v>85</v>
      </c>
      <c r="F575" s="2">
        <v>35000</v>
      </c>
      <c r="G575" s="2">
        <v>1</v>
      </c>
      <c r="H575" s="2">
        <v>10</v>
      </c>
      <c r="I575">
        <f t="shared" si="40"/>
        <v>35000</v>
      </c>
      <c r="J575">
        <f t="shared" si="41"/>
        <v>3500</v>
      </c>
      <c r="K575" s="6">
        <f t="shared" si="42"/>
        <v>31500</v>
      </c>
      <c r="L575" s="2">
        <v>18000</v>
      </c>
      <c r="M575" s="6">
        <f>Table1[[#This Row],[Total Sales]]+Table1[[#This Row],[Shipping Fee]]</f>
        <v>49500</v>
      </c>
      <c r="N575" s="2" t="s">
        <v>29</v>
      </c>
      <c r="O575" t="str">
        <f>VLOOKUP(Table1[[#This Row],[Order ID]],Status!A:B, 2,FALSE)</f>
        <v>Completed</v>
      </c>
      <c r="P575" s="2" t="s">
        <v>36</v>
      </c>
      <c r="Q575" s="2">
        <v>5</v>
      </c>
      <c r="R575" s="2" t="s">
        <v>37</v>
      </c>
      <c r="S575" s="11" t="str">
        <f t="shared" si="43"/>
        <v>Bagus</v>
      </c>
      <c r="T575" s="2" t="str">
        <f t="shared" si="44"/>
        <v>Sangat Rendah</v>
      </c>
    </row>
    <row r="576" spans="1:20" ht="15.75" customHeight="1" x14ac:dyDescent="0.3">
      <c r="A576" s="4" t="s">
        <v>1805</v>
      </c>
      <c r="B576" s="3">
        <v>45818.487604166658</v>
      </c>
      <c r="C576" s="2" t="s">
        <v>1382</v>
      </c>
      <c r="D576" s="2" t="s">
        <v>74</v>
      </c>
      <c r="E576" s="2" t="s">
        <v>93</v>
      </c>
      <c r="F576" s="2">
        <v>25000</v>
      </c>
      <c r="G576" s="2">
        <v>4</v>
      </c>
      <c r="H576" s="2">
        <v>5</v>
      </c>
      <c r="I576">
        <f t="shared" si="40"/>
        <v>100000</v>
      </c>
      <c r="J576">
        <f t="shared" si="41"/>
        <v>5000</v>
      </c>
      <c r="K576" s="6">
        <f t="shared" si="42"/>
        <v>95000</v>
      </c>
      <c r="L576" s="2">
        <v>87000</v>
      </c>
      <c r="M576" s="6">
        <f>Table1[[#This Row],[Total Sales]]+Table1[[#This Row],[Shipping Fee]]</f>
        <v>182000</v>
      </c>
      <c r="N576" s="2" t="s">
        <v>29</v>
      </c>
      <c r="O576" t="str">
        <f>VLOOKUP(Table1[[#This Row],[Order ID]],Status!A:B, 2,FALSE)</f>
        <v>Completed</v>
      </c>
      <c r="P576" s="2" t="s">
        <v>30</v>
      </c>
      <c r="Q576" s="2">
        <v>3</v>
      </c>
      <c r="R576" s="2" t="s">
        <v>24</v>
      </c>
      <c r="S576" s="11" t="str">
        <f t="shared" si="43"/>
        <v>Standar</v>
      </c>
      <c r="T576" s="2" t="str">
        <f t="shared" si="44"/>
        <v>Sangat Rendah</v>
      </c>
    </row>
    <row r="577" spans="1:20" ht="15.75" customHeight="1" x14ac:dyDescent="0.3">
      <c r="A577" s="4" t="s">
        <v>1804</v>
      </c>
      <c r="B577" s="3">
        <v>45818.464212962957</v>
      </c>
      <c r="C577" s="2" t="s">
        <v>649</v>
      </c>
      <c r="D577" s="2" t="s">
        <v>177</v>
      </c>
      <c r="E577" s="2" t="s">
        <v>81</v>
      </c>
      <c r="F577" s="2">
        <v>17000</v>
      </c>
      <c r="G577" s="2">
        <v>2</v>
      </c>
      <c r="H577" s="2">
        <v>0</v>
      </c>
      <c r="I577">
        <f t="shared" si="40"/>
        <v>34000</v>
      </c>
      <c r="J577">
        <f t="shared" si="41"/>
        <v>0</v>
      </c>
      <c r="K577" s="6">
        <f t="shared" si="42"/>
        <v>34000</v>
      </c>
      <c r="L577" s="2">
        <v>56000</v>
      </c>
      <c r="M577" s="6">
        <f>Table1[[#This Row],[Total Sales]]+Table1[[#This Row],[Shipping Fee]]</f>
        <v>90000</v>
      </c>
      <c r="N577" s="2" t="s">
        <v>29</v>
      </c>
      <c r="O577" t="str">
        <f>VLOOKUP(Table1[[#This Row],[Order ID]],Status!A:B, 2,FALSE)</f>
        <v>Completed</v>
      </c>
      <c r="P577" s="2" t="s">
        <v>36</v>
      </c>
      <c r="Q577" s="2">
        <v>2</v>
      </c>
      <c r="R577" s="2" t="s">
        <v>24</v>
      </c>
      <c r="S577" s="11" t="str">
        <f t="shared" si="43"/>
        <v>Rendah</v>
      </c>
      <c r="T577" s="2" t="str">
        <f t="shared" si="44"/>
        <v>Sangat Rendah</v>
      </c>
    </row>
    <row r="578" spans="1:20" ht="15.75" customHeight="1" x14ac:dyDescent="0.3">
      <c r="A578" s="4" t="s">
        <v>1803</v>
      </c>
      <c r="B578" s="3">
        <v>45818.379444444443</v>
      </c>
      <c r="C578" s="2" t="s">
        <v>1792</v>
      </c>
      <c r="D578" s="2" t="s">
        <v>49</v>
      </c>
      <c r="E578" s="2" t="s">
        <v>62</v>
      </c>
      <c r="F578" s="2">
        <v>50000</v>
      </c>
      <c r="G578" s="2">
        <v>1</v>
      </c>
      <c r="H578" s="2">
        <v>0</v>
      </c>
      <c r="I578">
        <f t="shared" ref="I578:I641" si="45">F578*G578</f>
        <v>50000</v>
      </c>
      <c r="J578">
        <f t="shared" ref="J578:J641" si="46">I578*H578/100</f>
        <v>0</v>
      </c>
      <c r="K578" s="6">
        <f t="shared" ref="K578:K641" si="47">I578-J578</f>
        <v>50000</v>
      </c>
      <c r="L578" s="2">
        <v>43000</v>
      </c>
      <c r="M578" s="6">
        <f>Table1[[#This Row],[Total Sales]]+Table1[[#This Row],[Shipping Fee]]</f>
        <v>93000</v>
      </c>
      <c r="N578" s="2" t="s">
        <v>29</v>
      </c>
      <c r="O578" t="str">
        <f>VLOOKUP(Table1[[#This Row],[Order ID]],Status!A:B, 2,FALSE)</f>
        <v>Completed</v>
      </c>
      <c r="P578" s="2" t="s">
        <v>23</v>
      </c>
      <c r="Q578" s="2">
        <v>3</v>
      </c>
      <c r="R578" s="2" t="s">
        <v>37</v>
      </c>
      <c r="S578" s="11" t="str">
        <f t="shared" ref="S578:S641" si="48">_xlfn.IFS(Q578&gt;3,"Bagus",Q578=3,"Standar",Q578&lt;3,"Rendah")</f>
        <v>Standar</v>
      </c>
      <c r="T578" s="2" t="str">
        <f t="shared" ref="T578:T641" si="49">_xlfn.IFS(J578&lt;=5000,"Sangat Rendah", J578&lt;=10000,"Rendah", J578&lt;=20000, "Normal", J578&lt;=35000, "Tinggi", J578&lt;= 50000, "Sangat Tinggi", J578&gt;50000, "Clearance")</f>
        <v>Sangat Rendah</v>
      </c>
    </row>
    <row r="579" spans="1:20" ht="15.75" customHeight="1" x14ac:dyDescent="0.3">
      <c r="A579" s="4" t="s">
        <v>1802</v>
      </c>
      <c r="B579" s="3">
        <v>45818.331041666657</v>
      </c>
      <c r="C579" s="2" t="s">
        <v>596</v>
      </c>
      <c r="D579" s="2" t="s">
        <v>70</v>
      </c>
      <c r="E579" s="2" t="s">
        <v>58</v>
      </c>
      <c r="F579" s="2">
        <v>16000</v>
      </c>
      <c r="G579" s="2">
        <v>1</v>
      </c>
      <c r="H579" s="2">
        <v>20</v>
      </c>
      <c r="I579">
        <f t="shared" si="45"/>
        <v>16000</v>
      </c>
      <c r="J579">
        <f t="shared" si="46"/>
        <v>3200</v>
      </c>
      <c r="K579" s="6">
        <f t="shared" si="47"/>
        <v>12800</v>
      </c>
      <c r="L579" s="2">
        <v>89000</v>
      </c>
      <c r="M579" s="6">
        <f>Table1[[#This Row],[Total Sales]]+Table1[[#This Row],[Shipping Fee]]</f>
        <v>101800</v>
      </c>
      <c r="N579" s="2" t="s">
        <v>35</v>
      </c>
      <c r="O579" t="str">
        <f>VLOOKUP(Table1[[#This Row],[Order ID]],Status!A:B, 2,FALSE)</f>
        <v>Completed</v>
      </c>
      <c r="P579" s="2" t="s">
        <v>46</v>
      </c>
      <c r="Q579" s="2">
        <v>5</v>
      </c>
      <c r="R579" s="2" t="s">
        <v>24</v>
      </c>
      <c r="S579" s="11" t="str">
        <f t="shared" si="48"/>
        <v>Bagus</v>
      </c>
      <c r="T579" s="2" t="str">
        <f t="shared" si="49"/>
        <v>Sangat Rendah</v>
      </c>
    </row>
    <row r="580" spans="1:20" ht="15.75" customHeight="1" x14ac:dyDescent="0.3">
      <c r="A580" s="4" t="s">
        <v>1801</v>
      </c>
      <c r="B580" s="3">
        <v>45818.31212962963</v>
      </c>
      <c r="C580" s="2" t="s">
        <v>796</v>
      </c>
      <c r="D580" s="2" t="s">
        <v>119</v>
      </c>
      <c r="E580" s="2" t="s">
        <v>123</v>
      </c>
      <c r="F580" s="2">
        <v>22000</v>
      </c>
      <c r="G580" s="2">
        <v>1</v>
      </c>
      <c r="H580" s="2">
        <v>15</v>
      </c>
      <c r="I580">
        <f t="shared" si="45"/>
        <v>22000</v>
      </c>
      <c r="J580">
        <f t="shared" si="46"/>
        <v>3300</v>
      </c>
      <c r="K580" s="6">
        <f t="shared" si="47"/>
        <v>18700</v>
      </c>
      <c r="L580" s="2">
        <v>0</v>
      </c>
      <c r="M580" s="6">
        <f>Table1[[#This Row],[Total Sales]]+Table1[[#This Row],[Shipping Fee]]</f>
        <v>18700</v>
      </c>
      <c r="N580" s="2" t="s">
        <v>22</v>
      </c>
      <c r="O580" t="str">
        <f>VLOOKUP(Table1[[#This Row],[Order ID]],Status!A:B, 2,FALSE)</f>
        <v>Completed</v>
      </c>
      <c r="P580" s="2" t="s">
        <v>82</v>
      </c>
      <c r="Q580" s="2">
        <v>3</v>
      </c>
      <c r="R580" s="2" t="s">
        <v>24</v>
      </c>
      <c r="S580" s="11" t="str">
        <f t="shared" si="48"/>
        <v>Standar</v>
      </c>
      <c r="T580" s="2" t="str">
        <f t="shared" si="49"/>
        <v>Sangat Rendah</v>
      </c>
    </row>
    <row r="581" spans="1:20" ht="15.75" customHeight="1" x14ac:dyDescent="0.3">
      <c r="A581" s="4" t="s">
        <v>1800</v>
      </c>
      <c r="B581" s="3">
        <v>45818.309340277781</v>
      </c>
      <c r="C581" s="2" t="s">
        <v>576</v>
      </c>
      <c r="D581" s="2" t="s">
        <v>57</v>
      </c>
      <c r="E581" s="2" t="s">
        <v>50</v>
      </c>
      <c r="F581" s="2">
        <v>14000</v>
      </c>
      <c r="G581" s="2">
        <v>1</v>
      </c>
      <c r="H581" s="2">
        <v>15</v>
      </c>
      <c r="I581">
        <f t="shared" si="45"/>
        <v>14000</v>
      </c>
      <c r="J581">
        <f t="shared" si="46"/>
        <v>2100</v>
      </c>
      <c r="K581" s="6">
        <f t="shared" si="47"/>
        <v>11900</v>
      </c>
      <c r="L581" s="2">
        <v>80000</v>
      </c>
      <c r="M581" s="6">
        <f>Table1[[#This Row],[Total Sales]]+Table1[[#This Row],[Shipping Fee]]</f>
        <v>91900</v>
      </c>
      <c r="N581" s="2" t="s">
        <v>29</v>
      </c>
      <c r="O581" t="str">
        <f>VLOOKUP(Table1[[#This Row],[Order ID]],Status!A:B, 2,FALSE)</f>
        <v>Completed</v>
      </c>
      <c r="P581" s="2" t="s">
        <v>23</v>
      </c>
      <c r="Q581" s="2">
        <v>1</v>
      </c>
      <c r="R581" s="2" t="s">
        <v>37</v>
      </c>
      <c r="S581" s="11" t="str">
        <f t="shared" si="48"/>
        <v>Rendah</v>
      </c>
      <c r="T581" s="2" t="str">
        <f t="shared" si="49"/>
        <v>Sangat Rendah</v>
      </c>
    </row>
    <row r="582" spans="1:20" ht="15.75" customHeight="1" x14ac:dyDescent="0.3">
      <c r="A582" s="4" t="s">
        <v>1799</v>
      </c>
      <c r="B582" s="3">
        <v>45817.784768518519</v>
      </c>
      <c r="C582" s="2" t="s">
        <v>1396</v>
      </c>
      <c r="D582" s="2" t="s">
        <v>435</v>
      </c>
      <c r="E582" s="2" t="s">
        <v>67</v>
      </c>
      <c r="F582" s="2">
        <v>15000</v>
      </c>
      <c r="G582" s="2">
        <v>2</v>
      </c>
      <c r="H582" s="2">
        <v>15</v>
      </c>
      <c r="I582">
        <f t="shared" si="45"/>
        <v>30000</v>
      </c>
      <c r="J582">
        <f t="shared" si="46"/>
        <v>4500</v>
      </c>
      <c r="K582" s="6">
        <f t="shared" si="47"/>
        <v>25500</v>
      </c>
      <c r="L582" s="2">
        <v>67000</v>
      </c>
      <c r="M582" s="6">
        <f>Table1[[#This Row],[Total Sales]]+Table1[[#This Row],[Shipping Fee]]</f>
        <v>92500</v>
      </c>
      <c r="N582" s="2" t="s">
        <v>22</v>
      </c>
      <c r="O582" t="str">
        <f>VLOOKUP(Table1[[#This Row],[Order ID]],Status!A:B, 2,FALSE)</f>
        <v>Completed</v>
      </c>
      <c r="P582" s="2" t="s">
        <v>36</v>
      </c>
      <c r="Q582" s="2">
        <v>4</v>
      </c>
      <c r="R582" s="2" t="s">
        <v>24</v>
      </c>
      <c r="S582" s="11" t="str">
        <f t="shared" si="48"/>
        <v>Bagus</v>
      </c>
      <c r="T582" s="2" t="str">
        <f t="shared" si="49"/>
        <v>Sangat Rendah</v>
      </c>
    </row>
    <row r="583" spans="1:20" ht="15.75" customHeight="1" x14ac:dyDescent="0.3">
      <c r="A583" s="4" t="s">
        <v>1798</v>
      </c>
      <c r="B583" s="3">
        <v>45817.732604166667</v>
      </c>
      <c r="C583" s="2" t="s">
        <v>782</v>
      </c>
      <c r="D583" s="2" t="s">
        <v>177</v>
      </c>
      <c r="E583" s="2" t="s">
        <v>104</v>
      </c>
      <c r="F583" s="2">
        <v>30000</v>
      </c>
      <c r="G583" s="2">
        <v>5</v>
      </c>
      <c r="H583" s="2">
        <v>20</v>
      </c>
      <c r="I583">
        <f t="shared" si="45"/>
        <v>150000</v>
      </c>
      <c r="J583">
        <f t="shared" si="46"/>
        <v>30000</v>
      </c>
      <c r="K583" s="6">
        <f t="shared" si="47"/>
        <v>120000</v>
      </c>
      <c r="L583" s="2">
        <v>56000</v>
      </c>
      <c r="M583" s="6">
        <f>Table1[[#This Row],[Total Sales]]+Table1[[#This Row],[Shipping Fee]]</f>
        <v>176000</v>
      </c>
      <c r="N583" s="2" t="s">
        <v>35</v>
      </c>
      <c r="O583" t="str">
        <f>VLOOKUP(Table1[[#This Row],[Order ID]],Status!A:B, 2,FALSE)</f>
        <v>Completed</v>
      </c>
      <c r="P583" s="2" t="s">
        <v>82</v>
      </c>
      <c r="Q583" s="2">
        <v>2</v>
      </c>
      <c r="R583" s="2" t="s">
        <v>24</v>
      </c>
      <c r="S583" s="11" t="str">
        <f t="shared" si="48"/>
        <v>Rendah</v>
      </c>
      <c r="T583" s="2" t="str">
        <f t="shared" si="49"/>
        <v>Tinggi</v>
      </c>
    </row>
    <row r="584" spans="1:20" ht="15.75" customHeight="1" x14ac:dyDescent="0.3">
      <c r="A584" s="4" t="s">
        <v>1797</v>
      </c>
      <c r="B584" s="3">
        <v>45817.726168981477</v>
      </c>
      <c r="C584" s="2" t="s">
        <v>497</v>
      </c>
      <c r="D584" s="2" t="s">
        <v>173</v>
      </c>
      <c r="E584" s="2" t="s">
        <v>136</v>
      </c>
      <c r="F584" s="2">
        <v>12000</v>
      </c>
      <c r="G584" s="2">
        <v>1</v>
      </c>
      <c r="H584" s="2">
        <v>15</v>
      </c>
      <c r="I584">
        <f t="shared" si="45"/>
        <v>12000</v>
      </c>
      <c r="J584">
        <f t="shared" si="46"/>
        <v>1800</v>
      </c>
      <c r="K584" s="6">
        <f t="shared" si="47"/>
        <v>10200</v>
      </c>
      <c r="L584" s="2">
        <v>49000</v>
      </c>
      <c r="M584" s="6">
        <f>Table1[[#This Row],[Total Sales]]+Table1[[#This Row],[Shipping Fee]]</f>
        <v>59200</v>
      </c>
      <c r="N584" s="2" t="s">
        <v>35</v>
      </c>
      <c r="O584" t="str">
        <f>VLOOKUP(Table1[[#This Row],[Order ID]],Status!A:B, 2,FALSE)</f>
        <v>Returned</v>
      </c>
      <c r="P584" s="2" t="s">
        <v>23</v>
      </c>
      <c r="Q584" s="2">
        <v>1</v>
      </c>
      <c r="R584" s="2" t="s">
        <v>37</v>
      </c>
      <c r="S584" s="11" t="str">
        <f t="shared" si="48"/>
        <v>Rendah</v>
      </c>
      <c r="T584" s="2" t="str">
        <f t="shared" si="49"/>
        <v>Sangat Rendah</v>
      </c>
    </row>
    <row r="585" spans="1:20" ht="15.75" customHeight="1" x14ac:dyDescent="0.3">
      <c r="A585" s="4" t="s">
        <v>1796</v>
      </c>
      <c r="B585" s="3">
        <v>45817.542569444442</v>
      </c>
      <c r="C585" s="2" t="s">
        <v>488</v>
      </c>
      <c r="D585" s="2" t="s">
        <v>49</v>
      </c>
      <c r="E585" s="2" t="s">
        <v>85</v>
      </c>
      <c r="F585" s="2">
        <v>35000</v>
      </c>
      <c r="G585" s="2">
        <v>4</v>
      </c>
      <c r="H585" s="2">
        <v>20</v>
      </c>
      <c r="I585">
        <f t="shared" si="45"/>
        <v>140000</v>
      </c>
      <c r="J585">
        <f t="shared" si="46"/>
        <v>28000</v>
      </c>
      <c r="K585" s="6">
        <f t="shared" si="47"/>
        <v>112000</v>
      </c>
      <c r="L585" s="2">
        <v>43000</v>
      </c>
      <c r="M585" s="6">
        <f>Table1[[#This Row],[Total Sales]]+Table1[[#This Row],[Shipping Fee]]</f>
        <v>155000</v>
      </c>
      <c r="N585" s="2" t="s">
        <v>35</v>
      </c>
      <c r="O585" t="str">
        <f>VLOOKUP(Table1[[#This Row],[Order ID]],Status!A:B, 2,FALSE)</f>
        <v>Returned</v>
      </c>
      <c r="P585" s="2" t="s">
        <v>30</v>
      </c>
      <c r="Q585" s="2">
        <v>4</v>
      </c>
      <c r="R585" s="2" t="s">
        <v>24</v>
      </c>
      <c r="S585" s="11" t="str">
        <f t="shared" si="48"/>
        <v>Bagus</v>
      </c>
      <c r="T585" s="2" t="str">
        <f t="shared" si="49"/>
        <v>Tinggi</v>
      </c>
    </row>
    <row r="586" spans="1:20" ht="15.75" customHeight="1" x14ac:dyDescent="0.3">
      <c r="A586" s="4" t="s">
        <v>1795</v>
      </c>
      <c r="B586" s="3">
        <v>45817.224178240736</v>
      </c>
      <c r="C586" s="2" t="s">
        <v>1341</v>
      </c>
      <c r="D586" s="2" t="s">
        <v>107</v>
      </c>
      <c r="E586" s="2" t="s">
        <v>144</v>
      </c>
      <c r="F586" s="2">
        <v>18000</v>
      </c>
      <c r="G586" s="2">
        <v>3</v>
      </c>
      <c r="H586" s="2">
        <v>20</v>
      </c>
      <c r="I586">
        <f t="shared" si="45"/>
        <v>54000</v>
      </c>
      <c r="J586">
        <f t="shared" si="46"/>
        <v>10800</v>
      </c>
      <c r="K586" s="6">
        <f t="shared" si="47"/>
        <v>43200</v>
      </c>
      <c r="L586" s="2">
        <v>97000</v>
      </c>
      <c r="M586" s="6">
        <f>Table1[[#This Row],[Total Sales]]+Table1[[#This Row],[Shipping Fee]]</f>
        <v>140200</v>
      </c>
      <c r="N586" s="2" t="s">
        <v>22</v>
      </c>
      <c r="O586" t="str">
        <f>VLOOKUP(Table1[[#This Row],[Order ID]],Status!A:B, 2,FALSE)</f>
        <v>Cancelled</v>
      </c>
      <c r="P586" s="2" t="s">
        <v>23</v>
      </c>
      <c r="Q586" s="2">
        <v>2</v>
      </c>
      <c r="R586" s="2" t="s">
        <v>37</v>
      </c>
      <c r="S586" s="11" t="str">
        <f t="shared" si="48"/>
        <v>Rendah</v>
      </c>
      <c r="T586" s="2" t="str">
        <f t="shared" si="49"/>
        <v>Normal</v>
      </c>
    </row>
    <row r="587" spans="1:20" ht="15.75" customHeight="1" x14ac:dyDescent="0.3">
      <c r="A587" s="4" t="s">
        <v>1793</v>
      </c>
      <c r="B587" s="3">
        <v>45817.117569444446</v>
      </c>
      <c r="C587" s="2" t="s">
        <v>1794</v>
      </c>
      <c r="D587" s="2" t="s">
        <v>195</v>
      </c>
      <c r="E587" s="2" t="s">
        <v>38</v>
      </c>
      <c r="F587" s="2">
        <v>28000</v>
      </c>
      <c r="G587" s="2">
        <v>4</v>
      </c>
      <c r="H587" s="2">
        <v>5</v>
      </c>
      <c r="I587">
        <f t="shared" si="45"/>
        <v>112000</v>
      </c>
      <c r="J587">
        <f t="shared" si="46"/>
        <v>5600</v>
      </c>
      <c r="K587" s="6">
        <f t="shared" si="47"/>
        <v>106400</v>
      </c>
      <c r="L587" s="2">
        <v>87000</v>
      </c>
      <c r="M587" s="6">
        <f>Table1[[#This Row],[Total Sales]]+Table1[[#This Row],[Shipping Fee]]</f>
        <v>193400</v>
      </c>
      <c r="N587" s="2" t="s">
        <v>35</v>
      </c>
      <c r="O587" t="str">
        <f>VLOOKUP(Table1[[#This Row],[Order ID]],Status!A:B, 2,FALSE)</f>
        <v>Completed</v>
      </c>
      <c r="P587" s="2" t="s">
        <v>23</v>
      </c>
      <c r="Q587" s="2">
        <v>5</v>
      </c>
      <c r="R587" s="2" t="s">
        <v>37</v>
      </c>
      <c r="S587" s="11" t="str">
        <f t="shared" si="48"/>
        <v>Bagus</v>
      </c>
      <c r="T587" s="2" t="str">
        <f t="shared" si="49"/>
        <v>Rendah</v>
      </c>
    </row>
    <row r="588" spans="1:20" ht="15.75" customHeight="1" x14ac:dyDescent="0.3">
      <c r="A588" s="4" t="s">
        <v>1793</v>
      </c>
      <c r="B588" s="3">
        <v>45817.117569444446</v>
      </c>
      <c r="C588" s="2" t="s">
        <v>1794</v>
      </c>
      <c r="D588" s="2" t="s">
        <v>195</v>
      </c>
      <c r="E588" s="2" t="s">
        <v>110</v>
      </c>
      <c r="F588" s="2">
        <v>6000</v>
      </c>
      <c r="G588" s="2">
        <v>5</v>
      </c>
      <c r="H588" s="2">
        <v>5</v>
      </c>
      <c r="I588">
        <f t="shared" si="45"/>
        <v>30000</v>
      </c>
      <c r="J588">
        <f t="shared" si="46"/>
        <v>1500</v>
      </c>
      <c r="K588" s="6">
        <f t="shared" si="47"/>
        <v>28500</v>
      </c>
      <c r="L588" s="2">
        <v>0</v>
      </c>
      <c r="M588" s="6">
        <f>Table1[[#This Row],[Total Sales]]+Table1[[#This Row],[Shipping Fee]]</f>
        <v>28500</v>
      </c>
      <c r="N588" s="2" t="s">
        <v>35</v>
      </c>
      <c r="O588" t="str">
        <f>VLOOKUP(Table1[[#This Row],[Order ID]],Status!A:B, 2,FALSE)</f>
        <v>Completed</v>
      </c>
      <c r="P588" s="2" t="s">
        <v>23</v>
      </c>
      <c r="Q588" s="2">
        <v>5</v>
      </c>
      <c r="R588" s="2" t="s">
        <v>37</v>
      </c>
      <c r="S588" s="11" t="str">
        <f t="shared" si="48"/>
        <v>Bagus</v>
      </c>
      <c r="T588" s="2" t="str">
        <f t="shared" si="49"/>
        <v>Sangat Rendah</v>
      </c>
    </row>
    <row r="589" spans="1:20" ht="15.75" customHeight="1" x14ac:dyDescent="0.3">
      <c r="A589" s="4" t="s">
        <v>1791</v>
      </c>
      <c r="B589" s="3">
        <v>45816.956643518519</v>
      </c>
      <c r="C589" s="2" t="s">
        <v>1792</v>
      </c>
      <c r="D589" s="2" t="s">
        <v>49</v>
      </c>
      <c r="E589" s="2" t="s">
        <v>75</v>
      </c>
      <c r="F589" s="2">
        <v>55000</v>
      </c>
      <c r="G589" s="2">
        <v>5</v>
      </c>
      <c r="H589" s="2">
        <v>5</v>
      </c>
      <c r="I589">
        <f t="shared" si="45"/>
        <v>275000</v>
      </c>
      <c r="J589">
        <f t="shared" si="46"/>
        <v>13750</v>
      </c>
      <c r="K589" s="6">
        <f t="shared" si="47"/>
        <v>261250</v>
      </c>
      <c r="L589" s="2">
        <v>43000</v>
      </c>
      <c r="M589" s="6">
        <f>Table1[[#This Row],[Total Sales]]+Table1[[#This Row],[Shipping Fee]]</f>
        <v>304250</v>
      </c>
      <c r="N589" s="2" t="s">
        <v>22</v>
      </c>
      <c r="O589" t="str">
        <f>VLOOKUP(Table1[[#This Row],[Order ID]],Status!A:B, 2,FALSE)</f>
        <v>Completed</v>
      </c>
      <c r="P589" s="2" t="s">
        <v>36</v>
      </c>
      <c r="Q589" s="2">
        <v>2</v>
      </c>
      <c r="R589" s="2" t="s">
        <v>37</v>
      </c>
      <c r="S589" s="11" t="str">
        <f t="shared" si="48"/>
        <v>Rendah</v>
      </c>
      <c r="T589" s="2" t="str">
        <f t="shared" si="49"/>
        <v>Normal</v>
      </c>
    </row>
    <row r="590" spans="1:20" ht="15.75" customHeight="1" x14ac:dyDescent="0.3">
      <c r="A590" s="4" t="s">
        <v>1790</v>
      </c>
      <c r="B590" s="3">
        <v>45816.932210648149</v>
      </c>
      <c r="C590" s="2" t="s">
        <v>155</v>
      </c>
      <c r="D590" s="2" t="s">
        <v>92</v>
      </c>
      <c r="E590" s="2" t="s">
        <v>50</v>
      </c>
      <c r="F590" s="2">
        <v>14000</v>
      </c>
      <c r="G590" s="2">
        <v>1</v>
      </c>
      <c r="H590" s="2">
        <v>10</v>
      </c>
      <c r="I590">
        <f t="shared" si="45"/>
        <v>14000</v>
      </c>
      <c r="J590">
        <f t="shared" si="46"/>
        <v>1400</v>
      </c>
      <c r="K590" s="6">
        <f t="shared" si="47"/>
        <v>12600</v>
      </c>
      <c r="L590" s="2">
        <v>30000</v>
      </c>
      <c r="M590" s="6">
        <f>Table1[[#This Row],[Total Sales]]+Table1[[#This Row],[Shipping Fee]]</f>
        <v>42600</v>
      </c>
      <c r="N590" s="2" t="s">
        <v>63</v>
      </c>
      <c r="O590" t="str">
        <f>VLOOKUP(Table1[[#This Row],[Order ID]],Status!A:B, 2,FALSE)</f>
        <v>Completed</v>
      </c>
      <c r="P590" s="2" t="s">
        <v>30</v>
      </c>
      <c r="Q590" s="2">
        <v>3</v>
      </c>
      <c r="R590" s="2" t="s">
        <v>24</v>
      </c>
      <c r="S590" s="11" t="str">
        <f t="shared" si="48"/>
        <v>Standar</v>
      </c>
      <c r="T590" s="2" t="str">
        <f t="shared" si="49"/>
        <v>Sangat Rendah</v>
      </c>
    </row>
    <row r="591" spans="1:20" ht="15.75" customHeight="1" x14ac:dyDescent="0.3">
      <c r="A591" s="4" t="s">
        <v>1789</v>
      </c>
      <c r="B591" s="3">
        <v>45816.769236111111</v>
      </c>
      <c r="C591" s="2" t="s">
        <v>959</v>
      </c>
      <c r="D591" s="2" t="s">
        <v>182</v>
      </c>
      <c r="E591" s="2" t="s">
        <v>62</v>
      </c>
      <c r="F591" s="2">
        <v>50000</v>
      </c>
      <c r="G591" s="2">
        <v>3</v>
      </c>
      <c r="H591" s="2">
        <v>0</v>
      </c>
      <c r="I591">
        <f t="shared" si="45"/>
        <v>150000</v>
      </c>
      <c r="J591">
        <f t="shared" si="46"/>
        <v>0</v>
      </c>
      <c r="K591" s="6">
        <f t="shared" si="47"/>
        <v>150000</v>
      </c>
      <c r="L591" s="2">
        <v>48000</v>
      </c>
      <c r="M591" s="6">
        <f>Table1[[#This Row],[Total Sales]]+Table1[[#This Row],[Shipping Fee]]</f>
        <v>198000</v>
      </c>
      <c r="N591" s="2" t="s">
        <v>35</v>
      </c>
      <c r="O591" t="str">
        <f>VLOOKUP(Table1[[#This Row],[Order ID]],Status!A:B, 2,FALSE)</f>
        <v>Completed</v>
      </c>
      <c r="P591" s="2" t="s">
        <v>36</v>
      </c>
      <c r="Q591" s="2">
        <v>1</v>
      </c>
      <c r="R591" s="2" t="s">
        <v>24</v>
      </c>
      <c r="S591" s="11" t="str">
        <f t="shared" si="48"/>
        <v>Rendah</v>
      </c>
      <c r="T591" s="2" t="str">
        <f t="shared" si="49"/>
        <v>Sangat Rendah</v>
      </c>
    </row>
    <row r="592" spans="1:20" ht="15.75" customHeight="1" x14ac:dyDescent="0.3">
      <c r="A592" s="4" t="s">
        <v>1788</v>
      </c>
      <c r="B592" s="3">
        <v>45816.723530092589</v>
      </c>
      <c r="C592" s="2" t="s">
        <v>1120</v>
      </c>
      <c r="D592" s="2" t="s">
        <v>173</v>
      </c>
      <c r="E592" s="2" t="s">
        <v>45</v>
      </c>
      <c r="F592" s="2">
        <v>40000</v>
      </c>
      <c r="G592" s="2">
        <v>1</v>
      </c>
      <c r="H592" s="2">
        <v>15</v>
      </c>
      <c r="I592">
        <f t="shared" si="45"/>
        <v>40000</v>
      </c>
      <c r="J592">
        <f t="shared" si="46"/>
        <v>6000</v>
      </c>
      <c r="K592" s="6">
        <f t="shared" si="47"/>
        <v>34000</v>
      </c>
      <c r="L592" s="2">
        <v>49000</v>
      </c>
      <c r="M592" s="6">
        <f>Table1[[#This Row],[Total Sales]]+Table1[[#This Row],[Shipping Fee]]</f>
        <v>83000</v>
      </c>
      <c r="N592" s="2" t="s">
        <v>63</v>
      </c>
      <c r="O592" t="str">
        <f>VLOOKUP(Table1[[#This Row],[Order ID]],Status!A:B, 2,FALSE)</f>
        <v>Completed</v>
      </c>
      <c r="P592" s="2" t="s">
        <v>30</v>
      </c>
      <c r="Q592" s="2">
        <v>4</v>
      </c>
      <c r="R592" s="2" t="s">
        <v>24</v>
      </c>
      <c r="S592" s="11" t="str">
        <f t="shared" si="48"/>
        <v>Bagus</v>
      </c>
      <c r="T592" s="2" t="str">
        <f t="shared" si="49"/>
        <v>Rendah</v>
      </c>
    </row>
    <row r="593" spans="1:20" ht="15.75" customHeight="1" x14ac:dyDescent="0.3">
      <c r="A593" s="4" t="s">
        <v>1787</v>
      </c>
      <c r="B593" s="3">
        <v>45815.729583333326</v>
      </c>
      <c r="C593" s="2" t="s">
        <v>254</v>
      </c>
      <c r="D593" s="2" t="s">
        <v>61</v>
      </c>
      <c r="E593" s="2" t="s">
        <v>38</v>
      </c>
      <c r="F593" s="2">
        <v>28000</v>
      </c>
      <c r="G593" s="2">
        <v>1</v>
      </c>
      <c r="H593" s="2">
        <v>20</v>
      </c>
      <c r="I593">
        <f t="shared" si="45"/>
        <v>28000</v>
      </c>
      <c r="J593">
        <f t="shared" si="46"/>
        <v>5600</v>
      </c>
      <c r="K593" s="6">
        <f t="shared" si="47"/>
        <v>22400</v>
      </c>
      <c r="L593" s="2">
        <v>26000</v>
      </c>
      <c r="M593" s="6">
        <f>Table1[[#This Row],[Total Sales]]+Table1[[#This Row],[Shipping Fee]]</f>
        <v>48400</v>
      </c>
      <c r="N593" s="2" t="s">
        <v>29</v>
      </c>
      <c r="O593" t="str">
        <f>VLOOKUP(Table1[[#This Row],[Order ID]],Status!A:B, 2,FALSE)</f>
        <v>Completed</v>
      </c>
      <c r="P593" s="2" t="s">
        <v>82</v>
      </c>
      <c r="Q593" s="2">
        <v>4</v>
      </c>
      <c r="R593" s="2" t="s">
        <v>24</v>
      </c>
      <c r="S593" s="11" t="str">
        <f t="shared" si="48"/>
        <v>Bagus</v>
      </c>
      <c r="T593" s="2" t="str">
        <f t="shared" si="49"/>
        <v>Rendah</v>
      </c>
    </row>
    <row r="594" spans="1:20" ht="15.75" customHeight="1" x14ac:dyDescent="0.3">
      <c r="A594" s="4" t="s">
        <v>1786</v>
      </c>
      <c r="B594" s="3">
        <v>45815.708148148151</v>
      </c>
      <c r="C594" s="2" t="s">
        <v>615</v>
      </c>
      <c r="D594" s="2" t="s">
        <v>92</v>
      </c>
      <c r="E594" s="2" t="s">
        <v>50</v>
      </c>
      <c r="F594" s="2">
        <v>14000</v>
      </c>
      <c r="G594" s="2">
        <v>3</v>
      </c>
      <c r="H594" s="2">
        <v>5</v>
      </c>
      <c r="I594">
        <f t="shared" si="45"/>
        <v>42000</v>
      </c>
      <c r="J594">
        <f t="shared" si="46"/>
        <v>2100</v>
      </c>
      <c r="K594" s="6">
        <f t="shared" si="47"/>
        <v>39900</v>
      </c>
      <c r="L594" s="2">
        <v>30000</v>
      </c>
      <c r="M594" s="6">
        <f>Table1[[#This Row],[Total Sales]]+Table1[[#This Row],[Shipping Fee]]</f>
        <v>69900</v>
      </c>
      <c r="N594" s="2" t="s">
        <v>22</v>
      </c>
      <c r="O594" t="str">
        <f>VLOOKUP(Table1[[#This Row],[Order ID]],Status!A:B, 2,FALSE)</f>
        <v>Completed</v>
      </c>
      <c r="P594" s="2" t="s">
        <v>30</v>
      </c>
      <c r="Q594" s="2">
        <v>5</v>
      </c>
      <c r="R594" s="2" t="s">
        <v>24</v>
      </c>
      <c r="S594" s="11" t="str">
        <f t="shared" si="48"/>
        <v>Bagus</v>
      </c>
      <c r="T594" s="2" t="str">
        <f t="shared" si="49"/>
        <v>Sangat Rendah</v>
      </c>
    </row>
    <row r="595" spans="1:20" ht="15.75" customHeight="1" x14ac:dyDescent="0.3">
      <c r="A595" s="4" t="s">
        <v>1785</v>
      </c>
      <c r="B595" s="3">
        <v>45815.65730324074</v>
      </c>
      <c r="C595" s="2" t="s">
        <v>739</v>
      </c>
      <c r="D595" s="2" t="s">
        <v>177</v>
      </c>
      <c r="E595" s="2" t="s">
        <v>138</v>
      </c>
      <c r="F595" s="2">
        <v>17000</v>
      </c>
      <c r="G595" s="2">
        <v>4</v>
      </c>
      <c r="H595" s="2">
        <v>20</v>
      </c>
      <c r="I595">
        <f t="shared" si="45"/>
        <v>68000</v>
      </c>
      <c r="J595">
        <f t="shared" si="46"/>
        <v>13600</v>
      </c>
      <c r="K595" s="6">
        <f t="shared" si="47"/>
        <v>54400</v>
      </c>
      <c r="L595" s="2">
        <v>56000</v>
      </c>
      <c r="M595" s="6">
        <f>Table1[[#This Row],[Total Sales]]+Table1[[#This Row],[Shipping Fee]]</f>
        <v>110400</v>
      </c>
      <c r="N595" s="2" t="s">
        <v>63</v>
      </c>
      <c r="O595" t="str">
        <f>VLOOKUP(Table1[[#This Row],[Order ID]],Status!A:B, 2,FALSE)</f>
        <v>Completed</v>
      </c>
      <c r="P595" s="2" t="s">
        <v>30</v>
      </c>
      <c r="Q595" s="2">
        <v>3</v>
      </c>
      <c r="R595" s="2" t="s">
        <v>24</v>
      </c>
      <c r="S595" s="11" t="str">
        <f t="shared" si="48"/>
        <v>Standar</v>
      </c>
      <c r="T595" s="2" t="str">
        <f t="shared" si="49"/>
        <v>Normal</v>
      </c>
    </row>
    <row r="596" spans="1:20" ht="15.75" customHeight="1" x14ac:dyDescent="0.3">
      <c r="A596" s="4" t="s">
        <v>1784</v>
      </c>
      <c r="B596" s="3">
        <v>45815.30265046296</v>
      </c>
      <c r="C596" s="2" t="s">
        <v>283</v>
      </c>
      <c r="D596" s="2" t="s">
        <v>92</v>
      </c>
      <c r="E596" s="2" t="s">
        <v>144</v>
      </c>
      <c r="F596" s="2">
        <v>18000</v>
      </c>
      <c r="G596" s="2">
        <v>3</v>
      </c>
      <c r="H596" s="2">
        <v>10</v>
      </c>
      <c r="I596">
        <f t="shared" si="45"/>
        <v>54000</v>
      </c>
      <c r="J596">
        <f t="shared" si="46"/>
        <v>5400</v>
      </c>
      <c r="K596" s="6">
        <f t="shared" si="47"/>
        <v>48600</v>
      </c>
      <c r="L596" s="2">
        <v>30000</v>
      </c>
      <c r="M596" s="6">
        <f>Table1[[#This Row],[Total Sales]]+Table1[[#This Row],[Shipping Fee]]</f>
        <v>78600</v>
      </c>
      <c r="N596" s="2" t="s">
        <v>29</v>
      </c>
      <c r="O596" t="str">
        <f>VLOOKUP(Table1[[#This Row],[Order ID]],Status!A:B, 2,FALSE)</f>
        <v>Completed</v>
      </c>
      <c r="P596" s="2" t="s">
        <v>23</v>
      </c>
      <c r="Q596" s="2">
        <v>1</v>
      </c>
      <c r="R596" s="2" t="s">
        <v>24</v>
      </c>
      <c r="S596" s="11" t="str">
        <f t="shared" si="48"/>
        <v>Rendah</v>
      </c>
      <c r="T596" s="2" t="str">
        <f t="shared" si="49"/>
        <v>Rendah</v>
      </c>
    </row>
    <row r="597" spans="1:20" ht="15.75" customHeight="1" x14ac:dyDescent="0.3">
      <c r="A597" s="4" t="s">
        <v>1783</v>
      </c>
      <c r="B597" s="3">
        <v>45815.187141203707</v>
      </c>
      <c r="C597" s="2" t="s">
        <v>802</v>
      </c>
      <c r="D597" s="2" t="s">
        <v>126</v>
      </c>
      <c r="E597" s="2" t="s">
        <v>34</v>
      </c>
      <c r="F597" s="2">
        <v>16000</v>
      </c>
      <c r="G597" s="2">
        <v>1</v>
      </c>
      <c r="H597" s="2">
        <v>20</v>
      </c>
      <c r="I597">
        <f t="shared" si="45"/>
        <v>16000</v>
      </c>
      <c r="J597">
        <f t="shared" si="46"/>
        <v>3200</v>
      </c>
      <c r="K597" s="6">
        <f t="shared" si="47"/>
        <v>12800</v>
      </c>
      <c r="L597" s="2">
        <v>84000</v>
      </c>
      <c r="M597" s="6">
        <f>Table1[[#This Row],[Total Sales]]+Table1[[#This Row],[Shipping Fee]]</f>
        <v>96800</v>
      </c>
      <c r="N597" s="2" t="s">
        <v>29</v>
      </c>
      <c r="O597" t="str">
        <f>VLOOKUP(Table1[[#This Row],[Order ID]],Status!A:B, 2,FALSE)</f>
        <v>Completed</v>
      </c>
      <c r="P597" s="2" t="s">
        <v>46</v>
      </c>
      <c r="Q597" s="2">
        <v>1</v>
      </c>
      <c r="R597" s="2" t="s">
        <v>24</v>
      </c>
      <c r="S597" s="11" t="str">
        <f t="shared" si="48"/>
        <v>Rendah</v>
      </c>
      <c r="T597" s="2" t="str">
        <f t="shared" si="49"/>
        <v>Sangat Rendah</v>
      </c>
    </row>
    <row r="598" spans="1:20" ht="15.75" customHeight="1" x14ac:dyDescent="0.3">
      <c r="A598" s="4" t="s">
        <v>1782</v>
      </c>
      <c r="B598" s="3">
        <v>45814.713622685187</v>
      </c>
      <c r="C598" s="2" t="s">
        <v>381</v>
      </c>
      <c r="D598" s="2" t="s">
        <v>103</v>
      </c>
      <c r="E598" s="2" t="s">
        <v>34</v>
      </c>
      <c r="F598" s="2">
        <v>16000</v>
      </c>
      <c r="G598" s="2">
        <v>5</v>
      </c>
      <c r="H598" s="2">
        <v>20</v>
      </c>
      <c r="I598">
        <f t="shared" si="45"/>
        <v>80000</v>
      </c>
      <c r="J598">
        <f t="shared" si="46"/>
        <v>16000</v>
      </c>
      <c r="K598" s="6">
        <f t="shared" si="47"/>
        <v>64000</v>
      </c>
      <c r="L598" s="2">
        <v>85000</v>
      </c>
      <c r="M598" s="6">
        <f>Table1[[#This Row],[Total Sales]]+Table1[[#This Row],[Shipping Fee]]</f>
        <v>149000</v>
      </c>
      <c r="N598" s="2" t="s">
        <v>63</v>
      </c>
      <c r="O598" t="str">
        <f>VLOOKUP(Table1[[#This Row],[Order ID]],Status!A:B, 2,FALSE)</f>
        <v>Completed</v>
      </c>
      <c r="P598" s="2" t="s">
        <v>23</v>
      </c>
      <c r="Q598" s="2">
        <v>2</v>
      </c>
      <c r="R598" s="2" t="s">
        <v>24</v>
      </c>
      <c r="S598" s="11" t="str">
        <f t="shared" si="48"/>
        <v>Rendah</v>
      </c>
      <c r="T598" s="2" t="str">
        <f t="shared" si="49"/>
        <v>Normal</v>
      </c>
    </row>
    <row r="599" spans="1:20" ht="15.75" customHeight="1" x14ac:dyDescent="0.3">
      <c r="A599" s="4" t="s">
        <v>1781</v>
      </c>
      <c r="B599" s="3">
        <v>45814.436238425929</v>
      </c>
      <c r="C599" s="2" t="s">
        <v>48</v>
      </c>
      <c r="D599" s="2" t="s">
        <v>49</v>
      </c>
      <c r="E599" s="2" t="s">
        <v>144</v>
      </c>
      <c r="F599" s="2">
        <v>18000</v>
      </c>
      <c r="G599" s="2">
        <v>4</v>
      </c>
      <c r="H599" s="2">
        <v>5</v>
      </c>
      <c r="I599">
        <f t="shared" si="45"/>
        <v>72000</v>
      </c>
      <c r="J599">
        <f t="shared" si="46"/>
        <v>3600</v>
      </c>
      <c r="K599" s="6">
        <f t="shared" si="47"/>
        <v>68400</v>
      </c>
      <c r="L599" s="2">
        <v>43000</v>
      </c>
      <c r="M599" s="6">
        <f>Table1[[#This Row],[Total Sales]]+Table1[[#This Row],[Shipping Fee]]</f>
        <v>111400</v>
      </c>
      <c r="N599" s="2" t="s">
        <v>22</v>
      </c>
      <c r="O599" t="str">
        <f>VLOOKUP(Table1[[#This Row],[Order ID]],Status!A:B, 2,FALSE)</f>
        <v>Completed</v>
      </c>
      <c r="P599" s="2" t="s">
        <v>23</v>
      </c>
      <c r="Q599" s="2">
        <v>2</v>
      </c>
      <c r="R599" s="2" t="s">
        <v>24</v>
      </c>
      <c r="S599" s="11" t="str">
        <f t="shared" si="48"/>
        <v>Rendah</v>
      </c>
      <c r="T599" s="2" t="str">
        <f t="shared" si="49"/>
        <v>Sangat Rendah</v>
      </c>
    </row>
    <row r="600" spans="1:20" ht="15.75" customHeight="1" x14ac:dyDescent="0.3">
      <c r="A600" s="4" t="s">
        <v>1780</v>
      </c>
      <c r="B600" s="3">
        <v>45814.414872685193</v>
      </c>
      <c r="C600" s="2" t="s">
        <v>549</v>
      </c>
      <c r="D600" s="2" t="s">
        <v>107</v>
      </c>
      <c r="E600" s="2" t="s">
        <v>54</v>
      </c>
      <c r="F600" s="2">
        <v>16000</v>
      </c>
      <c r="G600" s="2">
        <v>4</v>
      </c>
      <c r="H600" s="2">
        <v>20</v>
      </c>
      <c r="I600">
        <f t="shared" si="45"/>
        <v>64000</v>
      </c>
      <c r="J600">
        <f t="shared" si="46"/>
        <v>12800</v>
      </c>
      <c r="K600" s="6">
        <f t="shared" si="47"/>
        <v>51200</v>
      </c>
      <c r="L600" s="2">
        <v>97000</v>
      </c>
      <c r="M600" s="6">
        <f>Table1[[#This Row],[Total Sales]]+Table1[[#This Row],[Shipping Fee]]</f>
        <v>148200</v>
      </c>
      <c r="N600" s="2" t="s">
        <v>29</v>
      </c>
      <c r="O600" t="str">
        <f>VLOOKUP(Table1[[#This Row],[Order ID]],Status!A:B, 2,FALSE)</f>
        <v>Completed</v>
      </c>
      <c r="P600" s="2" t="s">
        <v>46</v>
      </c>
      <c r="Q600" s="2">
        <v>4</v>
      </c>
      <c r="R600" s="2" t="s">
        <v>24</v>
      </c>
      <c r="S600" s="11" t="str">
        <f t="shared" si="48"/>
        <v>Bagus</v>
      </c>
      <c r="T600" s="2" t="str">
        <f t="shared" si="49"/>
        <v>Normal</v>
      </c>
    </row>
    <row r="601" spans="1:20" ht="15.75" customHeight="1" x14ac:dyDescent="0.3">
      <c r="A601" s="4" t="s">
        <v>1779</v>
      </c>
      <c r="B601" s="3">
        <v>45814.048356481479</v>
      </c>
      <c r="C601" s="2" t="s">
        <v>271</v>
      </c>
      <c r="D601" s="2" t="s">
        <v>49</v>
      </c>
      <c r="E601" s="2" t="s">
        <v>81</v>
      </c>
      <c r="F601" s="2">
        <v>17000</v>
      </c>
      <c r="G601" s="2">
        <v>4</v>
      </c>
      <c r="H601" s="2">
        <v>5</v>
      </c>
      <c r="I601">
        <f t="shared" si="45"/>
        <v>68000</v>
      </c>
      <c r="J601">
        <f t="shared" si="46"/>
        <v>3400</v>
      </c>
      <c r="K601" s="6">
        <f t="shared" si="47"/>
        <v>64600</v>
      </c>
      <c r="L601" s="2">
        <v>43000</v>
      </c>
      <c r="M601" s="6">
        <f>Table1[[#This Row],[Total Sales]]+Table1[[#This Row],[Shipping Fee]]</f>
        <v>107600</v>
      </c>
      <c r="N601" s="2" t="s">
        <v>29</v>
      </c>
      <c r="O601" t="str">
        <f>VLOOKUP(Table1[[#This Row],[Order ID]],Status!A:B, 2,FALSE)</f>
        <v>Completed</v>
      </c>
      <c r="P601" s="2" t="s">
        <v>23</v>
      </c>
      <c r="Q601" s="2">
        <v>3</v>
      </c>
      <c r="R601" s="2" t="s">
        <v>24</v>
      </c>
      <c r="S601" s="11" t="str">
        <f t="shared" si="48"/>
        <v>Standar</v>
      </c>
      <c r="T601" s="2" t="str">
        <f t="shared" si="49"/>
        <v>Sangat Rendah</v>
      </c>
    </row>
    <row r="602" spans="1:20" ht="15.75" customHeight="1" x14ac:dyDescent="0.3">
      <c r="A602" s="4" t="s">
        <v>1778</v>
      </c>
      <c r="B602" s="3">
        <v>45814.017523148148</v>
      </c>
      <c r="C602" s="2" t="s">
        <v>525</v>
      </c>
      <c r="D602" s="2" t="s">
        <v>96</v>
      </c>
      <c r="E602" s="2" t="s">
        <v>38</v>
      </c>
      <c r="F602" s="2">
        <v>28000</v>
      </c>
      <c r="G602" s="2">
        <v>1</v>
      </c>
      <c r="H602" s="2">
        <v>5</v>
      </c>
      <c r="I602">
        <f t="shared" si="45"/>
        <v>28000</v>
      </c>
      <c r="J602">
        <f t="shared" si="46"/>
        <v>1400</v>
      </c>
      <c r="K602" s="6">
        <f t="shared" si="47"/>
        <v>26600</v>
      </c>
      <c r="L602" s="2">
        <v>49000</v>
      </c>
      <c r="M602" s="6">
        <f>Table1[[#This Row],[Total Sales]]+Table1[[#This Row],[Shipping Fee]]</f>
        <v>75600</v>
      </c>
      <c r="N602" s="2" t="s">
        <v>29</v>
      </c>
      <c r="O602" t="str">
        <f>VLOOKUP(Table1[[#This Row],[Order ID]],Status!A:B, 2,FALSE)</f>
        <v>Completed</v>
      </c>
      <c r="P602" s="2" t="s">
        <v>46</v>
      </c>
      <c r="Q602" s="2">
        <v>1</v>
      </c>
      <c r="R602" s="2" t="s">
        <v>24</v>
      </c>
      <c r="S602" s="11" t="str">
        <f t="shared" si="48"/>
        <v>Rendah</v>
      </c>
      <c r="T602" s="2" t="str">
        <f t="shared" si="49"/>
        <v>Sangat Rendah</v>
      </c>
    </row>
    <row r="603" spans="1:20" ht="15.75" customHeight="1" x14ac:dyDescent="0.3">
      <c r="A603" s="4" t="s">
        <v>1777</v>
      </c>
      <c r="B603" s="3">
        <v>45813.554722222223</v>
      </c>
      <c r="C603" s="2" t="s">
        <v>976</v>
      </c>
      <c r="D603" s="2" t="s">
        <v>182</v>
      </c>
      <c r="E603" s="2" t="s">
        <v>144</v>
      </c>
      <c r="F603" s="2">
        <v>18000</v>
      </c>
      <c r="G603" s="2">
        <v>5</v>
      </c>
      <c r="H603" s="2">
        <v>0</v>
      </c>
      <c r="I603">
        <f t="shared" si="45"/>
        <v>90000</v>
      </c>
      <c r="J603">
        <f t="shared" si="46"/>
        <v>0</v>
      </c>
      <c r="K603" s="6">
        <f t="shared" si="47"/>
        <v>90000</v>
      </c>
      <c r="L603" s="2">
        <v>48000</v>
      </c>
      <c r="M603" s="6">
        <f>Table1[[#This Row],[Total Sales]]+Table1[[#This Row],[Shipping Fee]]</f>
        <v>138000</v>
      </c>
      <c r="N603" s="2" t="s">
        <v>22</v>
      </c>
      <c r="O603" t="str">
        <f>VLOOKUP(Table1[[#This Row],[Order ID]],Status!A:B, 2,FALSE)</f>
        <v>Returned</v>
      </c>
      <c r="P603" s="2" t="s">
        <v>30</v>
      </c>
      <c r="Q603" s="2">
        <v>4</v>
      </c>
      <c r="R603" s="2" t="s">
        <v>24</v>
      </c>
      <c r="S603" s="11" t="str">
        <f t="shared" si="48"/>
        <v>Bagus</v>
      </c>
      <c r="T603" s="2" t="str">
        <f t="shared" si="49"/>
        <v>Sangat Rendah</v>
      </c>
    </row>
    <row r="604" spans="1:20" ht="15.75" customHeight="1" x14ac:dyDescent="0.3">
      <c r="A604" s="4" t="s">
        <v>1776</v>
      </c>
      <c r="B604" s="3">
        <v>45813.315138888887</v>
      </c>
      <c r="C604" s="2" t="s">
        <v>697</v>
      </c>
      <c r="D604" s="2" t="s">
        <v>143</v>
      </c>
      <c r="E604" s="2" t="s">
        <v>190</v>
      </c>
      <c r="F604" s="2">
        <v>35000</v>
      </c>
      <c r="G604" s="2">
        <v>4</v>
      </c>
      <c r="H604" s="2">
        <v>10</v>
      </c>
      <c r="I604">
        <f t="shared" si="45"/>
        <v>140000</v>
      </c>
      <c r="J604">
        <f t="shared" si="46"/>
        <v>14000</v>
      </c>
      <c r="K604" s="6">
        <f t="shared" si="47"/>
        <v>126000</v>
      </c>
      <c r="L604" s="2">
        <v>50000</v>
      </c>
      <c r="M604" s="6">
        <f>Table1[[#This Row],[Total Sales]]+Table1[[#This Row],[Shipping Fee]]</f>
        <v>176000</v>
      </c>
      <c r="N604" s="2" t="s">
        <v>29</v>
      </c>
      <c r="O604" t="str">
        <f>VLOOKUP(Table1[[#This Row],[Order ID]],Status!A:B, 2,FALSE)</f>
        <v>Completed</v>
      </c>
      <c r="P604" s="2" t="s">
        <v>30</v>
      </c>
      <c r="Q604" s="2">
        <v>5</v>
      </c>
      <c r="R604" s="2" t="s">
        <v>37</v>
      </c>
      <c r="S604" s="11" t="str">
        <f t="shared" si="48"/>
        <v>Bagus</v>
      </c>
      <c r="T604" s="2" t="str">
        <f t="shared" si="49"/>
        <v>Normal</v>
      </c>
    </row>
    <row r="605" spans="1:20" ht="15.75" customHeight="1" x14ac:dyDescent="0.3">
      <c r="A605" s="4" t="s">
        <v>1775</v>
      </c>
      <c r="B605" s="3">
        <v>45813.291944444441</v>
      </c>
      <c r="C605" s="2" t="s">
        <v>449</v>
      </c>
      <c r="D605" s="2" t="s">
        <v>151</v>
      </c>
      <c r="E605" s="2" t="s">
        <v>58</v>
      </c>
      <c r="F605" s="2">
        <v>16000</v>
      </c>
      <c r="G605" s="2">
        <v>4</v>
      </c>
      <c r="H605" s="2">
        <v>5</v>
      </c>
      <c r="I605">
        <f t="shared" si="45"/>
        <v>64000</v>
      </c>
      <c r="J605">
        <f t="shared" si="46"/>
        <v>3200</v>
      </c>
      <c r="K605" s="6">
        <f t="shared" si="47"/>
        <v>60800</v>
      </c>
      <c r="L605" s="2">
        <v>55000</v>
      </c>
      <c r="M605" s="6">
        <f>Table1[[#This Row],[Total Sales]]+Table1[[#This Row],[Shipping Fee]]</f>
        <v>115800</v>
      </c>
      <c r="N605" s="2" t="s">
        <v>63</v>
      </c>
      <c r="O605" t="str">
        <f>VLOOKUP(Table1[[#This Row],[Order ID]],Status!A:B, 2,FALSE)</f>
        <v>Completed</v>
      </c>
      <c r="P605" s="2" t="s">
        <v>82</v>
      </c>
      <c r="Q605" s="2">
        <v>1</v>
      </c>
      <c r="R605" s="2" t="s">
        <v>24</v>
      </c>
      <c r="S605" s="11" t="str">
        <f t="shared" si="48"/>
        <v>Rendah</v>
      </c>
      <c r="T605" s="2" t="str">
        <f t="shared" si="49"/>
        <v>Sangat Rendah</v>
      </c>
    </row>
    <row r="606" spans="1:20" ht="15.75" customHeight="1" x14ac:dyDescent="0.3">
      <c r="A606" s="4" t="s">
        <v>1774</v>
      </c>
      <c r="B606" s="3">
        <v>45813.03224537037</v>
      </c>
      <c r="C606" s="2" t="s">
        <v>258</v>
      </c>
      <c r="D606" s="2" t="s">
        <v>44</v>
      </c>
      <c r="E606" s="2" t="s">
        <v>34</v>
      </c>
      <c r="F606" s="2">
        <v>16000</v>
      </c>
      <c r="G606" s="2">
        <v>1</v>
      </c>
      <c r="H606" s="2">
        <v>0</v>
      </c>
      <c r="I606">
        <f t="shared" si="45"/>
        <v>16000</v>
      </c>
      <c r="J606">
        <f t="shared" si="46"/>
        <v>0</v>
      </c>
      <c r="K606" s="6">
        <f t="shared" si="47"/>
        <v>16000</v>
      </c>
      <c r="L606" s="2">
        <v>93000</v>
      </c>
      <c r="M606" s="6">
        <f>Table1[[#This Row],[Total Sales]]+Table1[[#This Row],[Shipping Fee]]</f>
        <v>109000</v>
      </c>
      <c r="N606" s="2" t="s">
        <v>22</v>
      </c>
      <c r="O606" t="str">
        <f>VLOOKUP(Table1[[#This Row],[Order ID]],Status!A:B, 2,FALSE)</f>
        <v>Cancelled</v>
      </c>
      <c r="P606" s="2" t="s">
        <v>82</v>
      </c>
      <c r="Q606" s="2">
        <v>4</v>
      </c>
      <c r="R606" s="2" t="s">
        <v>24</v>
      </c>
      <c r="S606" s="11" t="str">
        <f t="shared" si="48"/>
        <v>Bagus</v>
      </c>
      <c r="T606" s="2" t="str">
        <f t="shared" si="49"/>
        <v>Sangat Rendah</v>
      </c>
    </row>
    <row r="607" spans="1:20" ht="15.75" customHeight="1" x14ac:dyDescent="0.3">
      <c r="A607" s="4" t="s">
        <v>1774</v>
      </c>
      <c r="B607" s="3">
        <v>45813.03224537037</v>
      </c>
      <c r="C607" s="2" t="s">
        <v>258</v>
      </c>
      <c r="D607" s="2" t="s">
        <v>44</v>
      </c>
      <c r="E607" s="2" t="s">
        <v>186</v>
      </c>
      <c r="F607" s="2">
        <v>45000</v>
      </c>
      <c r="G607" s="2">
        <v>4</v>
      </c>
      <c r="H607" s="2">
        <v>20</v>
      </c>
      <c r="I607">
        <f t="shared" si="45"/>
        <v>180000</v>
      </c>
      <c r="J607">
        <f t="shared" si="46"/>
        <v>36000</v>
      </c>
      <c r="K607" s="6">
        <f t="shared" si="47"/>
        <v>144000</v>
      </c>
      <c r="L607" s="2">
        <v>0</v>
      </c>
      <c r="M607" s="6">
        <f>Table1[[#This Row],[Total Sales]]+Table1[[#This Row],[Shipping Fee]]</f>
        <v>144000</v>
      </c>
      <c r="N607" s="2" t="s">
        <v>22</v>
      </c>
      <c r="O607" t="str">
        <f>VLOOKUP(Table1[[#This Row],[Order ID]],Status!A:B, 2,FALSE)</f>
        <v>Cancelled</v>
      </c>
      <c r="P607" s="2" t="s">
        <v>82</v>
      </c>
      <c r="Q607" s="2">
        <v>4</v>
      </c>
      <c r="R607" s="2" t="s">
        <v>24</v>
      </c>
      <c r="S607" s="11" t="str">
        <f t="shared" si="48"/>
        <v>Bagus</v>
      </c>
      <c r="T607" s="2" t="str">
        <f t="shared" si="49"/>
        <v>Sangat Tinggi</v>
      </c>
    </row>
    <row r="608" spans="1:20" ht="15.75" customHeight="1" x14ac:dyDescent="0.3">
      <c r="A608" s="4" t="s">
        <v>1773</v>
      </c>
      <c r="B608" s="3">
        <v>45812.691886574074</v>
      </c>
      <c r="C608" s="2" t="s">
        <v>84</v>
      </c>
      <c r="D608" s="2" t="s">
        <v>57</v>
      </c>
      <c r="E608" s="2" t="s">
        <v>54</v>
      </c>
      <c r="F608" s="2">
        <v>16000</v>
      </c>
      <c r="G608" s="2">
        <v>2</v>
      </c>
      <c r="H608" s="2">
        <v>0</v>
      </c>
      <c r="I608">
        <f t="shared" si="45"/>
        <v>32000</v>
      </c>
      <c r="J608">
        <f t="shared" si="46"/>
        <v>0</v>
      </c>
      <c r="K608" s="6">
        <f t="shared" si="47"/>
        <v>32000</v>
      </c>
      <c r="L608" s="2">
        <v>80000</v>
      </c>
      <c r="M608" s="6">
        <f>Table1[[#This Row],[Total Sales]]+Table1[[#This Row],[Shipping Fee]]</f>
        <v>112000</v>
      </c>
      <c r="N608" s="2" t="s">
        <v>22</v>
      </c>
      <c r="O608" t="str">
        <f>VLOOKUP(Table1[[#This Row],[Order ID]],Status!A:B, 2,FALSE)</f>
        <v>Completed</v>
      </c>
      <c r="P608" s="2" t="s">
        <v>46</v>
      </c>
      <c r="Q608" s="2">
        <v>4</v>
      </c>
      <c r="R608" s="2" t="s">
        <v>37</v>
      </c>
      <c r="S608" s="11" t="str">
        <f t="shared" si="48"/>
        <v>Bagus</v>
      </c>
      <c r="T608" s="2" t="str">
        <f t="shared" si="49"/>
        <v>Sangat Rendah</v>
      </c>
    </row>
    <row r="609" spans="1:20" ht="15.75" customHeight="1" x14ac:dyDescent="0.3">
      <c r="A609" s="4" t="s">
        <v>1772</v>
      </c>
      <c r="B609" s="3">
        <v>45812.512685185182</v>
      </c>
      <c r="C609" s="2" t="s">
        <v>699</v>
      </c>
      <c r="D609" s="2" t="s">
        <v>238</v>
      </c>
      <c r="E609" s="2" t="s">
        <v>58</v>
      </c>
      <c r="F609" s="2">
        <v>16000</v>
      </c>
      <c r="G609" s="2">
        <v>1</v>
      </c>
      <c r="H609" s="2">
        <v>10</v>
      </c>
      <c r="I609">
        <f t="shared" si="45"/>
        <v>16000</v>
      </c>
      <c r="J609">
        <f t="shared" si="46"/>
        <v>1600</v>
      </c>
      <c r="K609" s="6">
        <f t="shared" si="47"/>
        <v>14400</v>
      </c>
      <c r="L609" s="2">
        <v>28000</v>
      </c>
      <c r="M609" s="6">
        <f>Table1[[#This Row],[Total Sales]]+Table1[[#This Row],[Shipping Fee]]</f>
        <v>42400</v>
      </c>
      <c r="N609" s="2" t="s">
        <v>35</v>
      </c>
      <c r="O609" t="str">
        <f>VLOOKUP(Table1[[#This Row],[Order ID]],Status!A:B, 2,FALSE)</f>
        <v>Completed</v>
      </c>
      <c r="P609" s="2" t="s">
        <v>30</v>
      </c>
      <c r="Q609" s="2">
        <v>3</v>
      </c>
      <c r="R609" s="2" t="s">
        <v>37</v>
      </c>
      <c r="S609" s="11" t="str">
        <f t="shared" si="48"/>
        <v>Standar</v>
      </c>
      <c r="T609" s="2" t="str">
        <f t="shared" si="49"/>
        <v>Sangat Rendah</v>
      </c>
    </row>
    <row r="610" spans="1:20" ht="15.75" customHeight="1" x14ac:dyDescent="0.3">
      <c r="A610" s="4" t="s">
        <v>1771</v>
      </c>
      <c r="B610" s="3">
        <v>45812.405717592592</v>
      </c>
      <c r="C610" s="2" t="s">
        <v>333</v>
      </c>
      <c r="D610" s="2" t="s">
        <v>107</v>
      </c>
      <c r="E610" s="2" t="s">
        <v>75</v>
      </c>
      <c r="F610" s="2">
        <v>55000</v>
      </c>
      <c r="G610" s="2">
        <v>1</v>
      </c>
      <c r="H610" s="2">
        <v>20</v>
      </c>
      <c r="I610">
        <f t="shared" si="45"/>
        <v>55000</v>
      </c>
      <c r="J610">
        <f t="shared" si="46"/>
        <v>11000</v>
      </c>
      <c r="K610" s="6">
        <f t="shared" si="47"/>
        <v>44000</v>
      </c>
      <c r="L610" s="2">
        <v>97000</v>
      </c>
      <c r="M610" s="6">
        <f>Table1[[#This Row],[Total Sales]]+Table1[[#This Row],[Shipping Fee]]</f>
        <v>141000</v>
      </c>
      <c r="N610" s="2" t="s">
        <v>35</v>
      </c>
      <c r="O610" t="str">
        <f>VLOOKUP(Table1[[#This Row],[Order ID]],Status!A:B, 2,FALSE)</f>
        <v>Completed</v>
      </c>
      <c r="P610" s="2" t="s">
        <v>30</v>
      </c>
      <c r="Q610" s="2">
        <v>1</v>
      </c>
      <c r="R610" s="2" t="s">
        <v>37</v>
      </c>
      <c r="S610" s="11" t="str">
        <f t="shared" si="48"/>
        <v>Rendah</v>
      </c>
      <c r="T610" s="2" t="str">
        <f t="shared" si="49"/>
        <v>Normal</v>
      </c>
    </row>
    <row r="611" spans="1:20" ht="15.75" customHeight="1" x14ac:dyDescent="0.3">
      <c r="A611" s="4" t="s">
        <v>1770</v>
      </c>
      <c r="B611" s="3">
        <v>45812.250324074077</v>
      </c>
      <c r="C611" s="2" t="s">
        <v>412</v>
      </c>
      <c r="D611" s="2" t="s">
        <v>70</v>
      </c>
      <c r="E611" s="2" t="s">
        <v>54</v>
      </c>
      <c r="F611" s="2">
        <v>16000</v>
      </c>
      <c r="G611" s="2">
        <v>3</v>
      </c>
      <c r="H611" s="2">
        <v>10</v>
      </c>
      <c r="I611">
        <f t="shared" si="45"/>
        <v>48000</v>
      </c>
      <c r="J611">
        <f t="shared" si="46"/>
        <v>4800</v>
      </c>
      <c r="K611" s="6">
        <f t="shared" si="47"/>
        <v>43200</v>
      </c>
      <c r="L611" s="2">
        <v>89000</v>
      </c>
      <c r="M611" s="6">
        <f>Table1[[#This Row],[Total Sales]]+Table1[[#This Row],[Shipping Fee]]</f>
        <v>132200</v>
      </c>
      <c r="N611" s="2" t="s">
        <v>63</v>
      </c>
      <c r="O611" t="str">
        <f>VLOOKUP(Table1[[#This Row],[Order ID]],Status!A:B, 2,FALSE)</f>
        <v>Completed</v>
      </c>
      <c r="P611" s="2" t="s">
        <v>36</v>
      </c>
      <c r="Q611" s="2">
        <v>1</v>
      </c>
      <c r="R611" s="2" t="s">
        <v>24</v>
      </c>
      <c r="S611" s="11" t="str">
        <f t="shared" si="48"/>
        <v>Rendah</v>
      </c>
      <c r="T611" s="2" t="str">
        <f t="shared" si="49"/>
        <v>Sangat Rendah</v>
      </c>
    </row>
    <row r="612" spans="1:20" ht="15.75" customHeight="1" x14ac:dyDescent="0.3">
      <c r="A612" s="4" t="s">
        <v>1769</v>
      </c>
      <c r="B612" s="3">
        <v>45812.047696759262</v>
      </c>
      <c r="C612" s="2" t="s">
        <v>455</v>
      </c>
      <c r="D612" s="2" t="s">
        <v>33</v>
      </c>
      <c r="E612" s="2" t="s">
        <v>104</v>
      </c>
      <c r="F612" s="2">
        <v>30000</v>
      </c>
      <c r="G612" s="2">
        <v>4</v>
      </c>
      <c r="H612" s="2">
        <v>10</v>
      </c>
      <c r="I612">
        <f t="shared" si="45"/>
        <v>120000</v>
      </c>
      <c r="J612">
        <f t="shared" si="46"/>
        <v>12000</v>
      </c>
      <c r="K612" s="6">
        <f t="shared" si="47"/>
        <v>108000</v>
      </c>
      <c r="L612" s="2">
        <v>76000</v>
      </c>
      <c r="M612" s="6">
        <f>Table1[[#This Row],[Total Sales]]+Table1[[#This Row],[Shipping Fee]]</f>
        <v>184000</v>
      </c>
      <c r="N612" s="2" t="s">
        <v>63</v>
      </c>
      <c r="O612" t="str">
        <f>VLOOKUP(Table1[[#This Row],[Order ID]],Status!A:B, 2,FALSE)</f>
        <v>Completed</v>
      </c>
      <c r="P612" s="2" t="s">
        <v>46</v>
      </c>
      <c r="Q612" s="2">
        <v>5</v>
      </c>
      <c r="R612" s="2" t="s">
        <v>24</v>
      </c>
      <c r="S612" s="11" t="str">
        <f t="shared" si="48"/>
        <v>Bagus</v>
      </c>
      <c r="T612" s="2" t="str">
        <f t="shared" si="49"/>
        <v>Normal</v>
      </c>
    </row>
    <row r="613" spans="1:20" ht="15.75" customHeight="1" x14ac:dyDescent="0.3">
      <c r="A613" s="4" t="s">
        <v>1768</v>
      </c>
      <c r="B613" s="3">
        <v>45811.304328703707</v>
      </c>
      <c r="C613" s="2" t="s">
        <v>812</v>
      </c>
      <c r="D613" s="2" t="s">
        <v>33</v>
      </c>
      <c r="E613" s="2" t="s">
        <v>110</v>
      </c>
      <c r="F613" s="2">
        <v>6000</v>
      </c>
      <c r="G613" s="2">
        <v>5</v>
      </c>
      <c r="H613" s="2">
        <v>5</v>
      </c>
      <c r="I613">
        <f t="shared" si="45"/>
        <v>30000</v>
      </c>
      <c r="J613">
        <f t="shared" si="46"/>
        <v>1500</v>
      </c>
      <c r="K613" s="6">
        <f t="shared" si="47"/>
        <v>28500</v>
      </c>
      <c r="L613" s="2">
        <v>76000</v>
      </c>
      <c r="M613" s="6">
        <f>Table1[[#This Row],[Total Sales]]+Table1[[#This Row],[Shipping Fee]]</f>
        <v>104500</v>
      </c>
      <c r="N613" s="2" t="s">
        <v>63</v>
      </c>
      <c r="O613" t="str">
        <f>VLOOKUP(Table1[[#This Row],[Order ID]],Status!A:B, 2,FALSE)</f>
        <v>Completed</v>
      </c>
      <c r="P613" s="2" t="s">
        <v>36</v>
      </c>
      <c r="Q613" s="2">
        <v>1</v>
      </c>
      <c r="R613" s="2" t="s">
        <v>24</v>
      </c>
      <c r="S613" s="11" t="str">
        <f t="shared" si="48"/>
        <v>Rendah</v>
      </c>
      <c r="T613" s="2" t="str">
        <f t="shared" si="49"/>
        <v>Sangat Rendah</v>
      </c>
    </row>
    <row r="614" spans="1:20" ht="15.75" customHeight="1" x14ac:dyDescent="0.3">
      <c r="A614" s="4" t="s">
        <v>1768</v>
      </c>
      <c r="B614" s="3">
        <v>45811.304328703707</v>
      </c>
      <c r="C614" s="2" t="s">
        <v>812</v>
      </c>
      <c r="D614" s="2" t="s">
        <v>33</v>
      </c>
      <c r="E614" s="2" t="s">
        <v>34</v>
      </c>
      <c r="F614" s="2">
        <v>16000</v>
      </c>
      <c r="G614" s="2">
        <v>3</v>
      </c>
      <c r="H614" s="2">
        <v>15</v>
      </c>
      <c r="I614">
        <f t="shared" si="45"/>
        <v>48000</v>
      </c>
      <c r="J614">
        <f t="shared" si="46"/>
        <v>7200</v>
      </c>
      <c r="K614" s="6">
        <f t="shared" si="47"/>
        <v>40800</v>
      </c>
      <c r="L614" s="2">
        <v>0</v>
      </c>
      <c r="M614" s="6">
        <f>Table1[[#This Row],[Total Sales]]+Table1[[#This Row],[Shipping Fee]]</f>
        <v>40800</v>
      </c>
      <c r="N614" s="2" t="s">
        <v>63</v>
      </c>
      <c r="O614" t="str">
        <f>VLOOKUP(Table1[[#This Row],[Order ID]],Status!A:B, 2,FALSE)</f>
        <v>Completed</v>
      </c>
      <c r="P614" s="2" t="s">
        <v>36</v>
      </c>
      <c r="Q614" s="2">
        <v>1</v>
      </c>
      <c r="R614" s="2" t="s">
        <v>24</v>
      </c>
      <c r="S614" s="11" t="str">
        <f t="shared" si="48"/>
        <v>Rendah</v>
      </c>
      <c r="T614" s="2" t="str">
        <f t="shared" si="49"/>
        <v>Rendah</v>
      </c>
    </row>
    <row r="615" spans="1:20" ht="15.75" customHeight="1" x14ac:dyDescent="0.3">
      <c r="A615" s="4" t="s">
        <v>1767</v>
      </c>
      <c r="B615" s="3">
        <v>45811.243773148148</v>
      </c>
      <c r="C615" s="2" t="s">
        <v>784</v>
      </c>
      <c r="D615" s="2" t="s">
        <v>116</v>
      </c>
      <c r="E615" s="2" t="s">
        <v>81</v>
      </c>
      <c r="F615" s="2">
        <v>17000</v>
      </c>
      <c r="G615" s="2">
        <v>5</v>
      </c>
      <c r="H615" s="2">
        <v>0</v>
      </c>
      <c r="I615">
        <f t="shared" si="45"/>
        <v>85000</v>
      </c>
      <c r="J615">
        <f t="shared" si="46"/>
        <v>0</v>
      </c>
      <c r="K615" s="6">
        <f t="shared" si="47"/>
        <v>85000</v>
      </c>
      <c r="L615" s="2">
        <v>72000</v>
      </c>
      <c r="M615" s="6">
        <f>Table1[[#This Row],[Total Sales]]+Table1[[#This Row],[Shipping Fee]]</f>
        <v>157000</v>
      </c>
      <c r="N615" s="2" t="s">
        <v>22</v>
      </c>
      <c r="O615" t="str">
        <f>VLOOKUP(Table1[[#This Row],[Order ID]],Status!A:B, 2,FALSE)</f>
        <v>Completed</v>
      </c>
      <c r="P615" s="2" t="s">
        <v>30</v>
      </c>
      <c r="Q615" s="2">
        <v>1</v>
      </c>
      <c r="R615" s="2" t="s">
        <v>24</v>
      </c>
      <c r="S615" s="11" t="str">
        <f t="shared" si="48"/>
        <v>Rendah</v>
      </c>
      <c r="T615" s="2" t="str">
        <f t="shared" si="49"/>
        <v>Sangat Rendah</v>
      </c>
    </row>
    <row r="616" spans="1:20" ht="15.75" customHeight="1" x14ac:dyDescent="0.3">
      <c r="A616" s="4" t="s">
        <v>1766</v>
      </c>
      <c r="B616" s="3">
        <v>45810.987210648149</v>
      </c>
      <c r="C616" s="2" t="s">
        <v>504</v>
      </c>
      <c r="D616" s="2" t="s">
        <v>195</v>
      </c>
      <c r="E616" s="2" t="s">
        <v>174</v>
      </c>
      <c r="F616" s="2">
        <v>10000</v>
      </c>
      <c r="G616" s="2">
        <v>1</v>
      </c>
      <c r="H616" s="2">
        <v>0</v>
      </c>
      <c r="I616">
        <f t="shared" si="45"/>
        <v>10000</v>
      </c>
      <c r="J616">
        <f t="shared" si="46"/>
        <v>0</v>
      </c>
      <c r="K616" s="6">
        <f t="shared" si="47"/>
        <v>10000</v>
      </c>
      <c r="L616" s="2">
        <v>87000</v>
      </c>
      <c r="M616" s="6">
        <f>Table1[[#This Row],[Total Sales]]+Table1[[#This Row],[Shipping Fee]]</f>
        <v>97000</v>
      </c>
      <c r="N616" s="2" t="s">
        <v>29</v>
      </c>
      <c r="O616" t="str">
        <f>VLOOKUP(Table1[[#This Row],[Order ID]],Status!A:B, 2,FALSE)</f>
        <v>Completed</v>
      </c>
      <c r="P616" s="2" t="s">
        <v>23</v>
      </c>
      <c r="Q616" s="2">
        <v>5</v>
      </c>
      <c r="R616" s="2" t="s">
        <v>24</v>
      </c>
      <c r="S616" s="11" t="str">
        <f t="shared" si="48"/>
        <v>Bagus</v>
      </c>
      <c r="T616" s="2" t="str">
        <f t="shared" si="49"/>
        <v>Sangat Rendah</v>
      </c>
    </row>
    <row r="617" spans="1:20" ht="15.75" customHeight="1" x14ac:dyDescent="0.3">
      <c r="A617" s="4" t="s">
        <v>1765</v>
      </c>
      <c r="B617" s="3">
        <v>45810.92324074074</v>
      </c>
      <c r="C617" s="2" t="s">
        <v>340</v>
      </c>
      <c r="D617" s="2" t="s">
        <v>126</v>
      </c>
      <c r="E617" s="2" t="s">
        <v>45</v>
      </c>
      <c r="F617" s="2">
        <v>40000</v>
      </c>
      <c r="G617" s="2">
        <v>2</v>
      </c>
      <c r="H617" s="2">
        <v>0</v>
      </c>
      <c r="I617">
        <f t="shared" si="45"/>
        <v>80000</v>
      </c>
      <c r="J617">
        <f t="shared" si="46"/>
        <v>0</v>
      </c>
      <c r="K617" s="6">
        <f t="shared" si="47"/>
        <v>80000</v>
      </c>
      <c r="L617" s="2">
        <v>84000</v>
      </c>
      <c r="M617" s="6">
        <f>Table1[[#This Row],[Total Sales]]+Table1[[#This Row],[Shipping Fee]]</f>
        <v>164000</v>
      </c>
      <c r="N617" s="2" t="s">
        <v>29</v>
      </c>
      <c r="O617" t="str">
        <f>VLOOKUP(Table1[[#This Row],[Order ID]],Status!A:B, 2,FALSE)</f>
        <v>Completed</v>
      </c>
      <c r="P617" s="2" t="s">
        <v>82</v>
      </c>
      <c r="Q617" s="2">
        <v>1</v>
      </c>
      <c r="R617" s="2" t="s">
        <v>37</v>
      </c>
      <c r="S617" s="11" t="str">
        <f t="shared" si="48"/>
        <v>Rendah</v>
      </c>
      <c r="T617" s="2" t="str">
        <f t="shared" si="49"/>
        <v>Sangat Rendah</v>
      </c>
    </row>
    <row r="618" spans="1:20" ht="15.75" customHeight="1" x14ac:dyDescent="0.3">
      <c r="A618" s="4" t="s">
        <v>1764</v>
      </c>
      <c r="B618" s="3">
        <v>45810.887094907397</v>
      </c>
      <c r="C618" s="2" t="s">
        <v>359</v>
      </c>
      <c r="D618" s="2" t="s">
        <v>70</v>
      </c>
      <c r="E618" s="2" t="s">
        <v>93</v>
      </c>
      <c r="F618" s="2">
        <v>25000</v>
      </c>
      <c r="G618" s="2">
        <v>2</v>
      </c>
      <c r="H618" s="2">
        <v>10</v>
      </c>
      <c r="I618">
        <f t="shared" si="45"/>
        <v>50000</v>
      </c>
      <c r="J618">
        <f t="shared" si="46"/>
        <v>5000</v>
      </c>
      <c r="K618" s="6">
        <f t="shared" si="47"/>
        <v>45000</v>
      </c>
      <c r="L618" s="2">
        <v>89000</v>
      </c>
      <c r="M618" s="6">
        <f>Table1[[#This Row],[Total Sales]]+Table1[[#This Row],[Shipping Fee]]</f>
        <v>134000</v>
      </c>
      <c r="N618" s="2" t="s">
        <v>63</v>
      </c>
      <c r="O618" t="str">
        <f>VLOOKUP(Table1[[#This Row],[Order ID]],Status!A:B, 2,FALSE)</f>
        <v>Returned</v>
      </c>
      <c r="P618" s="2" t="s">
        <v>23</v>
      </c>
      <c r="Q618" s="2">
        <v>2</v>
      </c>
      <c r="R618" s="2" t="s">
        <v>24</v>
      </c>
      <c r="S618" s="11" t="str">
        <f t="shared" si="48"/>
        <v>Rendah</v>
      </c>
      <c r="T618" s="2" t="str">
        <f t="shared" si="49"/>
        <v>Sangat Rendah</v>
      </c>
    </row>
    <row r="619" spans="1:20" ht="15.75" customHeight="1" x14ac:dyDescent="0.3">
      <c r="A619" s="4" t="s">
        <v>1763</v>
      </c>
      <c r="B619" s="3">
        <v>45810.663715277777</v>
      </c>
      <c r="C619" s="2" t="s">
        <v>1083</v>
      </c>
      <c r="D619" s="2" t="s">
        <v>170</v>
      </c>
      <c r="E619" s="2" t="s">
        <v>186</v>
      </c>
      <c r="F619" s="2">
        <v>45000</v>
      </c>
      <c r="G619" s="2">
        <v>3</v>
      </c>
      <c r="H619" s="2">
        <v>5</v>
      </c>
      <c r="I619">
        <f t="shared" si="45"/>
        <v>135000</v>
      </c>
      <c r="J619">
        <f t="shared" si="46"/>
        <v>6750</v>
      </c>
      <c r="K619" s="6">
        <f t="shared" si="47"/>
        <v>128250</v>
      </c>
      <c r="L619" s="2">
        <v>46000</v>
      </c>
      <c r="M619" s="6">
        <f>Table1[[#This Row],[Total Sales]]+Table1[[#This Row],[Shipping Fee]]</f>
        <v>174250</v>
      </c>
      <c r="N619" s="2" t="s">
        <v>63</v>
      </c>
      <c r="O619" t="str">
        <f>VLOOKUP(Table1[[#This Row],[Order ID]],Status!A:B, 2,FALSE)</f>
        <v>Returned</v>
      </c>
      <c r="P619" s="2" t="s">
        <v>46</v>
      </c>
      <c r="Q619" s="2">
        <v>5</v>
      </c>
      <c r="R619" s="2" t="s">
        <v>24</v>
      </c>
      <c r="S619" s="11" t="str">
        <f t="shared" si="48"/>
        <v>Bagus</v>
      </c>
      <c r="T619" s="2" t="str">
        <f t="shared" si="49"/>
        <v>Rendah</v>
      </c>
    </row>
    <row r="620" spans="1:20" ht="15.75" customHeight="1" x14ac:dyDescent="0.3">
      <c r="A620" s="4" t="s">
        <v>1762</v>
      </c>
      <c r="B620" s="3">
        <v>45810.617997685193</v>
      </c>
      <c r="C620" s="2" t="s">
        <v>91</v>
      </c>
      <c r="D620" s="2" t="s">
        <v>92</v>
      </c>
      <c r="E620" s="2" t="s">
        <v>110</v>
      </c>
      <c r="F620" s="2">
        <v>6000</v>
      </c>
      <c r="G620" s="2">
        <v>5</v>
      </c>
      <c r="H620" s="2">
        <v>10</v>
      </c>
      <c r="I620">
        <f t="shared" si="45"/>
        <v>30000</v>
      </c>
      <c r="J620">
        <f t="shared" si="46"/>
        <v>3000</v>
      </c>
      <c r="K620" s="6">
        <f t="shared" si="47"/>
        <v>27000</v>
      </c>
      <c r="L620" s="2">
        <v>30000</v>
      </c>
      <c r="M620" s="6">
        <f>Table1[[#This Row],[Total Sales]]+Table1[[#This Row],[Shipping Fee]]</f>
        <v>57000</v>
      </c>
      <c r="N620" s="2" t="s">
        <v>22</v>
      </c>
      <c r="O620" t="str">
        <f>VLOOKUP(Table1[[#This Row],[Order ID]],Status!A:B, 2,FALSE)</f>
        <v>Cancelled</v>
      </c>
      <c r="P620" s="2" t="s">
        <v>36</v>
      </c>
      <c r="Q620" s="2">
        <v>3</v>
      </c>
      <c r="R620" s="2" t="s">
        <v>24</v>
      </c>
      <c r="S620" s="11" t="str">
        <f t="shared" si="48"/>
        <v>Standar</v>
      </c>
      <c r="T620" s="2" t="str">
        <f t="shared" si="49"/>
        <v>Sangat Rendah</v>
      </c>
    </row>
    <row r="621" spans="1:20" ht="15.75" customHeight="1" x14ac:dyDescent="0.3">
      <c r="A621" s="4" t="s">
        <v>1762</v>
      </c>
      <c r="B621" s="3">
        <v>45810.617997685193</v>
      </c>
      <c r="C621" s="2" t="s">
        <v>91</v>
      </c>
      <c r="D621" s="2" t="s">
        <v>92</v>
      </c>
      <c r="E621" s="2" t="s">
        <v>28</v>
      </c>
      <c r="F621" s="2">
        <v>5000</v>
      </c>
      <c r="G621" s="2">
        <v>5</v>
      </c>
      <c r="H621" s="2">
        <v>10</v>
      </c>
      <c r="I621">
        <f t="shared" si="45"/>
        <v>25000</v>
      </c>
      <c r="J621">
        <f t="shared" si="46"/>
        <v>2500</v>
      </c>
      <c r="K621" s="6">
        <f t="shared" si="47"/>
        <v>22500</v>
      </c>
      <c r="L621" s="2">
        <v>0</v>
      </c>
      <c r="M621" s="6">
        <f>Table1[[#This Row],[Total Sales]]+Table1[[#This Row],[Shipping Fee]]</f>
        <v>22500</v>
      </c>
      <c r="N621" s="2" t="s">
        <v>22</v>
      </c>
      <c r="O621" t="str">
        <f>VLOOKUP(Table1[[#This Row],[Order ID]],Status!A:B, 2,FALSE)</f>
        <v>Cancelled</v>
      </c>
      <c r="P621" s="2" t="s">
        <v>36</v>
      </c>
      <c r="Q621" s="2">
        <v>3</v>
      </c>
      <c r="R621" s="2" t="s">
        <v>24</v>
      </c>
      <c r="S621" s="11" t="str">
        <f t="shared" si="48"/>
        <v>Standar</v>
      </c>
      <c r="T621" s="2" t="str">
        <f t="shared" si="49"/>
        <v>Sangat Rendah</v>
      </c>
    </row>
    <row r="622" spans="1:20" ht="15.75" customHeight="1" x14ac:dyDescent="0.3">
      <c r="A622" s="4" t="s">
        <v>1761</v>
      </c>
      <c r="B622" s="3">
        <v>45810.574479166673</v>
      </c>
      <c r="C622" s="2" t="s">
        <v>1574</v>
      </c>
      <c r="D622" s="2" t="s">
        <v>33</v>
      </c>
      <c r="E622" s="2" t="s">
        <v>50</v>
      </c>
      <c r="F622" s="2">
        <v>14000</v>
      </c>
      <c r="G622" s="2">
        <v>4</v>
      </c>
      <c r="H622" s="2">
        <v>15</v>
      </c>
      <c r="I622">
        <f t="shared" si="45"/>
        <v>56000</v>
      </c>
      <c r="J622">
        <f t="shared" si="46"/>
        <v>8400</v>
      </c>
      <c r="K622" s="6">
        <f t="shared" si="47"/>
        <v>47600</v>
      </c>
      <c r="L622" s="2">
        <v>76000</v>
      </c>
      <c r="M622" s="6">
        <f>Table1[[#This Row],[Total Sales]]+Table1[[#This Row],[Shipping Fee]]</f>
        <v>123600</v>
      </c>
      <c r="N622" s="2" t="s">
        <v>35</v>
      </c>
      <c r="O622" t="str">
        <f>VLOOKUP(Table1[[#This Row],[Order ID]],Status!A:B, 2,FALSE)</f>
        <v>Completed</v>
      </c>
      <c r="P622" s="2" t="s">
        <v>23</v>
      </c>
      <c r="Q622" s="2">
        <v>5</v>
      </c>
      <c r="R622" s="2" t="s">
        <v>24</v>
      </c>
      <c r="S622" s="11" t="str">
        <f t="shared" si="48"/>
        <v>Bagus</v>
      </c>
      <c r="T622" s="2" t="str">
        <f t="shared" si="49"/>
        <v>Rendah</v>
      </c>
    </row>
    <row r="623" spans="1:20" ht="15.75" customHeight="1" x14ac:dyDescent="0.3">
      <c r="A623" s="4" t="s">
        <v>1760</v>
      </c>
      <c r="B623" s="3">
        <v>45810.365717592591</v>
      </c>
      <c r="C623" s="2" t="s">
        <v>1228</v>
      </c>
      <c r="D623" s="2" t="s">
        <v>33</v>
      </c>
      <c r="E623" s="2" t="s">
        <v>138</v>
      </c>
      <c r="F623" s="2">
        <v>17000</v>
      </c>
      <c r="G623" s="2">
        <v>4</v>
      </c>
      <c r="H623" s="2">
        <v>10</v>
      </c>
      <c r="I623">
        <f t="shared" si="45"/>
        <v>68000</v>
      </c>
      <c r="J623">
        <f t="shared" si="46"/>
        <v>6800</v>
      </c>
      <c r="K623" s="6">
        <f t="shared" si="47"/>
        <v>61200</v>
      </c>
      <c r="L623" s="2">
        <v>76000</v>
      </c>
      <c r="M623" s="6">
        <f>Table1[[#This Row],[Total Sales]]+Table1[[#This Row],[Shipping Fee]]</f>
        <v>137200</v>
      </c>
      <c r="N623" s="2" t="s">
        <v>29</v>
      </c>
      <c r="O623" t="str">
        <f>VLOOKUP(Table1[[#This Row],[Order ID]],Status!A:B, 2,FALSE)</f>
        <v>Completed</v>
      </c>
      <c r="P623" s="2" t="s">
        <v>30</v>
      </c>
      <c r="Q623" s="2">
        <v>3</v>
      </c>
      <c r="R623" s="2" t="s">
        <v>24</v>
      </c>
      <c r="S623" s="11" t="str">
        <f t="shared" si="48"/>
        <v>Standar</v>
      </c>
      <c r="T623" s="2" t="str">
        <f t="shared" si="49"/>
        <v>Rendah</v>
      </c>
    </row>
    <row r="624" spans="1:20" ht="15.75" customHeight="1" x14ac:dyDescent="0.3">
      <c r="A624" s="4" t="s">
        <v>1759</v>
      </c>
      <c r="B624" s="3">
        <v>45810.018136574072</v>
      </c>
      <c r="C624" s="2" t="s">
        <v>441</v>
      </c>
      <c r="D624" s="2" t="s">
        <v>116</v>
      </c>
      <c r="E624" s="2" t="s">
        <v>67</v>
      </c>
      <c r="F624" s="2">
        <v>15000</v>
      </c>
      <c r="G624" s="2">
        <v>5</v>
      </c>
      <c r="H624" s="2">
        <v>0</v>
      </c>
      <c r="I624">
        <f t="shared" si="45"/>
        <v>75000</v>
      </c>
      <c r="J624">
        <f t="shared" si="46"/>
        <v>0</v>
      </c>
      <c r="K624" s="6">
        <f t="shared" si="47"/>
        <v>75000</v>
      </c>
      <c r="L624" s="2">
        <v>72000</v>
      </c>
      <c r="M624" s="6">
        <f>Table1[[#This Row],[Total Sales]]+Table1[[#This Row],[Shipping Fee]]</f>
        <v>147000</v>
      </c>
      <c r="N624" s="2" t="s">
        <v>35</v>
      </c>
      <c r="O624" t="str">
        <f>VLOOKUP(Table1[[#This Row],[Order ID]],Status!A:B, 2,FALSE)</f>
        <v>Completed</v>
      </c>
      <c r="P624" s="2" t="s">
        <v>30</v>
      </c>
      <c r="Q624" s="2">
        <v>4</v>
      </c>
      <c r="R624" s="2" t="s">
        <v>37</v>
      </c>
      <c r="S624" s="11" t="str">
        <f t="shared" si="48"/>
        <v>Bagus</v>
      </c>
      <c r="T624" s="2" t="str">
        <f t="shared" si="49"/>
        <v>Sangat Rendah</v>
      </c>
    </row>
    <row r="625" spans="1:20" ht="15.75" customHeight="1" x14ac:dyDescent="0.3">
      <c r="A625" s="4" t="s">
        <v>1759</v>
      </c>
      <c r="B625" s="3">
        <v>45810.018136574072</v>
      </c>
      <c r="C625" s="2" t="s">
        <v>441</v>
      </c>
      <c r="D625" s="2" t="s">
        <v>116</v>
      </c>
      <c r="E625" s="2" t="s">
        <v>104</v>
      </c>
      <c r="F625" s="2">
        <v>30000</v>
      </c>
      <c r="G625" s="2">
        <v>1</v>
      </c>
      <c r="H625" s="2">
        <v>10</v>
      </c>
      <c r="I625">
        <f t="shared" si="45"/>
        <v>30000</v>
      </c>
      <c r="J625">
        <f t="shared" si="46"/>
        <v>3000</v>
      </c>
      <c r="K625" s="6">
        <f t="shared" si="47"/>
        <v>27000</v>
      </c>
      <c r="L625" s="2">
        <v>0</v>
      </c>
      <c r="M625" s="6">
        <f>Table1[[#This Row],[Total Sales]]+Table1[[#This Row],[Shipping Fee]]</f>
        <v>27000</v>
      </c>
      <c r="N625" s="2" t="s">
        <v>35</v>
      </c>
      <c r="O625" t="str">
        <f>VLOOKUP(Table1[[#This Row],[Order ID]],Status!A:B, 2,FALSE)</f>
        <v>Completed</v>
      </c>
      <c r="P625" s="2" t="s">
        <v>30</v>
      </c>
      <c r="Q625" s="2">
        <v>4</v>
      </c>
      <c r="R625" s="2" t="s">
        <v>37</v>
      </c>
      <c r="S625" s="11" t="str">
        <f t="shared" si="48"/>
        <v>Bagus</v>
      </c>
      <c r="T625" s="2" t="str">
        <f t="shared" si="49"/>
        <v>Sangat Rendah</v>
      </c>
    </row>
    <row r="626" spans="1:20" ht="15.75" customHeight="1" x14ac:dyDescent="0.3">
      <c r="A626" s="4" t="s">
        <v>1758</v>
      </c>
      <c r="B626" s="3">
        <v>45809.878032407411</v>
      </c>
      <c r="C626" s="2" t="s">
        <v>60</v>
      </c>
      <c r="D626" s="2" t="s">
        <v>61</v>
      </c>
      <c r="E626" s="2" t="s">
        <v>110</v>
      </c>
      <c r="F626" s="2">
        <v>6000</v>
      </c>
      <c r="G626" s="2">
        <v>1</v>
      </c>
      <c r="H626" s="2">
        <v>0</v>
      </c>
      <c r="I626">
        <f t="shared" si="45"/>
        <v>6000</v>
      </c>
      <c r="J626">
        <f t="shared" si="46"/>
        <v>0</v>
      </c>
      <c r="K626" s="6">
        <f t="shared" si="47"/>
        <v>6000</v>
      </c>
      <c r="L626" s="2">
        <v>26000</v>
      </c>
      <c r="M626" s="6">
        <f>Table1[[#This Row],[Total Sales]]+Table1[[#This Row],[Shipping Fee]]</f>
        <v>32000</v>
      </c>
      <c r="N626" s="2" t="s">
        <v>63</v>
      </c>
      <c r="O626" t="str">
        <f>VLOOKUP(Table1[[#This Row],[Order ID]],Status!A:B, 2,FALSE)</f>
        <v>Returned</v>
      </c>
      <c r="P626" s="2" t="s">
        <v>82</v>
      </c>
      <c r="Q626" s="2">
        <v>3</v>
      </c>
      <c r="R626" s="2" t="s">
        <v>24</v>
      </c>
      <c r="S626" s="11" t="str">
        <f t="shared" si="48"/>
        <v>Standar</v>
      </c>
      <c r="T626" s="2" t="str">
        <f t="shared" si="49"/>
        <v>Sangat Rendah</v>
      </c>
    </row>
    <row r="627" spans="1:20" ht="15.75" customHeight="1" x14ac:dyDescent="0.3">
      <c r="A627" s="4" t="s">
        <v>1756</v>
      </c>
      <c r="B627" s="3">
        <v>45809.503657407397</v>
      </c>
      <c r="C627" s="2" t="s">
        <v>1757</v>
      </c>
      <c r="D627" s="2" t="s">
        <v>74</v>
      </c>
      <c r="E627" s="2" t="s">
        <v>21</v>
      </c>
      <c r="F627" s="2">
        <v>45000</v>
      </c>
      <c r="G627" s="2">
        <v>3</v>
      </c>
      <c r="H627" s="2">
        <v>15</v>
      </c>
      <c r="I627">
        <f t="shared" si="45"/>
        <v>135000</v>
      </c>
      <c r="J627">
        <f t="shared" si="46"/>
        <v>20250</v>
      </c>
      <c r="K627" s="6">
        <f t="shared" si="47"/>
        <v>114750</v>
      </c>
      <c r="L627" s="2">
        <v>87000</v>
      </c>
      <c r="M627" s="6">
        <f>Table1[[#This Row],[Total Sales]]+Table1[[#This Row],[Shipping Fee]]</f>
        <v>201750</v>
      </c>
      <c r="N627" s="2" t="s">
        <v>22</v>
      </c>
      <c r="O627" t="str">
        <f>VLOOKUP(Table1[[#This Row],[Order ID]],Status!A:B, 2,FALSE)</f>
        <v>Completed</v>
      </c>
      <c r="P627" s="2" t="s">
        <v>30</v>
      </c>
      <c r="Q627" s="2">
        <v>3</v>
      </c>
      <c r="R627" s="2" t="s">
        <v>37</v>
      </c>
      <c r="S627" s="11" t="str">
        <f t="shared" si="48"/>
        <v>Standar</v>
      </c>
      <c r="T627" s="2" t="str">
        <f t="shared" si="49"/>
        <v>Tinggi</v>
      </c>
    </row>
    <row r="628" spans="1:20" ht="15.75" customHeight="1" x14ac:dyDescent="0.3">
      <c r="A628" s="4" t="s">
        <v>1755</v>
      </c>
      <c r="B628" s="3">
        <v>45809.438032407408</v>
      </c>
      <c r="C628" s="2" t="s">
        <v>900</v>
      </c>
      <c r="D628" s="2" t="s">
        <v>27</v>
      </c>
      <c r="E628" s="2" t="s">
        <v>54</v>
      </c>
      <c r="F628" s="2">
        <v>16000</v>
      </c>
      <c r="G628" s="2">
        <v>1</v>
      </c>
      <c r="H628" s="2">
        <v>0</v>
      </c>
      <c r="I628">
        <f t="shared" si="45"/>
        <v>16000</v>
      </c>
      <c r="J628">
        <f t="shared" si="46"/>
        <v>0</v>
      </c>
      <c r="K628" s="6">
        <f t="shared" si="47"/>
        <v>16000</v>
      </c>
      <c r="L628" s="2">
        <v>17000</v>
      </c>
      <c r="M628" s="6">
        <f>Table1[[#This Row],[Total Sales]]+Table1[[#This Row],[Shipping Fee]]</f>
        <v>33000</v>
      </c>
      <c r="N628" s="2" t="s">
        <v>29</v>
      </c>
      <c r="O628" t="str">
        <f>VLOOKUP(Table1[[#This Row],[Order ID]],Status!A:B, 2,FALSE)</f>
        <v>Completed</v>
      </c>
      <c r="P628" s="2" t="s">
        <v>46</v>
      </c>
      <c r="Q628" s="2">
        <v>3</v>
      </c>
      <c r="R628" s="2" t="s">
        <v>24</v>
      </c>
      <c r="S628" s="11" t="str">
        <f t="shared" si="48"/>
        <v>Standar</v>
      </c>
      <c r="T628" s="2" t="str">
        <f t="shared" si="49"/>
        <v>Sangat Rendah</v>
      </c>
    </row>
    <row r="629" spans="1:20" ht="15.75" customHeight="1" x14ac:dyDescent="0.3">
      <c r="A629" s="4" t="s">
        <v>1754</v>
      </c>
      <c r="B629" s="3">
        <v>45809.02171296296</v>
      </c>
      <c r="C629" s="2" t="s">
        <v>302</v>
      </c>
      <c r="D629" s="2" t="s">
        <v>74</v>
      </c>
      <c r="E629" s="2" t="s">
        <v>190</v>
      </c>
      <c r="F629" s="2">
        <v>35000</v>
      </c>
      <c r="G629" s="2">
        <v>2</v>
      </c>
      <c r="H629" s="2">
        <v>10</v>
      </c>
      <c r="I629">
        <f t="shared" si="45"/>
        <v>70000</v>
      </c>
      <c r="J629">
        <f t="shared" si="46"/>
        <v>7000</v>
      </c>
      <c r="K629" s="6">
        <f t="shared" si="47"/>
        <v>63000</v>
      </c>
      <c r="L629" s="2">
        <v>87000</v>
      </c>
      <c r="M629" s="6">
        <f>Table1[[#This Row],[Total Sales]]+Table1[[#This Row],[Shipping Fee]]</f>
        <v>150000</v>
      </c>
      <c r="N629" s="2" t="s">
        <v>29</v>
      </c>
      <c r="O629" t="str">
        <f>VLOOKUP(Table1[[#This Row],[Order ID]],Status!A:B, 2,FALSE)</f>
        <v>Completed</v>
      </c>
      <c r="P629" s="2" t="s">
        <v>82</v>
      </c>
      <c r="Q629" s="2">
        <v>2</v>
      </c>
      <c r="R629" s="2" t="s">
        <v>24</v>
      </c>
      <c r="S629" s="11" t="str">
        <f t="shared" si="48"/>
        <v>Rendah</v>
      </c>
      <c r="T629" s="2" t="str">
        <f t="shared" si="49"/>
        <v>Rendah</v>
      </c>
    </row>
    <row r="630" spans="1:20" ht="15.75" customHeight="1" x14ac:dyDescent="0.3">
      <c r="A630" s="4" t="s">
        <v>1753</v>
      </c>
      <c r="B630" s="3">
        <v>45808.593981481477</v>
      </c>
      <c r="C630" s="2" t="s">
        <v>314</v>
      </c>
      <c r="D630" s="2" t="s">
        <v>113</v>
      </c>
      <c r="E630" s="2" t="s">
        <v>75</v>
      </c>
      <c r="F630" s="2">
        <v>55000</v>
      </c>
      <c r="G630" s="2">
        <v>4</v>
      </c>
      <c r="H630" s="2">
        <v>0</v>
      </c>
      <c r="I630">
        <f t="shared" si="45"/>
        <v>220000</v>
      </c>
      <c r="J630">
        <f t="shared" si="46"/>
        <v>0</v>
      </c>
      <c r="K630" s="6">
        <f t="shared" si="47"/>
        <v>220000</v>
      </c>
      <c r="L630" s="2">
        <v>18000</v>
      </c>
      <c r="M630" s="6">
        <f>Table1[[#This Row],[Total Sales]]+Table1[[#This Row],[Shipping Fee]]</f>
        <v>238000</v>
      </c>
      <c r="N630" s="2" t="s">
        <v>22</v>
      </c>
      <c r="O630" t="str">
        <f>VLOOKUP(Table1[[#This Row],[Order ID]],Status!A:B, 2,FALSE)</f>
        <v>Completed</v>
      </c>
      <c r="P630" s="2" t="s">
        <v>30</v>
      </c>
      <c r="Q630" s="2">
        <v>1</v>
      </c>
      <c r="R630" s="2" t="s">
        <v>24</v>
      </c>
      <c r="S630" s="11" t="str">
        <f t="shared" si="48"/>
        <v>Rendah</v>
      </c>
      <c r="T630" s="2" t="str">
        <f t="shared" si="49"/>
        <v>Sangat Rendah</v>
      </c>
    </row>
    <row r="631" spans="1:20" ht="15.75" customHeight="1" x14ac:dyDescent="0.3">
      <c r="A631" s="4" t="s">
        <v>1752</v>
      </c>
      <c r="B631" s="3">
        <v>45808.48159722222</v>
      </c>
      <c r="C631" s="2" t="s">
        <v>179</v>
      </c>
      <c r="D631" s="2" t="s">
        <v>66</v>
      </c>
      <c r="E631" s="2" t="s">
        <v>54</v>
      </c>
      <c r="F631" s="2">
        <v>16000</v>
      </c>
      <c r="G631" s="2">
        <v>5</v>
      </c>
      <c r="H631" s="2">
        <v>0</v>
      </c>
      <c r="I631">
        <f t="shared" si="45"/>
        <v>80000</v>
      </c>
      <c r="J631">
        <f t="shared" si="46"/>
        <v>0</v>
      </c>
      <c r="K631" s="6">
        <f t="shared" si="47"/>
        <v>80000</v>
      </c>
      <c r="L631" s="2">
        <v>59000</v>
      </c>
      <c r="M631" s="6">
        <f>Table1[[#This Row],[Total Sales]]+Table1[[#This Row],[Shipping Fee]]</f>
        <v>139000</v>
      </c>
      <c r="N631" s="2" t="s">
        <v>63</v>
      </c>
      <c r="O631" t="str">
        <f>VLOOKUP(Table1[[#This Row],[Order ID]],Status!A:B, 2,FALSE)</f>
        <v>Completed</v>
      </c>
      <c r="P631" s="2" t="s">
        <v>46</v>
      </c>
      <c r="Q631" s="2">
        <v>2</v>
      </c>
      <c r="R631" s="2" t="s">
        <v>24</v>
      </c>
      <c r="S631" s="11" t="str">
        <f t="shared" si="48"/>
        <v>Rendah</v>
      </c>
      <c r="T631" s="2" t="str">
        <f t="shared" si="49"/>
        <v>Sangat Rendah</v>
      </c>
    </row>
    <row r="632" spans="1:20" ht="15.75" customHeight="1" x14ac:dyDescent="0.3">
      <c r="A632" s="4" t="s">
        <v>1751</v>
      </c>
      <c r="B632" s="3">
        <v>45808.335034722222</v>
      </c>
      <c r="C632" s="2" t="s">
        <v>549</v>
      </c>
      <c r="D632" s="2" t="s">
        <v>107</v>
      </c>
      <c r="E632" s="2" t="s">
        <v>38</v>
      </c>
      <c r="F632" s="2">
        <v>28000</v>
      </c>
      <c r="G632" s="2">
        <v>3</v>
      </c>
      <c r="H632" s="2">
        <v>10</v>
      </c>
      <c r="I632">
        <f t="shared" si="45"/>
        <v>84000</v>
      </c>
      <c r="J632">
        <f t="shared" si="46"/>
        <v>8400</v>
      </c>
      <c r="K632" s="6">
        <f t="shared" si="47"/>
        <v>75600</v>
      </c>
      <c r="L632" s="2">
        <v>97000</v>
      </c>
      <c r="M632" s="6">
        <f>Table1[[#This Row],[Total Sales]]+Table1[[#This Row],[Shipping Fee]]</f>
        <v>172600</v>
      </c>
      <c r="N632" s="2" t="s">
        <v>63</v>
      </c>
      <c r="O632" t="str">
        <f>VLOOKUP(Table1[[#This Row],[Order ID]],Status!A:B, 2,FALSE)</f>
        <v>Completed</v>
      </c>
      <c r="P632" s="2" t="s">
        <v>23</v>
      </c>
      <c r="Q632" s="2">
        <v>5</v>
      </c>
      <c r="R632" s="2" t="s">
        <v>24</v>
      </c>
      <c r="S632" s="11" t="str">
        <f t="shared" si="48"/>
        <v>Bagus</v>
      </c>
      <c r="T632" s="2" t="str">
        <f t="shared" si="49"/>
        <v>Rendah</v>
      </c>
    </row>
    <row r="633" spans="1:20" ht="15.75" customHeight="1" x14ac:dyDescent="0.3">
      <c r="A633" s="4" t="s">
        <v>1751</v>
      </c>
      <c r="B633" s="3">
        <v>45808.335034722222</v>
      </c>
      <c r="C633" s="2" t="s">
        <v>549</v>
      </c>
      <c r="D633" s="2" t="s">
        <v>107</v>
      </c>
      <c r="E633" s="2" t="s">
        <v>41</v>
      </c>
      <c r="F633" s="2">
        <v>4000</v>
      </c>
      <c r="G633" s="2">
        <v>5</v>
      </c>
      <c r="H633" s="2">
        <v>0</v>
      </c>
      <c r="I633">
        <f t="shared" si="45"/>
        <v>20000</v>
      </c>
      <c r="J633">
        <f t="shared" si="46"/>
        <v>0</v>
      </c>
      <c r="K633" s="6">
        <f t="shared" si="47"/>
        <v>20000</v>
      </c>
      <c r="L633" s="2">
        <v>0</v>
      </c>
      <c r="M633" s="6">
        <f>Table1[[#This Row],[Total Sales]]+Table1[[#This Row],[Shipping Fee]]</f>
        <v>20000</v>
      </c>
      <c r="N633" s="2" t="s">
        <v>63</v>
      </c>
      <c r="O633" t="str">
        <f>VLOOKUP(Table1[[#This Row],[Order ID]],Status!A:B, 2,FALSE)</f>
        <v>Completed</v>
      </c>
      <c r="P633" s="2" t="s">
        <v>23</v>
      </c>
      <c r="Q633" s="2">
        <v>5</v>
      </c>
      <c r="R633" s="2" t="s">
        <v>24</v>
      </c>
      <c r="S633" s="11" t="str">
        <f t="shared" si="48"/>
        <v>Bagus</v>
      </c>
      <c r="T633" s="2" t="str">
        <f t="shared" si="49"/>
        <v>Sangat Rendah</v>
      </c>
    </row>
    <row r="634" spans="1:20" ht="15.75" customHeight="1" x14ac:dyDescent="0.3">
      <c r="A634" s="4" t="s">
        <v>1750</v>
      </c>
      <c r="B634" s="3">
        <v>45808.278726851851</v>
      </c>
      <c r="C634" s="2" t="s">
        <v>102</v>
      </c>
      <c r="D634" s="2" t="s">
        <v>103</v>
      </c>
      <c r="E634" s="2" t="s">
        <v>144</v>
      </c>
      <c r="F634" s="2">
        <v>18000</v>
      </c>
      <c r="G634" s="2">
        <v>1</v>
      </c>
      <c r="H634" s="2">
        <v>10</v>
      </c>
      <c r="I634">
        <f t="shared" si="45"/>
        <v>18000</v>
      </c>
      <c r="J634">
        <f t="shared" si="46"/>
        <v>1800</v>
      </c>
      <c r="K634" s="6">
        <f t="shared" si="47"/>
        <v>16200</v>
      </c>
      <c r="L634" s="2">
        <v>85000</v>
      </c>
      <c r="M634" s="6">
        <f>Table1[[#This Row],[Total Sales]]+Table1[[#This Row],[Shipping Fee]]</f>
        <v>101200</v>
      </c>
      <c r="N634" s="2" t="s">
        <v>22</v>
      </c>
      <c r="O634" t="str">
        <f>VLOOKUP(Table1[[#This Row],[Order ID]],Status!A:B, 2,FALSE)</f>
        <v>Completed</v>
      </c>
      <c r="P634" s="2" t="s">
        <v>23</v>
      </c>
      <c r="Q634" s="2">
        <v>1</v>
      </c>
      <c r="R634" s="2" t="s">
        <v>24</v>
      </c>
      <c r="S634" s="11" t="str">
        <f t="shared" si="48"/>
        <v>Rendah</v>
      </c>
      <c r="T634" s="2" t="str">
        <f t="shared" si="49"/>
        <v>Sangat Rendah</v>
      </c>
    </row>
    <row r="635" spans="1:20" ht="15.75" customHeight="1" x14ac:dyDescent="0.3">
      <c r="A635" s="4" t="s">
        <v>1749</v>
      </c>
      <c r="B635" s="3">
        <v>45808.147893518522</v>
      </c>
      <c r="C635" s="2" t="s">
        <v>355</v>
      </c>
      <c r="D635" s="2" t="s">
        <v>116</v>
      </c>
      <c r="E635" s="2" t="s">
        <v>144</v>
      </c>
      <c r="F635" s="2">
        <v>18000</v>
      </c>
      <c r="G635" s="2">
        <v>2</v>
      </c>
      <c r="H635" s="2">
        <v>10</v>
      </c>
      <c r="I635">
        <f t="shared" si="45"/>
        <v>36000</v>
      </c>
      <c r="J635">
        <f t="shared" si="46"/>
        <v>3600</v>
      </c>
      <c r="K635" s="6">
        <f t="shared" si="47"/>
        <v>32400</v>
      </c>
      <c r="L635" s="2">
        <v>72000</v>
      </c>
      <c r="M635" s="6">
        <f>Table1[[#This Row],[Total Sales]]+Table1[[#This Row],[Shipping Fee]]</f>
        <v>104400</v>
      </c>
      <c r="N635" s="2" t="s">
        <v>29</v>
      </c>
      <c r="O635" t="str">
        <f>VLOOKUP(Table1[[#This Row],[Order ID]],Status!A:B, 2,FALSE)</f>
        <v>Completed</v>
      </c>
      <c r="P635" s="2" t="s">
        <v>36</v>
      </c>
      <c r="Q635" s="2">
        <v>2</v>
      </c>
      <c r="R635" s="2" t="s">
        <v>24</v>
      </c>
      <c r="S635" s="11" t="str">
        <f t="shared" si="48"/>
        <v>Rendah</v>
      </c>
      <c r="T635" s="2" t="str">
        <f t="shared" si="49"/>
        <v>Sangat Rendah</v>
      </c>
    </row>
    <row r="636" spans="1:20" ht="15.75" customHeight="1" x14ac:dyDescent="0.3">
      <c r="A636" s="4" t="s">
        <v>1748</v>
      </c>
      <c r="B636" s="3">
        <v>45807.93608796296</v>
      </c>
      <c r="C636" s="2" t="s">
        <v>218</v>
      </c>
      <c r="D636" s="2" t="s">
        <v>170</v>
      </c>
      <c r="E636" s="2" t="s">
        <v>58</v>
      </c>
      <c r="F636" s="2">
        <v>16000</v>
      </c>
      <c r="G636" s="2">
        <v>4</v>
      </c>
      <c r="H636" s="2">
        <v>10</v>
      </c>
      <c r="I636">
        <f t="shared" si="45"/>
        <v>64000</v>
      </c>
      <c r="J636">
        <f t="shared" si="46"/>
        <v>6400</v>
      </c>
      <c r="K636" s="6">
        <f t="shared" si="47"/>
        <v>57600</v>
      </c>
      <c r="L636" s="2">
        <v>46000</v>
      </c>
      <c r="M636" s="6">
        <f>Table1[[#This Row],[Total Sales]]+Table1[[#This Row],[Shipping Fee]]</f>
        <v>103600</v>
      </c>
      <c r="N636" s="2" t="s">
        <v>35</v>
      </c>
      <c r="O636" t="str">
        <f>VLOOKUP(Table1[[#This Row],[Order ID]],Status!A:B, 2,FALSE)</f>
        <v>Completed</v>
      </c>
      <c r="P636" s="2" t="s">
        <v>46</v>
      </c>
      <c r="Q636" s="2">
        <v>5</v>
      </c>
      <c r="R636" s="2" t="s">
        <v>24</v>
      </c>
      <c r="S636" s="11" t="str">
        <f t="shared" si="48"/>
        <v>Bagus</v>
      </c>
      <c r="T636" s="2" t="str">
        <f t="shared" si="49"/>
        <v>Rendah</v>
      </c>
    </row>
    <row r="637" spans="1:20" ht="15.75" customHeight="1" x14ac:dyDescent="0.3">
      <c r="A637" s="4" t="s">
        <v>1747</v>
      </c>
      <c r="B637" s="3">
        <v>45807.876099537039</v>
      </c>
      <c r="C637" s="2" t="s">
        <v>256</v>
      </c>
      <c r="D637" s="2" t="s">
        <v>107</v>
      </c>
      <c r="E637" s="2" t="s">
        <v>54</v>
      </c>
      <c r="F637" s="2">
        <v>16000</v>
      </c>
      <c r="G637" s="2">
        <v>3</v>
      </c>
      <c r="H637" s="2">
        <v>0</v>
      </c>
      <c r="I637">
        <f t="shared" si="45"/>
        <v>48000</v>
      </c>
      <c r="J637">
        <f t="shared" si="46"/>
        <v>0</v>
      </c>
      <c r="K637" s="6">
        <f t="shared" si="47"/>
        <v>48000</v>
      </c>
      <c r="L637" s="2">
        <v>97000</v>
      </c>
      <c r="M637" s="6">
        <f>Table1[[#This Row],[Total Sales]]+Table1[[#This Row],[Shipping Fee]]</f>
        <v>145000</v>
      </c>
      <c r="N637" s="2" t="s">
        <v>63</v>
      </c>
      <c r="O637" t="str">
        <f>VLOOKUP(Table1[[#This Row],[Order ID]],Status!A:B, 2,FALSE)</f>
        <v>Returned</v>
      </c>
      <c r="P637" s="2" t="s">
        <v>30</v>
      </c>
      <c r="Q637" s="2">
        <v>2</v>
      </c>
      <c r="R637" s="2" t="s">
        <v>24</v>
      </c>
      <c r="S637" s="11" t="str">
        <f t="shared" si="48"/>
        <v>Rendah</v>
      </c>
      <c r="T637" s="2" t="str">
        <f t="shared" si="49"/>
        <v>Sangat Rendah</v>
      </c>
    </row>
    <row r="638" spans="1:20" ht="15.75" customHeight="1" x14ac:dyDescent="0.3">
      <c r="A638" s="4" t="s">
        <v>1746</v>
      </c>
      <c r="B638" s="3">
        <v>45807.260497685187</v>
      </c>
      <c r="C638" s="2" t="s">
        <v>225</v>
      </c>
      <c r="D638" s="2" t="s">
        <v>189</v>
      </c>
      <c r="E638" s="2" t="s">
        <v>88</v>
      </c>
      <c r="F638" s="2">
        <v>14000</v>
      </c>
      <c r="G638" s="2">
        <v>5</v>
      </c>
      <c r="H638" s="2">
        <v>5</v>
      </c>
      <c r="I638">
        <f t="shared" si="45"/>
        <v>70000</v>
      </c>
      <c r="J638">
        <f t="shared" si="46"/>
        <v>3500</v>
      </c>
      <c r="K638" s="6">
        <f t="shared" si="47"/>
        <v>66500</v>
      </c>
      <c r="L638" s="2">
        <v>57000</v>
      </c>
      <c r="M638" s="6">
        <f>Table1[[#This Row],[Total Sales]]+Table1[[#This Row],[Shipping Fee]]</f>
        <v>123500</v>
      </c>
      <c r="N638" s="2" t="s">
        <v>29</v>
      </c>
      <c r="O638" t="str">
        <f>VLOOKUP(Table1[[#This Row],[Order ID]],Status!A:B, 2,FALSE)</f>
        <v>Completed</v>
      </c>
      <c r="P638" s="2" t="s">
        <v>46</v>
      </c>
      <c r="Q638" s="2">
        <v>1</v>
      </c>
      <c r="R638" s="2" t="s">
        <v>37</v>
      </c>
      <c r="S638" s="11" t="str">
        <f t="shared" si="48"/>
        <v>Rendah</v>
      </c>
      <c r="T638" s="2" t="str">
        <f t="shared" si="49"/>
        <v>Sangat Rendah</v>
      </c>
    </row>
    <row r="639" spans="1:20" ht="15.75" customHeight="1" x14ac:dyDescent="0.3">
      <c r="A639" s="4" t="s">
        <v>1745</v>
      </c>
      <c r="B639" s="3">
        <v>45806.868321759262</v>
      </c>
      <c r="C639" s="2" t="s">
        <v>199</v>
      </c>
      <c r="D639" s="2" t="s">
        <v>143</v>
      </c>
      <c r="E639" s="2" t="s">
        <v>38</v>
      </c>
      <c r="F639" s="2">
        <v>28000</v>
      </c>
      <c r="G639" s="2">
        <v>4</v>
      </c>
      <c r="H639" s="2">
        <v>15</v>
      </c>
      <c r="I639">
        <f t="shared" si="45"/>
        <v>112000</v>
      </c>
      <c r="J639">
        <f t="shared" si="46"/>
        <v>16800</v>
      </c>
      <c r="K639" s="6">
        <f t="shared" si="47"/>
        <v>95200</v>
      </c>
      <c r="L639" s="2">
        <v>50000</v>
      </c>
      <c r="M639" s="6">
        <f>Table1[[#This Row],[Total Sales]]+Table1[[#This Row],[Shipping Fee]]</f>
        <v>145200</v>
      </c>
      <c r="N639" s="2" t="s">
        <v>63</v>
      </c>
      <c r="O639" t="str">
        <f>VLOOKUP(Table1[[#This Row],[Order ID]],Status!A:B, 2,FALSE)</f>
        <v>Completed</v>
      </c>
      <c r="P639" s="2" t="s">
        <v>23</v>
      </c>
      <c r="Q639" s="2">
        <v>4</v>
      </c>
      <c r="R639" s="2" t="s">
        <v>24</v>
      </c>
      <c r="S639" s="11" t="str">
        <f t="shared" si="48"/>
        <v>Bagus</v>
      </c>
      <c r="T639" s="2" t="str">
        <f t="shared" si="49"/>
        <v>Normal</v>
      </c>
    </row>
    <row r="640" spans="1:20" ht="15.75" customHeight="1" x14ac:dyDescent="0.3">
      <c r="A640" s="4" t="s">
        <v>1744</v>
      </c>
      <c r="B640" s="3">
        <v>45806.661747685182</v>
      </c>
      <c r="C640" s="2" t="s">
        <v>87</v>
      </c>
      <c r="D640" s="2" t="s">
        <v>80</v>
      </c>
      <c r="E640" s="2" t="s">
        <v>174</v>
      </c>
      <c r="F640" s="2">
        <v>10000</v>
      </c>
      <c r="G640" s="2">
        <v>3</v>
      </c>
      <c r="H640" s="2">
        <v>10</v>
      </c>
      <c r="I640">
        <f t="shared" si="45"/>
        <v>30000</v>
      </c>
      <c r="J640">
        <f t="shared" si="46"/>
        <v>3000</v>
      </c>
      <c r="K640" s="6">
        <f t="shared" si="47"/>
        <v>27000</v>
      </c>
      <c r="L640" s="2">
        <v>74000</v>
      </c>
      <c r="M640" s="6">
        <f>Table1[[#This Row],[Total Sales]]+Table1[[#This Row],[Shipping Fee]]</f>
        <v>101000</v>
      </c>
      <c r="N640" s="2" t="s">
        <v>35</v>
      </c>
      <c r="O640" t="str">
        <f>VLOOKUP(Table1[[#This Row],[Order ID]],Status!A:B, 2,FALSE)</f>
        <v>Completed</v>
      </c>
      <c r="P640" s="2" t="s">
        <v>46</v>
      </c>
      <c r="Q640" s="2">
        <v>1</v>
      </c>
      <c r="R640" s="2" t="s">
        <v>24</v>
      </c>
      <c r="S640" s="11" t="str">
        <f t="shared" si="48"/>
        <v>Rendah</v>
      </c>
      <c r="T640" s="2" t="str">
        <f t="shared" si="49"/>
        <v>Sangat Rendah</v>
      </c>
    </row>
    <row r="641" spans="1:20" ht="15.75" customHeight="1" x14ac:dyDescent="0.3">
      <c r="A641" s="4" t="s">
        <v>1743</v>
      </c>
      <c r="B641" s="3">
        <v>45805.911238425928</v>
      </c>
      <c r="C641" s="2" t="s">
        <v>1530</v>
      </c>
      <c r="D641" s="2" t="s">
        <v>122</v>
      </c>
      <c r="E641" s="2" t="s">
        <v>41</v>
      </c>
      <c r="F641" s="2">
        <v>4000</v>
      </c>
      <c r="G641" s="2">
        <v>5</v>
      </c>
      <c r="H641" s="2">
        <v>0</v>
      </c>
      <c r="I641">
        <f t="shared" si="45"/>
        <v>20000</v>
      </c>
      <c r="J641">
        <f t="shared" si="46"/>
        <v>0</v>
      </c>
      <c r="K641" s="6">
        <f t="shared" si="47"/>
        <v>20000</v>
      </c>
      <c r="L641" s="2">
        <v>78000</v>
      </c>
      <c r="M641" s="6">
        <f>Table1[[#This Row],[Total Sales]]+Table1[[#This Row],[Shipping Fee]]</f>
        <v>98000</v>
      </c>
      <c r="N641" s="2" t="s">
        <v>29</v>
      </c>
      <c r="O641" t="str">
        <f>VLOOKUP(Table1[[#This Row],[Order ID]],Status!A:B, 2,FALSE)</f>
        <v>Returned</v>
      </c>
      <c r="P641" s="2" t="s">
        <v>23</v>
      </c>
      <c r="Q641" s="2">
        <v>4</v>
      </c>
      <c r="R641" s="2" t="s">
        <v>24</v>
      </c>
      <c r="S641" s="11" t="str">
        <f t="shared" si="48"/>
        <v>Bagus</v>
      </c>
      <c r="T641" s="2" t="str">
        <f t="shared" si="49"/>
        <v>Sangat Rendah</v>
      </c>
    </row>
    <row r="642" spans="1:20" ht="15.75" customHeight="1" x14ac:dyDescent="0.3">
      <c r="A642" s="4" t="s">
        <v>1742</v>
      </c>
      <c r="B642" s="3">
        <v>45805.645462962973</v>
      </c>
      <c r="C642" s="2" t="s">
        <v>416</v>
      </c>
      <c r="D642" s="2" t="s">
        <v>131</v>
      </c>
      <c r="E642" s="2" t="s">
        <v>75</v>
      </c>
      <c r="F642" s="2">
        <v>55000</v>
      </c>
      <c r="G642" s="2">
        <v>1</v>
      </c>
      <c r="H642" s="2">
        <v>10</v>
      </c>
      <c r="I642">
        <f t="shared" ref="I642:I705" si="50">F642*G642</f>
        <v>55000</v>
      </c>
      <c r="J642">
        <f t="shared" ref="J642:J705" si="51">I642*H642/100</f>
        <v>5500</v>
      </c>
      <c r="K642" s="6">
        <f t="shared" ref="K642:K705" si="52">I642-J642</f>
        <v>49500</v>
      </c>
      <c r="L642" s="2">
        <v>59000</v>
      </c>
      <c r="M642" s="6">
        <f>Table1[[#This Row],[Total Sales]]+Table1[[#This Row],[Shipping Fee]]</f>
        <v>108500</v>
      </c>
      <c r="N642" s="2" t="s">
        <v>22</v>
      </c>
      <c r="O642" t="str">
        <f>VLOOKUP(Table1[[#This Row],[Order ID]],Status!A:B, 2,FALSE)</f>
        <v>Returned</v>
      </c>
      <c r="P642" s="2" t="s">
        <v>30</v>
      </c>
      <c r="Q642" s="2">
        <v>2</v>
      </c>
      <c r="R642" s="2" t="s">
        <v>24</v>
      </c>
      <c r="S642" s="11" t="str">
        <f t="shared" ref="S642:S705" si="53">_xlfn.IFS(Q642&gt;3,"Bagus",Q642=3,"Standar",Q642&lt;3,"Rendah")</f>
        <v>Rendah</v>
      </c>
      <c r="T642" s="2" t="str">
        <f t="shared" ref="T642:T705" si="54">_xlfn.IFS(J642&lt;=5000,"Sangat Rendah", J642&lt;=10000,"Rendah", J642&lt;=20000, "Normal", J642&lt;=35000, "Tinggi", J642&lt;= 50000, "Sangat Tinggi", J642&gt;50000, "Clearance")</f>
        <v>Rendah</v>
      </c>
    </row>
    <row r="643" spans="1:20" ht="15.75" customHeight="1" x14ac:dyDescent="0.3">
      <c r="A643" s="4" t="s">
        <v>1740</v>
      </c>
      <c r="B643" s="3">
        <v>45805.642951388887</v>
      </c>
      <c r="C643" s="2" t="s">
        <v>1741</v>
      </c>
      <c r="D643" s="2" t="s">
        <v>44</v>
      </c>
      <c r="E643" s="2" t="s">
        <v>190</v>
      </c>
      <c r="F643" s="2">
        <v>35000</v>
      </c>
      <c r="G643" s="2">
        <v>2</v>
      </c>
      <c r="H643" s="2">
        <v>0</v>
      </c>
      <c r="I643">
        <f t="shared" si="50"/>
        <v>70000</v>
      </c>
      <c r="J643">
        <f t="shared" si="51"/>
        <v>0</v>
      </c>
      <c r="K643" s="6">
        <f t="shared" si="52"/>
        <v>70000</v>
      </c>
      <c r="L643" s="2">
        <v>93000</v>
      </c>
      <c r="M643" s="6">
        <f>Table1[[#This Row],[Total Sales]]+Table1[[#This Row],[Shipping Fee]]</f>
        <v>163000</v>
      </c>
      <c r="N643" s="2" t="s">
        <v>63</v>
      </c>
      <c r="O643" t="str">
        <f>VLOOKUP(Table1[[#This Row],[Order ID]],Status!A:B, 2,FALSE)</f>
        <v>Returned</v>
      </c>
      <c r="P643" s="2" t="s">
        <v>36</v>
      </c>
      <c r="Q643" s="2">
        <v>5</v>
      </c>
      <c r="R643" s="2" t="s">
        <v>24</v>
      </c>
      <c r="S643" s="11" t="str">
        <f t="shared" si="53"/>
        <v>Bagus</v>
      </c>
      <c r="T643" s="2" t="str">
        <f t="shared" si="54"/>
        <v>Sangat Rendah</v>
      </c>
    </row>
    <row r="644" spans="1:20" ht="15.75" customHeight="1" x14ac:dyDescent="0.3">
      <c r="A644" s="4" t="s">
        <v>1739</v>
      </c>
      <c r="B644" s="3">
        <v>45804.696400462963</v>
      </c>
      <c r="C644" s="2" t="s">
        <v>431</v>
      </c>
      <c r="D644" s="2" t="s">
        <v>33</v>
      </c>
      <c r="E644" s="2" t="s">
        <v>81</v>
      </c>
      <c r="F644" s="2">
        <v>17000</v>
      </c>
      <c r="G644" s="2">
        <v>5</v>
      </c>
      <c r="H644" s="2">
        <v>0</v>
      </c>
      <c r="I644">
        <f t="shared" si="50"/>
        <v>85000</v>
      </c>
      <c r="J644">
        <f t="shared" si="51"/>
        <v>0</v>
      </c>
      <c r="K644" s="6">
        <f t="shared" si="52"/>
        <v>85000</v>
      </c>
      <c r="L644" s="2">
        <v>76000</v>
      </c>
      <c r="M644" s="6">
        <f>Table1[[#This Row],[Total Sales]]+Table1[[#This Row],[Shipping Fee]]</f>
        <v>161000</v>
      </c>
      <c r="N644" s="2" t="s">
        <v>35</v>
      </c>
      <c r="O644" t="str">
        <f>VLOOKUP(Table1[[#This Row],[Order ID]],Status!A:B, 2,FALSE)</f>
        <v>Completed</v>
      </c>
      <c r="P644" s="2" t="s">
        <v>23</v>
      </c>
      <c r="Q644" s="2">
        <v>4</v>
      </c>
      <c r="R644" s="2" t="s">
        <v>24</v>
      </c>
      <c r="S644" s="11" t="str">
        <f t="shared" si="53"/>
        <v>Bagus</v>
      </c>
      <c r="T644" s="2" t="str">
        <f t="shared" si="54"/>
        <v>Sangat Rendah</v>
      </c>
    </row>
    <row r="645" spans="1:20" ht="15.75" customHeight="1" x14ac:dyDescent="0.3">
      <c r="A645" s="4" t="s">
        <v>1738</v>
      </c>
      <c r="B645" s="3">
        <v>45804.200624999998</v>
      </c>
      <c r="C645" s="2" t="s">
        <v>176</v>
      </c>
      <c r="D645" s="2" t="s">
        <v>177</v>
      </c>
      <c r="E645" s="2" t="s">
        <v>136</v>
      </c>
      <c r="F645" s="2">
        <v>12000</v>
      </c>
      <c r="G645" s="2">
        <v>3</v>
      </c>
      <c r="H645" s="2">
        <v>0</v>
      </c>
      <c r="I645">
        <f t="shared" si="50"/>
        <v>36000</v>
      </c>
      <c r="J645">
        <f t="shared" si="51"/>
        <v>0</v>
      </c>
      <c r="K645" s="6">
        <f t="shared" si="52"/>
        <v>36000</v>
      </c>
      <c r="L645" s="2">
        <v>56000</v>
      </c>
      <c r="M645" s="6">
        <f>Table1[[#This Row],[Total Sales]]+Table1[[#This Row],[Shipping Fee]]</f>
        <v>92000</v>
      </c>
      <c r="N645" s="2" t="s">
        <v>35</v>
      </c>
      <c r="O645" t="str">
        <f>VLOOKUP(Table1[[#This Row],[Order ID]],Status!A:B, 2,FALSE)</f>
        <v>Completed</v>
      </c>
      <c r="P645" s="2" t="s">
        <v>82</v>
      </c>
      <c r="Q645" s="2">
        <v>5</v>
      </c>
      <c r="R645" s="2" t="s">
        <v>24</v>
      </c>
      <c r="S645" s="11" t="str">
        <f t="shared" si="53"/>
        <v>Bagus</v>
      </c>
      <c r="T645" s="2" t="str">
        <f t="shared" si="54"/>
        <v>Sangat Rendah</v>
      </c>
    </row>
    <row r="646" spans="1:20" ht="15.75" customHeight="1" x14ac:dyDescent="0.3">
      <c r="A646" s="4" t="s">
        <v>1737</v>
      </c>
      <c r="B646" s="3">
        <v>45804.123182870368</v>
      </c>
      <c r="C646" s="2" t="s">
        <v>780</v>
      </c>
      <c r="D646" s="2" t="s">
        <v>113</v>
      </c>
      <c r="E646" s="2" t="s">
        <v>45</v>
      </c>
      <c r="F646" s="2">
        <v>40000</v>
      </c>
      <c r="G646" s="2">
        <v>1</v>
      </c>
      <c r="H646" s="2">
        <v>5</v>
      </c>
      <c r="I646">
        <f t="shared" si="50"/>
        <v>40000</v>
      </c>
      <c r="J646">
        <f t="shared" si="51"/>
        <v>2000</v>
      </c>
      <c r="K646" s="6">
        <f t="shared" si="52"/>
        <v>38000</v>
      </c>
      <c r="L646" s="2">
        <v>18000</v>
      </c>
      <c r="M646" s="6">
        <f>Table1[[#This Row],[Total Sales]]+Table1[[#This Row],[Shipping Fee]]</f>
        <v>56000</v>
      </c>
      <c r="N646" s="2" t="s">
        <v>22</v>
      </c>
      <c r="O646" t="str">
        <f>VLOOKUP(Table1[[#This Row],[Order ID]],Status!A:B, 2,FALSE)</f>
        <v>Completed</v>
      </c>
      <c r="P646" s="2" t="s">
        <v>30</v>
      </c>
      <c r="Q646" s="2">
        <v>1</v>
      </c>
      <c r="R646" s="2" t="s">
        <v>24</v>
      </c>
      <c r="S646" s="11" t="str">
        <f t="shared" si="53"/>
        <v>Rendah</v>
      </c>
      <c r="T646" s="2" t="str">
        <f t="shared" si="54"/>
        <v>Sangat Rendah</v>
      </c>
    </row>
    <row r="647" spans="1:20" ht="15.75" customHeight="1" x14ac:dyDescent="0.3">
      <c r="A647" s="4" t="s">
        <v>1736</v>
      </c>
      <c r="B647" s="3">
        <v>45804.007256944453</v>
      </c>
      <c r="C647" s="2" t="s">
        <v>431</v>
      </c>
      <c r="D647" s="2" t="s">
        <v>33</v>
      </c>
      <c r="E647" s="2" t="s">
        <v>34</v>
      </c>
      <c r="F647" s="2">
        <v>16000</v>
      </c>
      <c r="G647" s="2">
        <v>3</v>
      </c>
      <c r="H647" s="2">
        <v>15</v>
      </c>
      <c r="I647">
        <f t="shared" si="50"/>
        <v>48000</v>
      </c>
      <c r="J647">
        <f t="shared" si="51"/>
        <v>7200</v>
      </c>
      <c r="K647" s="6">
        <f t="shared" si="52"/>
        <v>40800</v>
      </c>
      <c r="L647" s="2">
        <v>76000</v>
      </c>
      <c r="M647" s="6">
        <f>Table1[[#This Row],[Total Sales]]+Table1[[#This Row],[Shipping Fee]]</f>
        <v>116800</v>
      </c>
      <c r="N647" s="2" t="s">
        <v>35</v>
      </c>
      <c r="O647" t="str">
        <f>VLOOKUP(Table1[[#This Row],[Order ID]],Status!A:B, 2,FALSE)</f>
        <v>Completed</v>
      </c>
      <c r="P647" s="2" t="s">
        <v>36</v>
      </c>
      <c r="Q647" s="2">
        <v>2</v>
      </c>
      <c r="R647" s="2" t="s">
        <v>24</v>
      </c>
      <c r="S647" s="11" t="str">
        <f t="shared" si="53"/>
        <v>Rendah</v>
      </c>
      <c r="T647" s="2" t="str">
        <f t="shared" si="54"/>
        <v>Rendah</v>
      </c>
    </row>
    <row r="648" spans="1:20" ht="15.75" customHeight="1" x14ac:dyDescent="0.3">
      <c r="A648" s="4" t="s">
        <v>1735</v>
      </c>
      <c r="B648" s="3">
        <v>45803.98578703704</v>
      </c>
      <c r="C648" s="2" t="s">
        <v>184</v>
      </c>
      <c r="D648" s="2" t="s">
        <v>103</v>
      </c>
      <c r="E648" s="2" t="s">
        <v>34</v>
      </c>
      <c r="F648" s="2">
        <v>16000</v>
      </c>
      <c r="G648" s="2">
        <v>4</v>
      </c>
      <c r="H648" s="2">
        <v>5</v>
      </c>
      <c r="I648">
        <f t="shared" si="50"/>
        <v>64000</v>
      </c>
      <c r="J648">
        <f t="shared" si="51"/>
        <v>3200</v>
      </c>
      <c r="K648" s="6">
        <f t="shared" si="52"/>
        <v>60800</v>
      </c>
      <c r="L648" s="2">
        <v>85000</v>
      </c>
      <c r="M648" s="6">
        <f>Table1[[#This Row],[Total Sales]]+Table1[[#This Row],[Shipping Fee]]</f>
        <v>145800</v>
      </c>
      <c r="N648" s="2" t="s">
        <v>29</v>
      </c>
      <c r="O648" t="str">
        <f>VLOOKUP(Table1[[#This Row],[Order ID]],Status!A:B, 2,FALSE)</f>
        <v>Completed</v>
      </c>
      <c r="P648" s="2" t="s">
        <v>36</v>
      </c>
      <c r="Q648" s="2">
        <v>4</v>
      </c>
      <c r="R648" s="2" t="s">
        <v>24</v>
      </c>
      <c r="S648" s="11" t="str">
        <f t="shared" si="53"/>
        <v>Bagus</v>
      </c>
      <c r="T648" s="2" t="str">
        <f t="shared" si="54"/>
        <v>Sangat Rendah</v>
      </c>
    </row>
    <row r="649" spans="1:20" ht="15.75" customHeight="1" x14ac:dyDescent="0.3">
      <c r="A649" s="4" t="s">
        <v>1734</v>
      </c>
      <c r="B649" s="3">
        <v>45803.584502314807</v>
      </c>
      <c r="C649" s="2" t="s">
        <v>1173</v>
      </c>
      <c r="D649" s="2" t="s">
        <v>170</v>
      </c>
      <c r="E649" s="2" t="s">
        <v>45</v>
      </c>
      <c r="F649" s="2">
        <v>40000</v>
      </c>
      <c r="G649" s="2">
        <v>4</v>
      </c>
      <c r="H649" s="2">
        <v>20</v>
      </c>
      <c r="I649">
        <f t="shared" si="50"/>
        <v>160000</v>
      </c>
      <c r="J649">
        <f t="shared" si="51"/>
        <v>32000</v>
      </c>
      <c r="K649" s="6">
        <f t="shared" si="52"/>
        <v>128000</v>
      </c>
      <c r="L649" s="2">
        <v>46000</v>
      </c>
      <c r="M649" s="6">
        <f>Table1[[#This Row],[Total Sales]]+Table1[[#This Row],[Shipping Fee]]</f>
        <v>174000</v>
      </c>
      <c r="N649" s="2" t="s">
        <v>22</v>
      </c>
      <c r="O649" t="str">
        <f>VLOOKUP(Table1[[#This Row],[Order ID]],Status!A:B, 2,FALSE)</f>
        <v>Returned</v>
      </c>
      <c r="P649" s="2" t="s">
        <v>46</v>
      </c>
      <c r="Q649" s="2">
        <v>2</v>
      </c>
      <c r="R649" s="2" t="s">
        <v>24</v>
      </c>
      <c r="S649" s="11" t="str">
        <f t="shared" si="53"/>
        <v>Rendah</v>
      </c>
      <c r="T649" s="2" t="str">
        <f t="shared" si="54"/>
        <v>Tinggi</v>
      </c>
    </row>
    <row r="650" spans="1:20" ht="15.75" customHeight="1" x14ac:dyDescent="0.3">
      <c r="A650" s="4" t="s">
        <v>1733</v>
      </c>
      <c r="B650" s="3">
        <v>45803.279699074083</v>
      </c>
      <c r="C650" s="2" t="s">
        <v>741</v>
      </c>
      <c r="D650" s="2" t="s">
        <v>189</v>
      </c>
      <c r="E650" s="2" t="s">
        <v>81</v>
      </c>
      <c r="F650" s="2">
        <v>17000</v>
      </c>
      <c r="G650" s="2">
        <v>2</v>
      </c>
      <c r="H650" s="2">
        <v>10</v>
      </c>
      <c r="I650">
        <f t="shared" si="50"/>
        <v>34000</v>
      </c>
      <c r="J650">
        <f t="shared" si="51"/>
        <v>3400</v>
      </c>
      <c r="K650" s="6">
        <f t="shared" si="52"/>
        <v>30600</v>
      </c>
      <c r="L650" s="2">
        <v>57000</v>
      </c>
      <c r="M650" s="6">
        <f>Table1[[#This Row],[Total Sales]]+Table1[[#This Row],[Shipping Fee]]</f>
        <v>87600</v>
      </c>
      <c r="N650" s="2" t="s">
        <v>29</v>
      </c>
      <c r="O650" t="str">
        <f>VLOOKUP(Table1[[#This Row],[Order ID]],Status!A:B, 2,FALSE)</f>
        <v>Completed</v>
      </c>
      <c r="P650" s="2" t="s">
        <v>23</v>
      </c>
      <c r="Q650" s="2">
        <v>3</v>
      </c>
      <c r="R650" s="2" t="s">
        <v>24</v>
      </c>
      <c r="S650" s="11" t="str">
        <f t="shared" si="53"/>
        <v>Standar</v>
      </c>
      <c r="T650" s="2" t="str">
        <f t="shared" si="54"/>
        <v>Sangat Rendah</v>
      </c>
    </row>
    <row r="651" spans="1:20" ht="15.75" customHeight="1" x14ac:dyDescent="0.3">
      <c r="A651" s="4" t="s">
        <v>1732</v>
      </c>
      <c r="B651" s="3">
        <v>45803.195162037038</v>
      </c>
      <c r="C651" s="2" t="s">
        <v>197</v>
      </c>
      <c r="D651" s="2" t="s">
        <v>119</v>
      </c>
      <c r="E651" s="2" t="s">
        <v>50</v>
      </c>
      <c r="F651" s="2">
        <v>14000</v>
      </c>
      <c r="G651" s="2">
        <v>1</v>
      </c>
      <c r="H651" s="2">
        <v>10</v>
      </c>
      <c r="I651">
        <f t="shared" si="50"/>
        <v>14000</v>
      </c>
      <c r="J651">
        <f t="shared" si="51"/>
        <v>1400</v>
      </c>
      <c r="K651" s="6">
        <f t="shared" si="52"/>
        <v>12600</v>
      </c>
      <c r="L651" s="2">
        <v>0</v>
      </c>
      <c r="M651" s="6">
        <f>Table1[[#This Row],[Total Sales]]+Table1[[#This Row],[Shipping Fee]]</f>
        <v>12600</v>
      </c>
      <c r="N651" s="2" t="s">
        <v>29</v>
      </c>
      <c r="O651" t="str">
        <f>VLOOKUP(Table1[[#This Row],[Order ID]],Status!A:B, 2,FALSE)</f>
        <v>Completed</v>
      </c>
      <c r="P651" s="2" t="s">
        <v>46</v>
      </c>
      <c r="Q651" s="2">
        <v>4</v>
      </c>
      <c r="R651" s="2" t="s">
        <v>37</v>
      </c>
      <c r="S651" s="11" t="str">
        <f t="shared" si="53"/>
        <v>Bagus</v>
      </c>
      <c r="T651" s="2" t="str">
        <f t="shared" si="54"/>
        <v>Sangat Rendah</v>
      </c>
    </row>
    <row r="652" spans="1:20" ht="15.75" customHeight="1" x14ac:dyDescent="0.3">
      <c r="A652" s="4" t="s">
        <v>1731</v>
      </c>
      <c r="B652" s="3">
        <v>45803.139768518522</v>
      </c>
      <c r="C652" s="2" t="s">
        <v>287</v>
      </c>
      <c r="D652" s="2" t="s">
        <v>262</v>
      </c>
      <c r="E652" s="2" t="s">
        <v>58</v>
      </c>
      <c r="F652" s="2">
        <v>16000</v>
      </c>
      <c r="G652" s="2">
        <v>5</v>
      </c>
      <c r="H652" s="2">
        <v>15</v>
      </c>
      <c r="I652">
        <f t="shared" si="50"/>
        <v>80000</v>
      </c>
      <c r="J652">
        <f t="shared" si="51"/>
        <v>12000</v>
      </c>
      <c r="K652" s="6">
        <f t="shared" si="52"/>
        <v>68000</v>
      </c>
      <c r="L652" s="2">
        <v>18000</v>
      </c>
      <c r="M652" s="6">
        <f>Table1[[#This Row],[Total Sales]]+Table1[[#This Row],[Shipping Fee]]</f>
        <v>86000</v>
      </c>
      <c r="N652" s="2" t="s">
        <v>63</v>
      </c>
      <c r="O652" t="str">
        <f>VLOOKUP(Table1[[#This Row],[Order ID]],Status!A:B, 2,FALSE)</f>
        <v>Completed</v>
      </c>
      <c r="P652" s="2" t="s">
        <v>30</v>
      </c>
      <c r="Q652" s="2">
        <v>5</v>
      </c>
      <c r="R652" s="2" t="s">
        <v>24</v>
      </c>
      <c r="S652" s="11" t="str">
        <f t="shared" si="53"/>
        <v>Bagus</v>
      </c>
      <c r="T652" s="2" t="str">
        <f t="shared" si="54"/>
        <v>Normal</v>
      </c>
    </row>
    <row r="653" spans="1:20" ht="15.75" customHeight="1" x14ac:dyDescent="0.3">
      <c r="A653" s="4" t="s">
        <v>1730</v>
      </c>
      <c r="B653" s="3">
        <v>45803.117256944453</v>
      </c>
      <c r="C653" s="2" t="s">
        <v>318</v>
      </c>
      <c r="D653" s="2" t="s">
        <v>244</v>
      </c>
      <c r="E653" s="2" t="s">
        <v>110</v>
      </c>
      <c r="F653" s="2">
        <v>6000</v>
      </c>
      <c r="G653" s="2">
        <v>4</v>
      </c>
      <c r="H653" s="2">
        <v>0</v>
      </c>
      <c r="I653">
        <f t="shared" si="50"/>
        <v>24000</v>
      </c>
      <c r="J653">
        <f t="shared" si="51"/>
        <v>0</v>
      </c>
      <c r="K653" s="6">
        <f t="shared" si="52"/>
        <v>24000</v>
      </c>
      <c r="L653" s="2">
        <v>80000</v>
      </c>
      <c r="M653" s="6">
        <f>Table1[[#This Row],[Total Sales]]+Table1[[#This Row],[Shipping Fee]]</f>
        <v>104000</v>
      </c>
      <c r="N653" s="2" t="s">
        <v>22</v>
      </c>
      <c r="O653" t="str">
        <f>VLOOKUP(Table1[[#This Row],[Order ID]],Status!A:B, 2,FALSE)</f>
        <v>Cancelled</v>
      </c>
      <c r="P653" s="2" t="s">
        <v>36</v>
      </c>
      <c r="Q653" s="2">
        <v>1</v>
      </c>
      <c r="R653" s="2" t="s">
        <v>37</v>
      </c>
      <c r="S653" s="11" t="str">
        <f t="shared" si="53"/>
        <v>Rendah</v>
      </c>
      <c r="T653" s="2" t="str">
        <f t="shared" si="54"/>
        <v>Sangat Rendah</v>
      </c>
    </row>
    <row r="654" spans="1:20" ht="15.75" customHeight="1" x14ac:dyDescent="0.3">
      <c r="A654" s="4" t="s">
        <v>1730</v>
      </c>
      <c r="B654" s="3">
        <v>45803.117256944453</v>
      </c>
      <c r="C654" s="2" t="s">
        <v>318</v>
      </c>
      <c r="D654" s="2" t="s">
        <v>244</v>
      </c>
      <c r="E654" s="2" t="s">
        <v>62</v>
      </c>
      <c r="F654" s="2">
        <v>50000</v>
      </c>
      <c r="G654" s="2">
        <v>3</v>
      </c>
      <c r="H654" s="2">
        <v>10</v>
      </c>
      <c r="I654">
        <f t="shared" si="50"/>
        <v>150000</v>
      </c>
      <c r="J654">
        <f t="shared" si="51"/>
        <v>15000</v>
      </c>
      <c r="K654" s="6">
        <f t="shared" si="52"/>
        <v>135000</v>
      </c>
      <c r="L654" s="2">
        <v>0</v>
      </c>
      <c r="M654" s="6">
        <f>Table1[[#This Row],[Total Sales]]+Table1[[#This Row],[Shipping Fee]]</f>
        <v>135000</v>
      </c>
      <c r="N654" s="2" t="s">
        <v>22</v>
      </c>
      <c r="O654" t="str">
        <f>VLOOKUP(Table1[[#This Row],[Order ID]],Status!A:B, 2,FALSE)</f>
        <v>Cancelled</v>
      </c>
      <c r="P654" s="2" t="s">
        <v>36</v>
      </c>
      <c r="Q654" s="2">
        <v>1</v>
      </c>
      <c r="R654" s="2" t="s">
        <v>37</v>
      </c>
      <c r="S654" s="11" t="str">
        <f t="shared" si="53"/>
        <v>Rendah</v>
      </c>
      <c r="T654" s="2" t="str">
        <f t="shared" si="54"/>
        <v>Normal</v>
      </c>
    </row>
    <row r="655" spans="1:20" ht="15.75" customHeight="1" x14ac:dyDescent="0.3">
      <c r="A655" s="4" t="s">
        <v>1729</v>
      </c>
      <c r="B655" s="3">
        <v>45803.088113425933</v>
      </c>
      <c r="C655" s="2" t="s">
        <v>1293</v>
      </c>
      <c r="D655" s="2" t="s">
        <v>44</v>
      </c>
      <c r="E655" s="2" t="s">
        <v>58</v>
      </c>
      <c r="F655" s="2">
        <v>16000</v>
      </c>
      <c r="G655" s="2">
        <v>2</v>
      </c>
      <c r="H655" s="2">
        <v>5</v>
      </c>
      <c r="I655">
        <f t="shared" si="50"/>
        <v>32000</v>
      </c>
      <c r="J655">
        <f t="shared" si="51"/>
        <v>1600</v>
      </c>
      <c r="K655" s="6">
        <f t="shared" si="52"/>
        <v>30400</v>
      </c>
      <c r="L655" s="2">
        <v>93000</v>
      </c>
      <c r="M655" s="6">
        <f>Table1[[#This Row],[Total Sales]]+Table1[[#This Row],[Shipping Fee]]</f>
        <v>123400</v>
      </c>
      <c r="N655" s="2" t="s">
        <v>63</v>
      </c>
      <c r="O655" t="str">
        <f>VLOOKUP(Table1[[#This Row],[Order ID]],Status!A:B, 2,FALSE)</f>
        <v>Completed</v>
      </c>
      <c r="P655" s="2" t="s">
        <v>82</v>
      </c>
      <c r="Q655" s="2">
        <v>1</v>
      </c>
      <c r="R655" s="2" t="s">
        <v>24</v>
      </c>
      <c r="S655" s="11" t="str">
        <f t="shared" si="53"/>
        <v>Rendah</v>
      </c>
      <c r="T655" s="2" t="str">
        <f t="shared" si="54"/>
        <v>Sangat Rendah</v>
      </c>
    </row>
    <row r="656" spans="1:20" ht="15.75" customHeight="1" x14ac:dyDescent="0.3">
      <c r="A656" s="4" t="s">
        <v>1728</v>
      </c>
      <c r="B656" s="3">
        <v>45802.923831018517</v>
      </c>
      <c r="C656" s="2" t="s">
        <v>398</v>
      </c>
      <c r="D656" s="2" t="s">
        <v>182</v>
      </c>
      <c r="E656" s="2" t="s">
        <v>136</v>
      </c>
      <c r="F656" s="2">
        <v>12000</v>
      </c>
      <c r="G656" s="2">
        <v>1</v>
      </c>
      <c r="H656" s="2">
        <v>10</v>
      </c>
      <c r="I656">
        <f t="shared" si="50"/>
        <v>12000</v>
      </c>
      <c r="J656">
        <f t="shared" si="51"/>
        <v>1200</v>
      </c>
      <c r="K656" s="6">
        <f t="shared" si="52"/>
        <v>10800</v>
      </c>
      <c r="L656" s="2">
        <v>48000</v>
      </c>
      <c r="M656" s="6">
        <f>Table1[[#This Row],[Total Sales]]+Table1[[#This Row],[Shipping Fee]]</f>
        <v>58800</v>
      </c>
      <c r="N656" s="2" t="s">
        <v>63</v>
      </c>
      <c r="O656" t="str">
        <f>VLOOKUP(Table1[[#This Row],[Order ID]],Status!A:B, 2,FALSE)</f>
        <v>Completed</v>
      </c>
      <c r="P656" s="2" t="s">
        <v>82</v>
      </c>
      <c r="Q656" s="2">
        <v>2</v>
      </c>
      <c r="R656" s="2" t="s">
        <v>24</v>
      </c>
      <c r="S656" s="11" t="str">
        <f t="shared" si="53"/>
        <v>Rendah</v>
      </c>
      <c r="T656" s="2" t="str">
        <f t="shared" si="54"/>
        <v>Sangat Rendah</v>
      </c>
    </row>
    <row r="657" spans="1:20" ht="15.75" customHeight="1" x14ac:dyDescent="0.3">
      <c r="A657" s="4" t="s">
        <v>1727</v>
      </c>
      <c r="B657" s="3">
        <v>45802.920034722221</v>
      </c>
      <c r="C657" s="2" t="s">
        <v>786</v>
      </c>
      <c r="D657" s="2" t="s">
        <v>107</v>
      </c>
      <c r="E657" s="2" t="s">
        <v>136</v>
      </c>
      <c r="F657" s="2">
        <v>12000</v>
      </c>
      <c r="G657" s="2">
        <v>3</v>
      </c>
      <c r="H657" s="2">
        <v>0</v>
      </c>
      <c r="I657">
        <f t="shared" si="50"/>
        <v>36000</v>
      </c>
      <c r="J657">
        <f t="shared" si="51"/>
        <v>0</v>
      </c>
      <c r="K657" s="6">
        <f t="shared" si="52"/>
        <v>36000</v>
      </c>
      <c r="L657" s="2">
        <v>97000</v>
      </c>
      <c r="M657" s="6">
        <f>Table1[[#This Row],[Total Sales]]+Table1[[#This Row],[Shipping Fee]]</f>
        <v>133000</v>
      </c>
      <c r="N657" s="2" t="s">
        <v>22</v>
      </c>
      <c r="O657" t="str">
        <f>VLOOKUP(Table1[[#This Row],[Order ID]],Status!A:B, 2,FALSE)</f>
        <v>Completed</v>
      </c>
      <c r="P657" s="2" t="s">
        <v>46</v>
      </c>
      <c r="Q657" s="2">
        <v>1</v>
      </c>
      <c r="R657" s="2" t="s">
        <v>24</v>
      </c>
      <c r="S657" s="11" t="str">
        <f t="shared" si="53"/>
        <v>Rendah</v>
      </c>
      <c r="T657" s="2" t="str">
        <f t="shared" si="54"/>
        <v>Sangat Rendah</v>
      </c>
    </row>
    <row r="658" spans="1:20" ht="15.75" customHeight="1" x14ac:dyDescent="0.3">
      <c r="A658" s="4" t="s">
        <v>1726</v>
      </c>
      <c r="B658" s="3">
        <v>45802.77516203704</v>
      </c>
      <c r="C658" s="2" t="s">
        <v>275</v>
      </c>
      <c r="D658" s="2" t="s">
        <v>96</v>
      </c>
      <c r="E658" s="2" t="s">
        <v>62</v>
      </c>
      <c r="F658" s="2">
        <v>50000</v>
      </c>
      <c r="G658" s="2">
        <v>1</v>
      </c>
      <c r="H658" s="2">
        <v>20</v>
      </c>
      <c r="I658">
        <f t="shared" si="50"/>
        <v>50000</v>
      </c>
      <c r="J658">
        <f t="shared" si="51"/>
        <v>10000</v>
      </c>
      <c r="K658" s="6">
        <f t="shared" si="52"/>
        <v>40000</v>
      </c>
      <c r="L658" s="2">
        <v>49000</v>
      </c>
      <c r="M658" s="6">
        <f>Table1[[#This Row],[Total Sales]]+Table1[[#This Row],[Shipping Fee]]</f>
        <v>89000</v>
      </c>
      <c r="N658" s="2" t="s">
        <v>29</v>
      </c>
      <c r="O658" t="str">
        <f>VLOOKUP(Table1[[#This Row],[Order ID]],Status!A:B, 2,FALSE)</f>
        <v>Returned</v>
      </c>
      <c r="P658" s="2" t="s">
        <v>36</v>
      </c>
      <c r="Q658" s="2">
        <v>4</v>
      </c>
      <c r="R658" s="2" t="s">
        <v>24</v>
      </c>
      <c r="S658" s="11" t="str">
        <f t="shared" si="53"/>
        <v>Bagus</v>
      </c>
      <c r="T658" s="2" t="str">
        <f t="shared" si="54"/>
        <v>Rendah</v>
      </c>
    </row>
    <row r="659" spans="1:20" ht="15.75" customHeight="1" x14ac:dyDescent="0.3">
      <c r="A659" s="4" t="s">
        <v>1725</v>
      </c>
      <c r="B659" s="3">
        <v>45802.660081018519</v>
      </c>
      <c r="C659" s="2" t="s">
        <v>43</v>
      </c>
      <c r="D659" s="2" t="s">
        <v>44</v>
      </c>
      <c r="E659" s="2" t="s">
        <v>174</v>
      </c>
      <c r="F659" s="2">
        <v>10000</v>
      </c>
      <c r="G659" s="2">
        <v>1</v>
      </c>
      <c r="H659" s="2">
        <v>10</v>
      </c>
      <c r="I659">
        <f t="shared" si="50"/>
        <v>10000</v>
      </c>
      <c r="J659">
        <f t="shared" si="51"/>
        <v>1000</v>
      </c>
      <c r="K659" s="6">
        <f t="shared" si="52"/>
        <v>9000</v>
      </c>
      <c r="L659" s="2">
        <v>93000</v>
      </c>
      <c r="M659" s="6">
        <f>Table1[[#This Row],[Total Sales]]+Table1[[#This Row],[Shipping Fee]]</f>
        <v>102000</v>
      </c>
      <c r="N659" s="2" t="s">
        <v>35</v>
      </c>
      <c r="O659" t="str">
        <f>VLOOKUP(Table1[[#This Row],[Order ID]],Status!A:B, 2,FALSE)</f>
        <v>Returned</v>
      </c>
      <c r="P659" s="2" t="s">
        <v>46</v>
      </c>
      <c r="Q659" s="2">
        <v>5</v>
      </c>
      <c r="R659" s="2" t="s">
        <v>24</v>
      </c>
      <c r="S659" s="11" t="str">
        <f t="shared" si="53"/>
        <v>Bagus</v>
      </c>
      <c r="T659" s="2" t="str">
        <f t="shared" si="54"/>
        <v>Sangat Rendah</v>
      </c>
    </row>
    <row r="660" spans="1:20" ht="15.75" customHeight="1" x14ac:dyDescent="0.3">
      <c r="A660" s="4" t="s">
        <v>1724</v>
      </c>
      <c r="B660" s="3">
        <v>45802.656712962962</v>
      </c>
      <c r="C660" s="2" t="s">
        <v>118</v>
      </c>
      <c r="D660" s="2" t="s">
        <v>119</v>
      </c>
      <c r="E660" s="2" t="s">
        <v>110</v>
      </c>
      <c r="F660" s="2">
        <v>6000</v>
      </c>
      <c r="G660" s="2">
        <v>5</v>
      </c>
      <c r="H660" s="2">
        <v>10</v>
      </c>
      <c r="I660">
        <f t="shared" si="50"/>
        <v>30000</v>
      </c>
      <c r="J660">
        <f t="shared" si="51"/>
        <v>3000</v>
      </c>
      <c r="K660" s="6">
        <f t="shared" si="52"/>
        <v>27000</v>
      </c>
      <c r="L660" s="2">
        <v>0</v>
      </c>
      <c r="M660" s="6">
        <f>Table1[[#This Row],[Total Sales]]+Table1[[#This Row],[Shipping Fee]]</f>
        <v>27000</v>
      </c>
      <c r="N660" s="2" t="s">
        <v>22</v>
      </c>
      <c r="O660" t="str">
        <f>VLOOKUP(Table1[[#This Row],[Order ID]],Status!A:B, 2,FALSE)</f>
        <v>Completed</v>
      </c>
      <c r="P660" s="2" t="s">
        <v>23</v>
      </c>
      <c r="Q660" s="2">
        <v>3</v>
      </c>
      <c r="R660" s="2" t="s">
        <v>24</v>
      </c>
      <c r="S660" s="11" t="str">
        <f t="shared" si="53"/>
        <v>Standar</v>
      </c>
      <c r="T660" s="2" t="str">
        <f t="shared" si="54"/>
        <v>Sangat Rendah</v>
      </c>
    </row>
    <row r="661" spans="1:20" ht="15.75" customHeight="1" x14ac:dyDescent="0.3">
      <c r="A661" s="4" t="s">
        <v>1723</v>
      </c>
      <c r="B661" s="3">
        <v>45802.638159722221</v>
      </c>
      <c r="C661" s="2" t="s">
        <v>748</v>
      </c>
      <c r="D661" s="2" t="s">
        <v>160</v>
      </c>
      <c r="E661" s="2" t="s">
        <v>21</v>
      </c>
      <c r="F661" s="2">
        <v>45000</v>
      </c>
      <c r="G661" s="2">
        <v>5</v>
      </c>
      <c r="H661" s="2">
        <v>15</v>
      </c>
      <c r="I661">
        <f t="shared" si="50"/>
        <v>225000</v>
      </c>
      <c r="J661">
        <f t="shared" si="51"/>
        <v>33750</v>
      </c>
      <c r="K661" s="6">
        <f t="shared" si="52"/>
        <v>191250</v>
      </c>
      <c r="L661" s="2">
        <v>68000</v>
      </c>
      <c r="M661" s="6">
        <f>Table1[[#This Row],[Total Sales]]+Table1[[#This Row],[Shipping Fee]]</f>
        <v>259250</v>
      </c>
      <c r="N661" s="2" t="s">
        <v>29</v>
      </c>
      <c r="O661" t="str">
        <f>VLOOKUP(Table1[[#This Row],[Order ID]],Status!A:B, 2,FALSE)</f>
        <v>Completed</v>
      </c>
      <c r="P661" s="2" t="s">
        <v>23</v>
      </c>
      <c r="Q661" s="2">
        <v>4</v>
      </c>
      <c r="R661" s="2" t="s">
        <v>24</v>
      </c>
      <c r="S661" s="11" t="str">
        <f t="shared" si="53"/>
        <v>Bagus</v>
      </c>
      <c r="T661" s="2" t="str">
        <f t="shared" si="54"/>
        <v>Tinggi</v>
      </c>
    </row>
    <row r="662" spans="1:20" ht="15.75" customHeight="1" x14ac:dyDescent="0.3">
      <c r="A662" s="4" t="s">
        <v>1722</v>
      </c>
      <c r="B662" s="3">
        <v>45802.425787037027</v>
      </c>
      <c r="C662" s="2" t="s">
        <v>205</v>
      </c>
      <c r="D662" s="2" t="s">
        <v>96</v>
      </c>
      <c r="E662" s="2" t="s">
        <v>144</v>
      </c>
      <c r="F662" s="2">
        <v>18000</v>
      </c>
      <c r="G662" s="2">
        <v>3</v>
      </c>
      <c r="H662" s="2">
        <v>0</v>
      </c>
      <c r="I662">
        <f t="shared" si="50"/>
        <v>54000</v>
      </c>
      <c r="J662">
        <f t="shared" si="51"/>
        <v>0</v>
      </c>
      <c r="K662" s="6">
        <f t="shared" si="52"/>
        <v>54000</v>
      </c>
      <c r="L662" s="2">
        <v>49000</v>
      </c>
      <c r="M662" s="6">
        <f>Table1[[#This Row],[Total Sales]]+Table1[[#This Row],[Shipping Fee]]</f>
        <v>103000</v>
      </c>
      <c r="N662" s="2" t="s">
        <v>63</v>
      </c>
      <c r="O662" t="str">
        <f>VLOOKUP(Table1[[#This Row],[Order ID]],Status!A:B, 2,FALSE)</f>
        <v>Returned</v>
      </c>
      <c r="P662" s="2" t="s">
        <v>82</v>
      </c>
      <c r="Q662" s="2">
        <v>2</v>
      </c>
      <c r="R662" s="2" t="s">
        <v>24</v>
      </c>
      <c r="S662" s="11" t="str">
        <f t="shared" si="53"/>
        <v>Rendah</v>
      </c>
      <c r="T662" s="2" t="str">
        <f t="shared" si="54"/>
        <v>Sangat Rendah</v>
      </c>
    </row>
    <row r="663" spans="1:20" ht="15.75" customHeight="1" x14ac:dyDescent="0.3">
      <c r="A663" s="4" t="s">
        <v>1721</v>
      </c>
      <c r="B663" s="3">
        <v>45801.997141203698</v>
      </c>
      <c r="C663" s="2" t="s">
        <v>220</v>
      </c>
      <c r="D663" s="2" t="s">
        <v>53</v>
      </c>
      <c r="E663" s="2" t="s">
        <v>50</v>
      </c>
      <c r="F663" s="2">
        <v>14000</v>
      </c>
      <c r="G663" s="2">
        <v>5</v>
      </c>
      <c r="H663" s="2">
        <v>15</v>
      </c>
      <c r="I663">
        <f t="shared" si="50"/>
        <v>70000</v>
      </c>
      <c r="J663">
        <f t="shared" si="51"/>
        <v>10500</v>
      </c>
      <c r="K663" s="6">
        <f t="shared" si="52"/>
        <v>59500</v>
      </c>
      <c r="L663" s="2">
        <v>18000</v>
      </c>
      <c r="M663" s="6">
        <f>Table1[[#This Row],[Total Sales]]+Table1[[#This Row],[Shipping Fee]]</f>
        <v>77500</v>
      </c>
      <c r="N663" s="2" t="s">
        <v>35</v>
      </c>
      <c r="O663" t="str">
        <f>VLOOKUP(Table1[[#This Row],[Order ID]],Status!A:B, 2,FALSE)</f>
        <v>Completed</v>
      </c>
      <c r="P663" s="2" t="s">
        <v>23</v>
      </c>
      <c r="Q663" s="2">
        <v>4</v>
      </c>
      <c r="R663" s="2" t="s">
        <v>24</v>
      </c>
      <c r="S663" s="11" t="str">
        <f t="shared" si="53"/>
        <v>Bagus</v>
      </c>
      <c r="T663" s="2" t="str">
        <f t="shared" si="54"/>
        <v>Normal</v>
      </c>
    </row>
    <row r="664" spans="1:20" ht="15.75" customHeight="1" x14ac:dyDescent="0.3">
      <c r="A664" s="4" t="s">
        <v>1720</v>
      </c>
      <c r="B664" s="3">
        <v>45801.808657407397</v>
      </c>
      <c r="C664" s="2" t="s">
        <v>1436</v>
      </c>
      <c r="D664" s="2" t="s">
        <v>119</v>
      </c>
      <c r="E664" s="2" t="s">
        <v>54</v>
      </c>
      <c r="F664" s="2">
        <v>16000</v>
      </c>
      <c r="G664" s="2">
        <v>5</v>
      </c>
      <c r="H664" s="2">
        <v>0</v>
      </c>
      <c r="I664">
        <f t="shared" si="50"/>
        <v>80000</v>
      </c>
      <c r="J664">
        <f t="shared" si="51"/>
        <v>0</v>
      </c>
      <c r="K664" s="6">
        <f t="shared" si="52"/>
        <v>80000</v>
      </c>
      <c r="L664" s="2">
        <v>0</v>
      </c>
      <c r="M664" s="6">
        <f>Table1[[#This Row],[Total Sales]]+Table1[[#This Row],[Shipping Fee]]</f>
        <v>80000</v>
      </c>
      <c r="N664" s="2" t="s">
        <v>29</v>
      </c>
      <c r="O664" t="str">
        <f>VLOOKUP(Table1[[#This Row],[Order ID]],Status!A:B, 2,FALSE)</f>
        <v>Completed</v>
      </c>
      <c r="P664" s="2" t="s">
        <v>36</v>
      </c>
      <c r="Q664" s="2">
        <v>5</v>
      </c>
      <c r="R664" s="2" t="s">
        <v>24</v>
      </c>
      <c r="S664" s="11" t="str">
        <f t="shared" si="53"/>
        <v>Bagus</v>
      </c>
      <c r="T664" s="2" t="str">
        <f t="shared" si="54"/>
        <v>Sangat Rendah</v>
      </c>
    </row>
    <row r="665" spans="1:20" ht="15.75" customHeight="1" x14ac:dyDescent="0.3">
      <c r="A665" s="4" t="s">
        <v>1719</v>
      </c>
      <c r="B665" s="3">
        <v>45801.76462962963</v>
      </c>
      <c r="C665" s="2" t="s">
        <v>207</v>
      </c>
      <c r="D665" s="2" t="s">
        <v>96</v>
      </c>
      <c r="E665" s="2" t="s">
        <v>138</v>
      </c>
      <c r="F665" s="2">
        <v>17000</v>
      </c>
      <c r="G665" s="2">
        <v>3</v>
      </c>
      <c r="H665" s="2">
        <v>0</v>
      </c>
      <c r="I665">
        <f t="shared" si="50"/>
        <v>51000</v>
      </c>
      <c r="J665">
        <f t="shared" si="51"/>
        <v>0</v>
      </c>
      <c r="K665" s="6">
        <f t="shared" si="52"/>
        <v>51000</v>
      </c>
      <c r="L665" s="2">
        <v>49000</v>
      </c>
      <c r="M665" s="6">
        <f>Table1[[#This Row],[Total Sales]]+Table1[[#This Row],[Shipping Fee]]</f>
        <v>100000</v>
      </c>
      <c r="N665" s="2" t="s">
        <v>29</v>
      </c>
      <c r="O665" t="str">
        <f>VLOOKUP(Table1[[#This Row],[Order ID]],Status!A:B, 2,FALSE)</f>
        <v>Returned</v>
      </c>
      <c r="P665" s="2" t="s">
        <v>82</v>
      </c>
      <c r="Q665" s="2">
        <v>5</v>
      </c>
      <c r="R665" s="2" t="s">
        <v>24</v>
      </c>
      <c r="S665" s="11" t="str">
        <f t="shared" si="53"/>
        <v>Bagus</v>
      </c>
      <c r="T665" s="2" t="str">
        <f t="shared" si="54"/>
        <v>Sangat Rendah</v>
      </c>
    </row>
    <row r="666" spans="1:20" ht="15.75" customHeight="1" x14ac:dyDescent="0.3">
      <c r="A666" s="4" t="s">
        <v>1718</v>
      </c>
      <c r="B666" s="3">
        <v>45801.344710648147</v>
      </c>
      <c r="C666" s="2" t="s">
        <v>333</v>
      </c>
      <c r="D666" s="2" t="s">
        <v>107</v>
      </c>
      <c r="E666" s="2" t="s">
        <v>28</v>
      </c>
      <c r="F666" s="2">
        <v>5000</v>
      </c>
      <c r="G666" s="2">
        <v>3</v>
      </c>
      <c r="H666" s="2">
        <v>10</v>
      </c>
      <c r="I666">
        <f t="shared" si="50"/>
        <v>15000</v>
      </c>
      <c r="J666">
        <f t="shared" si="51"/>
        <v>1500</v>
      </c>
      <c r="K666" s="6">
        <f t="shared" si="52"/>
        <v>13500</v>
      </c>
      <c r="L666" s="2">
        <v>97000</v>
      </c>
      <c r="M666" s="6">
        <f>Table1[[#This Row],[Total Sales]]+Table1[[#This Row],[Shipping Fee]]</f>
        <v>110500</v>
      </c>
      <c r="N666" s="2" t="s">
        <v>35</v>
      </c>
      <c r="O666" t="str">
        <f>VLOOKUP(Table1[[#This Row],[Order ID]],Status!A:B, 2,FALSE)</f>
        <v>Completed</v>
      </c>
      <c r="P666" s="2" t="s">
        <v>82</v>
      </c>
      <c r="Q666" s="2">
        <v>2</v>
      </c>
      <c r="R666" s="2" t="s">
        <v>37</v>
      </c>
      <c r="S666" s="11" t="str">
        <f t="shared" si="53"/>
        <v>Rendah</v>
      </c>
      <c r="T666" s="2" t="str">
        <f t="shared" si="54"/>
        <v>Sangat Rendah</v>
      </c>
    </row>
    <row r="667" spans="1:20" ht="15.75" customHeight="1" x14ac:dyDescent="0.3">
      <c r="A667" s="4" t="s">
        <v>1717</v>
      </c>
      <c r="B667" s="3">
        <v>45801.037743055553</v>
      </c>
      <c r="C667" s="2" t="s">
        <v>203</v>
      </c>
      <c r="D667" s="2" t="s">
        <v>20</v>
      </c>
      <c r="E667" s="2" t="s">
        <v>50</v>
      </c>
      <c r="F667" s="2">
        <v>14000</v>
      </c>
      <c r="G667" s="2">
        <v>1</v>
      </c>
      <c r="H667" s="2">
        <v>10</v>
      </c>
      <c r="I667">
        <f t="shared" si="50"/>
        <v>14000</v>
      </c>
      <c r="J667">
        <f t="shared" si="51"/>
        <v>1400</v>
      </c>
      <c r="K667" s="6">
        <f t="shared" si="52"/>
        <v>12600</v>
      </c>
      <c r="L667" s="2">
        <v>15000</v>
      </c>
      <c r="M667" s="6">
        <f>Table1[[#This Row],[Total Sales]]+Table1[[#This Row],[Shipping Fee]]</f>
        <v>27600</v>
      </c>
      <c r="N667" s="2" t="s">
        <v>29</v>
      </c>
      <c r="O667" t="str">
        <f>VLOOKUP(Table1[[#This Row],[Order ID]],Status!A:B, 2,FALSE)</f>
        <v>Completed</v>
      </c>
      <c r="P667" s="2" t="s">
        <v>23</v>
      </c>
      <c r="Q667" s="2">
        <v>4</v>
      </c>
      <c r="R667" s="2" t="s">
        <v>24</v>
      </c>
      <c r="S667" s="11" t="str">
        <f t="shared" si="53"/>
        <v>Bagus</v>
      </c>
      <c r="T667" s="2" t="str">
        <f t="shared" si="54"/>
        <v>Sangat Rendah</v>
      </c>
    </row>
    <row r="668" spans="1:20" ht="15.75" customHeight="1" x14ac:dyDescent="0.3">
      <c r="A668" s="4" t="s">
        <v>1716</v>
      </c>
      <c r="B668" s="3">
        <v>45801.033738425933</v>
      </c>
      <c r="C668" s="2" t="s">
        <v>427</v>
      </c>
      <c r="D668" s="2" t="s">
        <v>103</v>
      </c>
      <c r="E668" s="2" t="s">
        <v>50</v>
      </c>
      <c r="F668" s="2">
        <v>14000</v>
      </c>
      <c r="G668" s="2">
        <v>1</v>
      </c>
      <c r="H668" s="2">
        <v>15</v>
      </c>
      <c r="I668">
        <f t="shared" si="50"/>
        <v>14000</v>
      </c>
      <c r="J668">
        <f t="shared" si="51"/>
        <v>2100</v>
      </c>
      <c r="K668" s="6">
        <f t="shared" si="52"/>
        <v>11900</v>
      </c>
      <c r="L668" s="2">
        <v>85000</v>
      </c>
      <c r="M668" s="6">
        <f>Table1[[#This Row],[Total Sales]]+Table1[[#This Row],[Shipping Fee]]</f>
        <v>96900</v>
      </c>
      <c r="N668" s="2" t="s">
        <v>22</v>
      </c>
      <c r="O668" t="str">
        <f>VLOOKUP(Table1[[#This Row],[Order ID]],Status!A:B, 2,FALSE)</f>
        <v>Returned</v>
      </c>
      <c r="P668" s="2" t="s">
        <v>82</v>
      </c>
      <c r="Q668" s="2">
        <v>1</v>
      </c>
      <c r="R668" s="2" t="s">
        <v>24</v>
      </c>
      <c r="S668" s="11" t="str">
        <f t="shared" si="53"/>
        <v>Rendah</v>
      </c>
      <c r="T668" s="2" t="str">
        <f t="shared" si="54"/>
        <v>Sangat Rendah</v>
      </c>
    </row>
    <row r="669" spans="1:20" ht="15.75" customHeight="1" x14ac:dyDescent="0.3">
      <c r="A669" s="4" t="s">
        <v>1716</v>
      </c>
      <c r="B669" s="3">
        <v>45801.033738425933</v>
      </c>
      <c r="C669" s="2" t="s">
        <v>427</v>
      </c>
      <c r="D669" s="2" t="s">
        <v>103</v>
      </c>
      <c r="E669" s="2" t="s">
        <v>54</v>
      </c>
      <c r="F669" s="2">
        <v>16000</v>
      </c>
      <c r="G669" s="2">
        <v>4</v>
      </c>
      <c r="H669" s="2">
        <v>10</v>
      </c>
      <c r="I669">
        <f t="shared" si="50"/>
        <v>64000</v>
      </c>
      <c r="J669">
        <f t="shared" si="51"/>
        <v>6400</v>
      </c>
      <c r="K669" s="6">
        <f t="shared" si="52"/>
        <v>57600</v>
      </c>
      <c r="L669" s="2">
        <v>0</v>
      </c>
      <c r="M669" s="6">
        <f>Table1[[#This Row],[Total Sales]]+Table1[[#This Row],[Shipping Fee]]</f>
        <v>57600</v>
      </c>
      <c r="N669" s="2" t="s">
        <v>22</v>
      </c>
      <c r="O669" t="str">
        <f>VLOOKUP(Table1[[#This Row],[Order ID]],Status!A:B, 2,FALSE)</f>
        <v>Returned</v>
      </c>
      <c r="P669" s="2" t="s">
        <v>82</v>
      </c>
      <c r="Q669" s="2">
        <v>1</v>
      </c>
      <c r="R669" s="2" t="s">
        <v>24</v>
      </c>
      <c r="S669" s="11" t="str">
        <f t="shared" si="53"/>
        <v>Rendah</v>
      </c>
      <c r="T669" s="2" t="str">
        <f t="shared" si="54"/>
        <v>Rendah</v>
      </c>
    </row>
    <row r="670" spans="1:20" ht="15.75" customHeight="1" x14ac:dyDescent="0.3">
      <c r="A670" s="4" t="s">
        <v>1715</v>
      </c>
      <c r="B670" s="3">
        <v>45800.840011574073</v>
      </c>
      <c r="C670" s="2" t="s">
        <v>1033</v>
      </c>
      <c r="D670" s="2" t="s">
        <v>122</v>
      </c>
      <c r="E670" s="2" t="s">
        <v>54</v>
      </c>
      <c r="F670" s="2">
        <v>16000</v>
      </c>
      <c r="G670" s="2">
        <v>5</v>
      </c>
      <c r="H670" s="2">
        <v>5</v>
      </c>
      <c r="I670">
        <f t="shared" si="50"/>
        <v>80000</v>
      </c>
      <c r="J670">
        <f t="shared" si="51"/>
        <v>4000</v>
      </c>
      <c r="K670" s="6">
        <f t="shared" si="52"/>
        <v>76000</v>
      </c>
      <c r="L670" s="2">
        <v>78000</v>
      </c>
      <c r="M670" s="6">
        <f>Table1[[#This Row],[Total Sales]]+Table1[[#This Row],[Shipping Fee]]</f>
        <v>154000</v>
      </c>
      <c r="N670" s="2" t="s">
        <v>22</v>
      </c>
      <c r="O670" t="str">
        <f>VLOOKUP(Table1[[#This Row],[Order ID]],Status!A:B, 2,FALSE)</f>
        <v>Completed</v>
      </c>
      <c r="P670" s="2" t="s">
        <v>82</v>
      </c>
      <c r="Q670" s="2">
        <v>5</v>
      </c>
      <c r="R670" s="2" t="s">
        <v>24</v>
      </c>
      <c r="S670" s="11" t="str">
        <f t="shared" si="53"/>
        <v>Bagus</v>
      </c>
      <c r="T670" s="2" t="str">
        <f t="shared" si="54"/>
        <v>Sangat Rendah</v>
      </c>
    </row>
    <row r="671" spans="1:20" ht="15.75" customHeight="1" x14ac:dyDescent="0.3">
      <c r="A671" s="4" t="s">
        <v>1714</v>
      </c>
      <c r="B671" s="3">
        <v>45800.374293981477</v>
      </c>
      <c r="C671" s="2" t="s">
        <v>570</v>
      </c>
      <c r="D671" s="2" t="s">
        <v>80</v>
      </c>
      <c r="E671" s="2" t="s">
        <v>144</v>
      </c>
      <c r="F671" s="2">
        <v>18000</v>
      </c>
      <c r="G671" s="2">
        <v>5</v>
      </c>
      <c r="H671" s="2">
        <v>15</v>
      </c>
      <c r="I671">
        <f t="shared" si="50"/>
        <v>90000</v>
      </c>
      <c r="J671">
        <f t="shared" si="51"/>
        <v>13500</v>
      </c>
      <c r="K671" s="6">
        <f t="shared" si="52"/>
        <v>76500</v>
      </c>
      <c r="L671" s="2">
        <v>74000</v>
      </c>
      <c r="M671" s="6">
        <f>Table1[[#This Row],[Total Sales]]+Table1[[#This Row],[Shipping Fee]]</f>
        <v>150500</v>
      </c>
      <c r="N671" s="2" t="s">
        <v>22</v>
      </c>
      <c r="O671" t="str">
        <f>VLOOKUP(Table1[[#This Row],[Order ID]],Status!A:B, 2,FALSE)</f>
        <v>Completed</v>
      </c>
      <c r="P671" s="2" t="s">
        <v>23</v>
      </c>
      <c r="Q671" s="2">
        <v>5</v>
      </c>
      <c r="R671" s="2" t="s">
        <v>24</v>
      </c>
      <c r="S671" s="11" t="str">
        <f t="shared" si="53"/>
        <v>Bagus</v>
      </c>
      <c r="T671" s="2" t="str">
        <f t="shared" si="54"/>
        <v>Normal</v>
      </c>
    </row>
    <row r="672" spans="1:20" ht="15.75" customHeight="1" x14ac:dyDescent="0.3">
      <c r="A672" s="4" t="s">
        <v>1714</v>
      </c>
      <c r="B672" s="3">
        <v>45800.374293981477</v>
      </c>
      <c r="C672" s="2" t="s">
        <v>570</v>
      </c>
      <c r="D672" s="2" t="s">
        <v>80</v>
      </c>
      <c r="E672" s="2" t="s">
        <v>34</v>
      </c>
      <c r="F672" s="2">
        <v>16000</v>
      </c>
      <c r="G672" s="2">
        <v>4</v>
      </c>
      <c r="H672" s="2">
        <v>20</v>
      </c>
      <c r="I672">
        <f t="shared" si="50"/>
        <v>64000</v>
      </c>
      <c r="J672">
        <f t="shared" si="51"/>
        <v>12800</v>
      </c>
      <c r="K672" s="6">
        <f t="shared" si="52"/>
        <v>51200</v>
      </c>
      <c r="L672" s="2">
        <v>0</v>
      </c>
      <c r="M672" s="6">
        <f>Table1[[#This Row],[Total Sales]]+Table1[[#This Row],[Shipping Fee]]</f>
        <v>51200</v>
      </c>
      <c r="N672" s="2" t="s">
        <v>22</v>
      </c>
      <c r="O672" t="str">
        <f>VLOOKUP(Table1[[#This Row],[Order ID]],Status!A:B, 2,FALSE)</f>
        <v>Completed</v>
      </c>
      <c r="P672" s="2" t="s">
        <v>23</v>
      </c>
      <c r="Q672" s="2">
        <v>5</v>
      </c>
      <c r="R672" s="2" t="s">
        <v>24</v>
      </c>
      <c r="S672" s="11" t="str">
        <f t="shared" si="53"/>
        <v>Bagus</v>
      </c>
      <c r="T672" s="2" t="str">
        <f t="shared" si="54"/>
        <v>Normal</v>
      </c>
    </row>
    <row r="673" spans="1:20" ht="15.75" customHeight="1" x14ac:dyDescent="0.3">
      <c r="A673" s="4" t="s">
        <v>1713</v>
      </c>
      <c r="B673" s="3">
        <v>45800.360254629632</v>
      </c>
      <c r="C673" s="2" t="s">
        <v>1241</v>
      </c>
      <c r="D673" s="2" t="s">
        <v>80</v>
      </c>
      <c r="E673" s="2" t="s">
        <v>50</v>
      </c>
      <c r="F673" s="2">
        <v>14000</v>
      </c>
      <c r="G673" s="2">
        <v>1</v>
      </c>
      <c r="H673" s="2">
        <v>0</v>
      </c>
      <c r="I673">
        <f t="shared" si="50"/>
        <v>14000</v>
      </c>
      <c r="J673">
        <f t="shared" si="51"/>
        <v>0</v>
      </c>
      <c r="K673" s="6">
        <f t="shared" si="52"/>
        <v>14000</v>
      </c>
      <c r="L673" s="2">
        <v>74000</v>
      </c>
      <c r="M673" s="6">
        <f>Table1[[#This Row],[Total Sales]]+Table1[[#This Row],[Shipping Fee]]</f>
        <v>88000</v>
      </c>
      <c r="N673" s="2" t="s">
        <v>63</v>
      </c>
      <c r="O673" t="str">
        <f>VLOOKUP(Table1[[#This Row],[Order ID]],Status!A:B, 2,FALSE)</f>
        <v>Completed</v>
      </c>
      <c r="P673" s="2" t="s">
        <v>36</v>
      </c>
      <c r="Q673" s="2">
        <v>5</v>
      </c>
      <c r="R673" s="2" t="s">
        <v>24</v>
      </c>
      <c r="S673" s="11" t="str">
        <f t="shared" si="53"/>
        <v>Bagus</v>
      </c>
      <c r="T673" s="2" t="str">
        <f t="shared" si="54"/>
        <v>Sangat Rendah</v>
      </c>
    </row>
    <row r="674" spans="1:20" ht="15.75" customHeight="1" x14ac:dyDescent="0.3">
      <c r="A674" s="4" t="s">
        <v>1712</v>
      </c>
      <c r="B674" s="3">
        <v>45800.171909722223</v>
      </c>
      <c r="C674" s="2" t="s">
        <v>416</v>
      </c>
      <c r="D674" s="2" t="s">
        <v>131</v>
      </c>
      <c r="E674" s="2" t="s">
        <v>138</v>
      </c>
      <c r="F674" s="2">
        <v>17000</v>
      </c>
      <c r="G674" s="2">
        <v>5</v>
      </c>
      <c r="H674" s="2">
        <v>5</v>
      </c>
      <c r="I674">
        <f t="shared" si="50"/>
        <v>85000</v>
      </c>
      <c r="J674">
        <f t="shared" si="51"/>
        <v>4250</v>
      </c>
      <c r="K674" s="6">
        <f t="shared" si="52"/>
        <v>80750</v>
      </c>
      <c r="L674" s="2">
        <v>59000</v>
      </c>
      <c r="M674" s="6">
        <f>Table1[[#This Row],[Total Sales]]+Table1[[#This Row],[Shipping Fee]]</f>
        <v>139750</v>
      </c>
      <c r="N674" s="2" t="s">
        <v>29</v>
      </c>
      <c r="O674" t="str">
        <f>VLOOKUP(Table1[[#This Row],[Order ID]],Status!A:B, 2,FALSE)</f>
        <v>Completed</v>
      </c>
      <c r="P674" s="2" t="s">
        <v>46</v>
      </c>
      <c r="Q674" s="2">
        <v>3</v>
      </c>
      <c r="R674" s="2" t="s">
        <v>24</v>
      </c>
      <c r="S674" s="11" t="str">
        <f t="shared" si="53"/>
        <v>Standar</v>
      </c>
      <c r="T674" s="2" t="str">
        <f t="shared" si="54"/>
        <v>Sangat Rendah</v>
      </c>
    </row>
    <row r="675" spans="1:20" ht="15.75" customHeight="1" x14ac:dyDescent="0.3">
      <c r="A675" s="4" t="s">
        <v>1711</v>
      </c>
      <c r="B675" s="3">
        <v>45799.893622685187</v>
      </c>
      <c r="C675" s="2" t="s">
        <v>48</v>
      </c>
      <c r="D675" s="2" t="s">
        <v>49</v>
      </c>
      <c r="E675" s="2" t="s">
        <v>88</v>
      </c>
      <c r="F675" s="2">
        <v>14000</v>
      </c>
      <c r="G675" s="2">
        <v>4</v>
      </c>
      <c r="H675" s="2">
        <v>10</v>
      </c>
      <c r="I675">
        <f t="shared" si="50"/>
        <v>56000</v>
      </c>
      <c r="J675">
        <f t="shared" si="51"/>
        <v>5600</v>
      </c>
      <c r="K675" s="6">
        <f t="shared" si="52"/>
        <v>50400</v>
      </c>
      <c r="L675" s="2">
        <v>43000</v>
      </c>
      <c r="M675" s="6">
        <f>Table1[[#This Row],[Total Sales]]+Table1[[#This Row],[Shipping Fee]]</f>
        <v>93400</v>
      </c>
      <c r="N675" s="2" t="s">
        <v>63</v>
      </c>
      <c r="O675" t="str">
        <f>VLOOKUP(Table1[[#This Row],[Order ID]],Status!A:B, 2,FALSE)</f>
        <v>Completed</v>
      </c>
      <c r="P675" s="2" t="s">
        <v>46</v>
      </c>
      <c r="Q675" s="2">
        <v>2</v>
      </c>
      <c r="R675" s="2" t="s">
        <v>24</v>
      </c>
      <c r="S675" s="11" t="str">
        <f t="shared" si="53"/>
        <v>Rendah</v>
      </c>
      <c r="T675" s="2" t="str">
        <f t="shared" si="54"/>
        <v>Rendah</v>
      </c>
    </row>
    <row r="676" spans="1:20" ht="15.75" customHeight="1" x14ac:dyDescent="0.3">
      <c r="A676" s="4" t="s">
        <v>1710</v>
      </c>
      <c r="B676" s="3">
        <v>45799.76903935185</v>
      </c>
      <c r="C676" s="2" t="s">
        <v>1366</v>
      </c>
      <c r="D676" s="2" t="s">
        <v>126</v>
      </c>
      <c r="E676" s="2" t="s">
        <v>28</v>
      </c>
      <c r="F676" s="2">
        <v>5000</v>
      </c>
      <c r="G676" s="2">
        <v>4</v>
      </c>
      <c r="H676" s="2">
        <v>5</v>
      </c>
      <c r="I676">
        <f t="shared" si="50"/>
        <v>20000</v>
      </c>
      <c r="J676">
        <f t="shared" si="51"/>
        <v>1000</v>
      </c>
      <c r="K676" s="6">
        <f t="shared" si="52"/>
        <v>19000</v>
      </c>
      <c r="L676" s="2">
        <v>84000</v>
      </c>
      <c r="M676" s="6">
        <f>Table1[[#This Row],[Total Sales]]+Table1[[#This Row],[Shipping Fee]]</f>
        <v>103000</v>
      </c>
      <c r="N676" s="2" t="s">
        <v>22</v>
      </c>
      <c r="O676" t="str">
        <f>VLOOKUP(Table1[[#This Row],[Order ID]],Status!A:B, 2,FALSE)</f>
        <v>Completed</v>
      </c>
      <c r="P676" s="2" t="s">
        <v>36</v>
      </c>
      <c r="Q676" s="2">
        <v>4</v>
      </c>
      <c r="R676" s="2" t="s">
        <v>24</v>
      </c>
      <c r="S676" s="11" t="str">
        <f t="shared" si="53"/>
        <v>Bagus</v>
      </c>
      <c r="T676" s="2" t="str">
        <f t="shared" si="54"/>
        <v>Sangat Rendah</v>
      </c>
    </row>
    <row r="677" spans="1:20" ht="15.75" customHeight="1" x14ac:dyDescent="0.3">
      <c r="A677" s="4" t="s">
        <v>1709</v>
      </c>
      <c r="B677" s="3">
        <v>45799.662685185183</v>
      </c>
      <c r="C677" s="2" t="s">
        <v>1087</v>
      </c>
      <c r="D677" s="2" t="s">
        <v>143</v>
      </c>
      <c r="E677" s="2" t="s">
        <v>50</v>
      </c>
      <c r="F677" s="2">
        <v>14000</v>
      </c>
      <c r="G677" s="2">
        <v>5</v>
      </c>
      <c r="H677" s="2">
        <v>5</v>
      </c>
      <c r="I677">
        <f t="shared" si="50"/>
        <v>70000</v>
      </c>
      <c r="J677">
        <f t="shared" si="51"/>
        <v>3500</v>
      </c>
      <c r="K677" s="6">
        <f t="shared" si="52"/>
        <v>66500</v>
      </c>
      <c r="L677" s="2">
        <v>50000</v>
      </c>
      <c r="M677" s="6">
        <f>Table1[[#This Row],[Total Sales]]+Table1[[#This Row],[Shipping Fee]]</f>
        <v>116500</v>
      </c>
      <c r="N677" s="2" t="s">
        <v>29</v>
      </c>
      <c r="O677" t="str">
        <f>VLOOKUP(Table1[[#This Row],[Order ID]],Status!A:B, 2,FALSE)</f>
        <v>Completed</v>
      </c>
      <c r="P677" s="2" t="s">
        <v>36</v>
      </c>
      <c r="Q677" s="2">
        <v>1</v>
      </c>
      <c r="R677" s="2" t="s">
        <v>24</v>
      </c>
      <c r="S677" s="11" t="str">
        <f t="shared" si="53"/>
        <v>Rendah</v>
      </c>
      <c r="T677" s="2" t="str">
        <f t="shared" si="54"/>
        <v>Sangat Rendah</v>
      </c>
    </row>
    <row r="678" spans="1:20" ht="15.75" customHeight="1" x14ac:dyDescent="0.3">
      <c r="A678" s="4" t="s">
        <v>1708</v>
      </c>
      <c r="B678" s="3">
        <v>45799.39261574074</v>
      </c>
      <c r="C678" s="2" t="s">
        <v>598</v>
      </c>
      <c r="D678" s="2" t="s">
        <v>61</v>
      </c>
      <c r="E678" s="2" t="s">
        <v>190</v>
      </c>
      <c r="F678" s="2">
        <v>35000</v>
      </c>
      <c r="G678" s="2">
        <v>4</v>
      </c>
      <c r="H678" s="2">
        <v>10</v>
      </c>
      <c r="I678">
        <f t="shared" si="50"/>
        <v>140000</v>
      </c>
      <c r="J678">
        <f t="shared" si="51"/>
        <v>14000</v>
      </c>
      <c r="K678" s="6">
        <f t="shared" si="52"/>
        <v>126000</v>
      </c>
      <c r="L678" s="2">
        <v>26000</v>
      </c>
      <c r="M678" s="6">
        <f>Table1[[#This Row],[Total Sales]]+Table1[[#This Row],[Shipping Fee]]</f>
        <v>152000</v>
      </c>
      <c r="N678" s="2" t="s">
        <v>35</v>
      </c>
      <c r="O678" t="str">
        <f>VLOOKUP(Table1[[#This Row],[Order ID]],Status!A:B, 2,FALSE)</f>
        <v>Cancelled</v>
      </c>
      <c r="P678" s="2" t="s">
        <v>46</v>
      </c>
      <c r="Q678" s="2">
        <v>4</v>
      </c>
      <c r="R678" s="2" t="s">
        <v>24</v>
      </c>
      <c r="S678" s="11" t="str">
        <f t="shared" si="53"/>
        <v>Bagus</v>
      </c>
      <c r="T678" s="2" t="str">
        <f t="shared" si="54"/>
        <v>Normal</v>
      </c>
    </row>
    <row r="679" spans="1:20" ht="15.75" customHeight="1" x14ac:dyDescent="0.3">
      <c r="A679" s="4" t="s">
        <v>1707</v>
      </c>
      <c r="B679" s="3">
        <v>45799.302233796298</v>
      </c>
      <c r="C679" s="2" t="s">
        <v>483</v>
      </c>
      <c r="D679" s="2" t="s">
        <v>170</v>
      </c>
      <c r="E679" s="2" t="s">
        <v>138</v>
      </c>
      <c r="F679" s="2">
        <v>17000</v>
      </c>
      <c r="G679" s="2">
        <v>4</v>
      </c>
      <c r="H679" s="2">
        <v>5</v>
      </c>
      <c r="I679">
        <f t="shared" si="50"/>
        <v>68000</v>
      </c>
      <c r="J679">
        <f t="shared" si="51"/>
        <v>3400</v>
      </c>
      <c r="K679" s="6">
        <f t="shared" si="52"/>
        <v>64600</v>
      </c>
      <c r="L679" s="2">
        <v>46000</v>
      </c>
      <c r="M679" s="6">
        <f>Table1[[#This Row],[Total Sales]]+Table1[[#This Row],[Shipping Fee]]</f>
        <v>110600</v>
      </c>
      <c r="N679" s="2" t="s">
        <v>35</v>
      </c>
      <c r="O679" t="str">
        <f>VLOOKUP(Table1[[#This Row],[Order ID]],Status!A:B, 2,FALSE)</f>
        <v>Completed</v>
      </c>
      <c r="P679" s="2" t="s">
        <v>23</v>
      </c>
      <c r="Q679" s="2">
        <v>2</v>
      </c>
      <c r="R679" s="2" t="s">
        <v>24</v>
      </c>
      <c r="S679" s="11" t="str">
        <f t="shared" si="53"/>
        <v>Rendah</v>
      </c>
      <c r="T679" s="2" t="str">
        <f t="shared" si="54"/>
        <v>Sangat Rendah</v>
      </c>
    </row>
    <row r="680" spans="1:20" ht="15.75" customHeight="1" x14ac:dyDescent="0.3">
      <c r="A680" s="4" t="s">
        <v>1706</v>
      </c>
      <c r="B680" s="3">
        <v>45798.735196759262</v>
      </c>
      <c r="C680" s="2" t="s">
        <v>1523</v>
      </c>
      <c r="D680" s="2" t="s">
        <v>96</v>
      </c>
      <c r="E680" s="2" t="s">
        <v>93</v>
      </c>
      <c r="F680" s="2">
        <v>25000</v>
      </c>
      <c r="G680" s="2">
        <v>1</v>
      </c>
      <c r="H680" s="2">
        <v>10</v>
      </c>
      <c r="I680">
        <f t="shared" si="50"/>
        <v>25000</v>
      </c>
      <c r="J680">
        <f t="shared" si="51"/>
        <v>2500</v>
      </c>
      <c r="K680" s="6">
        <f t="shared" si="52"/>
        <v>22500</v>
      </c>
      <c r="L680" s="2">
        <v>49000</v>
      </c>
      <c r="M680" s="6">
        <f>Table1[[#This Row],[Total Sales]]+Table1[[#This Row],[Shipping Fee]]</f>
        <v>71500</v>
      </c>
      <c r="N680" s="2" t="s">
        <v>35</v>
      </c>
      <c r="O680" t="str">
        <f>VLOOKUP(Table1[[#This Row],[Order ID]],Status!A:B, 2,FALSE)</f>
        <v>Returned</v>
      </c>
      <c r="P680" s="2" t="s">
        <v>30</v>
      </c>
      <c r="Q680" s="2">
        <v>1</v>
      </c>
      <c r="R680" s="2" t="s">
        <v>24</v>
      </c>
      <c r="S680" s="11" t="str">
        <f t="shared" si="53"/>
        <v>Rendah</v>
      </c>
      <c r="T680" s="2" t="str">
        <f t="shared" si="54"/>
        <v>Sangat Rendah</v>
      </c>
    </row>
    <row r="681" spans="1:20" ht="15.75" customHeight="1" x14ac:dyDescent="0.3">
      <c r="A681" s="4" t="s">
        <v>1705</v>
      </c>
      <c r="B681" s="3">
        <v>45798.515902777777</v>
      </c>
      <c r="C681" s="2" t="s">
        <v>527</v>
      </c>
      <c r="D681" s="2" t="s">
        <v>173</v>
      </c>
      <c r="E681" s="2" t="s">
        <v>136</v>
      </c>
      <c r="F681" s="2">
        <v>12000</v>
      </c>
      <c r="G681" s="2">
        <v>4</v>
      </c>
      <c r="H681" s="2">
        <v>0</v>
      </c>
      <c r="I681">
        <f t="shared" si="50"/>
        <v>48000</v>
      </c>
      <c r="J681">
        <f t="shared" si="51"/>
        <v>0</v>
      </c>
      <c r="K681" s="6">
        <f t="shared" si="52"/>
        <v>48000</v>
      </c>
      <c r="L681" s="2">
        <v>49000</v>
      </c>
      <c r="M681" s="6">
        <f>Table1[[#This Row],[Total Sales]]+Table1[[#This Row],[Shipping Fee]]</f>
        <v>97000</v>
      </c>
      <c r="N681" s="2" t="s">
        <v>29</v>
      </c>
      <c r="O681" t="str">
        <f>VLOOKUP(Table1[[#This Row],[Order ID]],Status!A:B, 2,FALSE)</f>
        <v>Completed</v>
      </c>
      <c r="P681" s="2" t="s">
        <v>30</v>
      </c>
      <c r="Q681" s="2">
        <v>5</v>
      </c>
      <c r="R681" s="2" t="s">
        <v>24</v>
      </c>
      <c r="S681" s="11" t="str">
        <f t="shared" si="53"/>
        <v>Bagus</v>
      </c>
      <c r="T681" s="2" t="str">
        <f t="shared" si="54"/>
        <v>Sangat Rendah</v>
      </c>
    </row>
    <row r="682" spans="1:20" ht="15.75" customHeight="1" x14ac:dyDescent="0.3">
      <c r="A682" s="4" t="s">
        <v>1704</v>
      </c>
      <c r="B682" s="3">
        <v>45798.410138888888</v>
      </c>
      <c r="C682" s="2" t="s">
        <v>311</v>
      </c>
      <c r="D682" s="2" t="s">
        <v>116</v>
      </c>
      <c r="E682" s="2" t="s">
        <v>58</v>
      </c>
      <c r="F682" s="2">
        <v>16000</v>
      </c>
      <c r="G682" s="2">
        <v>3</v>
      </c>
      <c r="H682" s="2">
        <v>20</v>
      </c>
      <c r="I682">
        <f t="shared" si="50"/>
        <v>48000</v>
      </c>
      <c r="J682">
        <f t="shared" si="51"/>
        <v>9600</v>
      </c>
      <c r="K682" s="6">
        <f t="shared" si="52"/>
        <v>38400</v>
      </c>
      <c r="L682" s="2">
        <v>72000</v>
      </c>
      <c r="M682" s="6">
        <f>Table1[[#This Row],[Total Sales]]+Table1[[#This Row],[Shipping Fee]]</f>
        <v>110400</v>
      </c>
      <c r="N682" s="2" t="s">
        <v>29</v>
      </c>
      <c r="O682" t="str">
        <f>VLOOKUP(Table1[[#This Row],[Order ID]],Status!A:B, 2,FALSE)</f>
        <v>Returned</v>
      </c>
      <c r="P682" s="2" t="s">
        <v>30</v>
      </c>
      <c r="Q682" s="2">
        <v>1</v>
      </c>
      <c r="R682" s="2" t="s">
        <v>24</v>
      </c>
      <c r="S682" s="11" t="str">
        <f t="shared" si="53"/>
        <v>Rendah</v>
      </c>
      <c r="T682" s="2" t="str">
        <f t="shared" si="54"/>
        <v>Rendah</v>
      </c>
    </row>
    <row r="683" spans="1:20" ht="15.75" customHeight="1" x14ac:dyDescent="0.3">
      <c r="A683" s="4" t="s">
        <v>1703</v>
      </c>
      <c r="B683" s="3">
        <v>45797.981851851851</v>
      </c>
      <c r="C683" s="2" t="s">
        <v>1620</v>
      </c>
      <c r="D683" s="2" t="s">
        <v>92</v>
      </c>
      <c r="E683" s="2" t="s">
        <v>138</v>
      </c>
      <c r="F683" s="2">
        <v>17000</v>
      </c>
      <c r="G683" s="2">
        <v>3</v>
      </c>
      <c r="H683" s="2">
        <v>15</v>
      </c>
      <c r="I683">
        <f t="shared" si="50"/>
        <v>51000</v>
      </c>
      <c r="J683">
        <f t="shared" si="51"/>
        <v>7650</v>
      </c>
      <c r="K683" s="6">
        <f t="shared" si="52"/>
        <v>43350</v>
      </c>
      <c r="L683" s="2">
        <v>30000</v>
      </c>
      <c r="M683" s="6">
        <f>Table1[[#This Row],[Total Sales]]+Table1[[#This Row],[Shipping Fee]]</f>
        <v>73350</v>
      </c>
      <c r="N683" s="2" t="s">
        <v>35</v>
      </c>
      <c r="O683" t="str">
        <f>VLOOKUP(Table1[[#This Row],[Order ID]],Status!A:B, 2,FALSE)</f>
        <v>Completed</v>
      </c>
      <c r="P683" s="2" t="s">
        <v>23</v>
      </c>
      <c r="Q683" s="2">
        <v>1</v>
      </c>
      <c r="R683" s="2" t="s">
        <v>24</v>
      </c>
      <c r="S683" s="11" t="str">
        <f t="shared" si="53"/>
        <v>Rendah</v>
      </c>
      <c r="T683" s="2" t="str">
        <f t="shared" si="54"/>
        <v>Rendah</v>
      </c>
    </row>
    <row r="684" spans="1:20" ht="15.75" customHeight="1" x14ac:dyDescent="0.3">
      <c r="A684" s="4" t="s">
        <v>1702</v>
      </c>
      <c r="B684" s="3">
        <v>45797.861261574071</v>
      </c>
      <c r="C684" s="2" t="s">
        <v>453</v>
      </c>
      <c r="D684" s="2" t="s">
        <v>27</v>
      </c>
      <c r="E684" s="2" t="s">
        <v>71</v>
      </c>
      <c r="F684" s="2">
        <v>40000</v>
      </c>
      <c r="G684" s="2">
        <v>1</v>
      </c>
      <c r="H684" s="2">
        <v>15</v>
      </c>
      <c r="I684">
        <f t="shared" si="50"/>
        <v>40000</v>
      </c>
      <c r="J684">
        <f t="shared" si="51"/>
        <v>6000</v>
      </c>
      <c r="K684" s="6">
        <f t="shared" si="52"/>
        <v>34000</v>
      </c>
      <c r="L684" s="2">
        <v>17000</v>
      </c>
      <c r="M684" s="6">
        <f>Table1[[#This Row],[Total Sales]]+Table1[[#This Row],[Shipping Fee]]</f>
        <v>51000</v>
      </c>
      <c r="N684" s="2" t="s">
        <v>63</v>
      </c>
      <c r="O684" t="str">
        <f>VLOOKUP(Table1[[#This Row],[Order ID]],Status!A:B, 2,FALSE)</f>
        <v>Completed</v>
      </c>
      <c r="P684" s="2" t="s">
        <v>30</v>
      </c>
      <c r="Q684" s="2">
        <v>4</v>
      </c>
      <c r="R684" s="2" t="s">
        <v>37</v>
      </c>
      <c r="S684" s="11" t="str">
        <f t="shared" si="53"/>
        <v>Bagus</v>
      </c>
      <c r="T684" s="2" t="str">
        <f t="shared" si="54"/>
        <v>Rendah</v>
      </c>
    </row>
    <row r="685" spans="1:20" ht="15.75" customHeight="1" x14ac:dyDescent="0.3">
      <c r="A685" s="4" t="s">
        <v>1701</v>
      </c>
      <c r="B685" s="3">
        <v>45797.735833333332</v>
      </c>
      <c r="C685" s="2" t="s">
        <v>118</v>
      </c>
      <c r="D685" s="2" t="s">
        <v>119</v>
      </c>
      <c r="E685" s="2" t="s">
        <v>190</v>
      </c>
      <c r="F685" s="2">
        <v>35000</v>
      </c>
      <c r="G685" s="2">
        <v>2</v>
      </c>
      <c r="H685" s="2">
        <v>20</v>
      </c>
      <c r="I685">
        <f t="shared" si="50"/>
        <v>70000</v>
      </c>
      <c r="J685">
        <f t="shared" si="51"/>
        <v>14000</v>
      </c>
      <c r="K685" s="6">
        <f t="shared" si="52"/>
        <v>56000</v>
      </c>
      <c r="L685" s="2">
        <v>0</v>
      </c>
      <c r="M685" s="6">
        <f>Table1[[#This Row],[Total Sales]]+Table1[[#This Row],[Shipping Fee]]</f>
        <v>56000</v>
      </c>
      <c r="N685" s="2" t="s">
        <v>35</v>
      </c>
      <c r="O685" t="str">
        <f>VLOOKUP(Table1[[#This Row],[Order ID]],Status!A:B, 2,FALSE)</f>
        <v>Returned</v>
      </c>
      <c r="P685" s="2" t="s">
        <v>30</v>
      </c>
      <c r="Q685" s="2">
        <v>4</v>
      </c>
      <c r="R685" s="2" t="s">
        <v>24</v>
      </c>
      <c r="S685" s="11" t="str">
        <f t="shared" si="53"/>
        <v>Bagus</v>
      </c>
      <c r="T685" s="2" t="str">
        <f t="shared" si="54"/>
        <v>Normal</v>
      </c>
    </row>
    <row r="686" spans="1:20" ht="15.75" customHeight="1" x14ac:dyDescent="0.3">
      <c r="A686" s="4" t="s">
        <v>1700</v>
      </c>
      <c r="B686" s="3">
        <v>45797.425219907411</v>
      </c>
      <c r="C686" s="2" t="s">
        <v>499</v>
      </c>
      <c r="D686" s="2" t="s">
        <v>131</v>
      </c>
      <c r="E686" s="2" t="s">
        <v>174</v>
      </c>
      <c r="F686" s="2">
        <v>10000</v>
      </c>
      <c r="G686" s="2">
        <v>3</v>
      </c>
      <c r="H686" s="2">
        <v>0</v>
      </c>
      <c r="I686">
        <f t="shared" si="50"/>
        <v>30000</v>
      </c>
      <c r="J686">
        <f t="shared" si="51"/>
        <v>0</v>
      </c>
      <c r="K686" s="6">
        <f t="shared" si="52"/>
        <v>30000</v>
      </c>
      <c r="L686" s="2">
        <v>59000</v>
      </c>
      <c r="M686" s="6">
        <f>Table1[[#This Row],[Total Sales]]+Table1[[#This Row],[Shipping Fee]]</f>
        <v>89000</v>
      </c>
      <c r="N686" s="2" t="s">
        <v>35</v>
      </c>
      <c r="O686" t="str">
        <f>VLOOKUP(Table1[[#This Row],[Order ID]],Status!A:B, 2,FALSE)</f>
        <v>Completed</v>
      </c>
      <c r="P686" s="2" t="s">
        <v>46</v>
      </c>
      <c r="Q686" s="2">
        <v>3</v>
      </c>
      <c r="R686" s="2" t="s">
        <v>24</v>
      </c>
      <c r="S686" s="11" t="str">
        <f t="shared" si="53"/>
        <v>Standar</v>
      </c>
      <c r="T686" s="2" t="str">
        <f t="shared" si="54"/>
        <v>Sangat Rendah</v>
      </c>
    </row>
    <row r="687" spans="1:20" ht="15.75" customHeight="1" x14ac:dyDescent="0.3">
      <c r="A687" s="4" t="s">
        <v>1699</v>
      </c>
      <c r="B687" s="3">
        <v>45797.032719907409</v>
      </c>
      <c r="C687" s="2" t="s">
        <v>148</v>
      </c>
      <c r="D687" s="2" t="s">
        <v>74</v>
      </c>
      <c r="E687" s="2" t="s">
        <v>41</v>
      </c>
      <c r="F687" s="2">
        <v>4000</v>
      </c>
      <c r="G687" s="2">
        <v>3</v>
      </c>
      <c r="H687" s="2">
        <v>10</v>
      </c>
      <c r="I687">
        <f t="shared" si="50"/>
        <v>12000</v>
      </c>
      <c r="J687">
        <f t="shared" si="51"/>
        <v>1200</v>
      </c>
      <c r="K687" s="6">
        <f t="shared" si="52"/>
        <v>10800</v>
      </c>
      <c r="L687" s="2">
        <v>87000</v>
      </c>
      <c r="M687" s="6">
        <f>Table1[[#This Row],[Total Sales]]+Table1[[#This Row],[Shipping Fee]]</f>
        <v>97800</v>
      </c>
      <c r="N687" s="2" t="s">
        <v>29</v>
      </c>
      <c r="O687" t="str">
        <f>VLOOKUP(Table1[[#This Row],[Order ID]],Status!A:B, 2,FALSE)</f>
        <v>Returned</v>
      </c>
      <c r="P687" s="2" t="s">
        <v>46</v>
      </c>
      <c r="Q687" s="2">
        <v>5</v>
      </c>
      <c r="R687" s="2" t="s">
        <v>24</v>
      </c>
      <c r="S687" s="11" t="str">
        <f t="shared" si="53"/>
        <v>Bagus</v>
      </c>
      <c r="T687" s="2" t="str">
        <f t="shared" si="54"/>
        <v>Sangat Rendah</v>
      </c>
    </row>
    <row r="688" spans="1:20" ht="15.75" customHeight="1" x14ac:dyDescent="0.3">
      <c r="A688" s="4" t="s">
        <v>1698</v>
      </c>
      <c r="B688" s="3">
        <v>45796.744629629633</v>
      </c>
      <c r="C688" s="2" t="s">
        <v>344</v>
      </c>
      <c r="D688" s="2" t="s">
        <v>195</v>
      </c>
      <c r="E688" s="2" t="s">
        <v>45</v>
      </c>
      <c r="F688" s="2">
        <v>40000</v>
      </c>
      <c r="G688" s="2">
        <v>1</v>
      </c>
      <c r="H688" s="2">
        <v>0</v>
      </c>
      <c r="I688">
        <f t="shared" si="50"/>
        <v>40000</v>
      </c>
      <c r="J688">
        <f t="shared" si="51"/>
        <v>0</v>
      </c>
      <c r="K688" s="6">
        <f t="shared" si="52"/>
        <v>40000</v>
      </c>
      <c r="L688" s="2">
        <v>87000</v>
      </c>
      <c r="M688" s="6">
        <f>Table1[[#This Row],[Total Sales]]+Table1[[#This Row],[Shipping Fee]]</f>
        <v>127000</v>
      </c>
      <c r="N688" s="2" t="s">
        <v>22</v>
      </c>
      <c r="O688" t="str">
        <f>VLOOKUP(Table1[[#This Row],[Order ID]],Status!A:B, 2,FALSE)</f>
        <v>Completed</v>
      </c>
      <c r="P688" s="2" t="s">
        <v>82</v>
      </c>
      <c r="Q688" s="2">
        <v>2</v>
      </c>
      <c r="R688" s="2" t="s">
        <v>24</v>
      </c>
      <c r="S688" s="11" t="str">
        <f t="shared" si="53"/>
        <v>Rendah</v>
      </c>
      <c r="T688" s="2" t="str">
        <f t="shared" si="54"/>
        <v>Sangat Rendah</v>
      </c>
    </row>
    <row r="689" spans="1:20" ht="15.75" customHeight="1" x14ac:dyDescent="0.3">
      <c r="A689" s="4" t="s">
        <v>1697</v>
      </c>
      <c r="B689" s="3">
        <v>45796.263101851851</v>
      </c>
      <c r="C689" s="2" t="s">
        <v>983</v>
      </c>
      <c r="D689" s="2" t="s">
        <v>262</v>
      </c>
      <c r="E689" s="2" t="s">
        <v>45</v>
      </c>
      <c r="F689" s="2">
        <v>40000</v>
      </c>
      <c r="G689" s="2">
        <v>2</v>
      </c>
      <c r="H689" s="2">
        <v>5</v>
      </c>
      <c r="I689">
        <f t="shared" si="50"/>
        <v>80000</v>
      </c>
      <c r="J689">
        <f t="shared" si="51"/>
        <v>4000</v>
      </c>
      <c r="K689" s="6">
        <f t="shared" si="52"/>
        <v>76000</v>
      </c>
      <c r="L689" s="2">
        <v>18000</v>
      </c>
      <c r="M689" s="6">
        <f>Table1[[#This Row],[Total Sales]]+Table1[[#This Row],[Shipping Fee]]</f>
        <v>94000</v>
      </c>
      <c r="N689" s="2" t="s">
        <v>63</v>
      </c>
      <c r="O689" t="str">
        <f>VLOOKUP(Table1[[#This Row],[Order ID]],Status!A:B, 2,FALSE)</f>
        <v>Returned</v>
      </c>
      <c r="P689" s="2" t="s">
        <v>82</v>
      </c>
      <c r="Q689" s="2">
        <v>5</v>
      </c>
      <c r="R689" s="2" t="s">
        <v>37</v>
      </c>
      <c r="S689" s="11" t="str">
        <f t="shared" si="53"/>
        <v>Bagus</v>
      </c>
      <c r="T689" s="2" t="str">
        <f t="shared" si="54"/>
        <v>Sangat Rendah</v>
      </c>
    </row>
    <row r="690" spans="1:20" ht="15.75" customHeight="1" x14ac:dyDescent="0.3">
      <c r="A690" s="4" t="s">
        <v>1696</v>
      </c>
      <c r="B690" s="3">
        <v>45796.087268518517</v>
      </c>
      <c r="C690" s="2" t="s">
        <v>40</v>
      </c>
      <c r="D690" s="2" t="s">
        <v>27</v>
      </c>
      <c r="E690" s="2" t="s">
        <v>50</v>
      </c>
      <c r="F690" s="2">
        <v>14000</v>
      </c>
      <c r="G690" s="2">
        <v>2</v>
      </c>
      <c r="H690" s="2">
        <v>20</v>
      </c>
      <c r="I690">
        <f t="shared" si="50"/>
        <v>28000</v>
      </c>
      <c r="J690">
        <f t="shared" si="51"/>
        <v>5600</v>
      </c>
      <c r="K690" s="6">
        <f t="shared" si="52"/>
        <v>22400</v>
      </c>
      <c r="L690" s="2">
        <v>17000</v>
      </c>
      <c r="M690" s="6">
        <f>Table1[[#This Row],[Total Sales]]+Table1[[#This Row],[Shipping Fee]]</f>
        <v>39400</v>
      </c>
      <c r="N690" s="2" t="s">
        <v>22</v>
      </c>
      <c r="O690" t="str">
        <f>VLOOKUP(Table1[[#This Row],[Order ID]],Status!A:B, 2,FALSE)</f>
        <v>Completed</v>
      </c>
      <c r="P690" s="2" t="s">
        <v>82</v>
      </c>
      <c r="Q690" s="2">
        <v>3</v>
      </c>
      <c r="R690" s="2" t="s">
        <v>24</v>
      </c>
      <c r="S690" s="11" t="str">
        <f t="shared" si="53"/>
        <v>Standar</v>
      </c>
      <c r="T690" s="2" t="str">
        <f t="shared" si="54"/>
        <v>Rendah</v>
      </c>
    </row>
    <row r="691" spans="1:20" ht="15.75" customHeight="1" x14ac:dyDescent="0.3">
      <c r="A691" s="4" t="s">
        <v>1695</v>
      </c>
      <c r="B691" s="3">
        <v>45795.995428240742</v>
      </c>
      <c r="C691" s="2" t="s">
        <v>1022</v>
      </c>
      <c r="D691" s="2" t="s">
        <v>177</v>
      </c>
      <c r="E691" s="2" t="s">
        <v>75</v>
      </c>
      <c r="F691" s="2">
        <v>55000</v>
      </c>
      <c r="G691" s="2">
        <v>3</v>
      </c>
      <c r="H691" s="2">
        <v>5</v>
      </c>
      <c r="I691">
        <f t="shared" si="50"/>
        <v>165000</v>
      </c>
      <c r="J691">
        <f t="shared" si="51"/>
        <v>8250</v>
      </c>
      <c r="K691" s="6">
        <f t="shared" si="52"/>
        <v>156750</v>
      </c>
      <c r="L691" s="2">
        <v>56000</v>
      </c>
      <c r="M691" s="6">
        <f>Table1[[#This Row],[Total Sales]]+Table1[[#This Row],[Shipping Fee]]</f>
        <v>212750</v>
      </c>
      <c r="N691" s="2" t="s">
        <v>22</v>
      </c>
      <c r="O691" t="str">
        <f>VLOOKUP(Table1[[#This Row],[Order ID]],Status!A:B, 2,FALSE)</f>
        <v>Completed</v>
      </c>
      <c r="P691" s="2" t="s">
        <v>46</v>
      </c>
      <c r="Q691" s="2">
        <v>2</v>
      </c>
      <c r="R691" s="2" t="s">
        <v>24</v>
      </c>
      <c r="S691" s="11" t="str">
        <f t="shared" si="53"/>
        <v>Rendah</v>
      </c>
      <c r="T691" s="2" t="str">
        <f t="shared" si="54"/>
        <v>Rendah</v>
      </c>
    </row>
    <row r="692" spans="1:20" ht="15.75" customHeight="1" x14ac:dyDescent="0.3">
      <c r="A692" s="4" t="s">
        <v>1694</v>
      </c>
      <c r="B692" s="3">
        <v>45795.935960648138</v>
      </c>
      <c r="C692" s="2" t="s">
        <v>644</v>
      </c>
      <c r="D692" s="2" t="s">
        <v>244</v>
      </c>
      <c r="E692" s="2" t="s">
        <v>81</v>
      </c>
      <c r="F692" s="2">
        <v>17000</v>
      </c>
      <c r="G692" s="2">
        <v>4</v>
      </c>
      <c r="H692" s="2">
        <v>15</v>
      </c>
      <c r="I692">
        <f t="shared" si="50"/>
        <v>68000</v>
      </c>
      <c r="J692">
        <f t="shared" si="51"/>
        <v>10200</v>
      </c>
      <c r="K692" s="6">
        <f t="shared" si="52"/>
        <v>57800</v>
      </c>
      <c r="L692" s="2">
        <v>80000</v>
      </c>
      <c r="M692" s="6">
        <f>Table1[[#This Row],[Total Sales]]+Table1[[#This Row],[Shipping Fee]]</f>
        <v>137800</v>
      </c>
      <c r="N692" s="2" t="s">
        <v>29</v>
      </c>
      <c r="O692" t="str">
        <f>VLOOKUP(Table1[[#This Row],[Order ID]],Status!A:B, 2,FALSE)</f>
        <v>Completed</v>
      </c>
      <c r="P692" s="2" t="s">
        <v>23</v>
      </c>
      <c r="Q692" s="2">
        <v>4</v>
      </c>
      <c r="R692" s="2" t="s">
        <v>24</v>
      </c>
      <c r="S692" s="11" t="str">
        <f t="shared" si="53"/>
        <v>Bagus</v>
      </c>
      <c r="T692" s="2" t="str">
        <f t="shared" si="54"/>
        <v>Normal</v>
      </c>
    </row>
    <row r="693" spans="1:20" ht="15.75" customHeight="1" x14ac:dyDescent="0.3">
      <c r="A693" s="4" t="s">
        <v>1693</v>
      </c>
      <c r="B693" s="3">
        <v>45795.916666666657</v>
      </c>
      <c r="C693" s="2" t="s">
        <v>776</v>
      </c>
      <c r="D693" s="2" t="s">
        <v>103</v>
      </c>
      <c r="E693" s="2" t="s">
        <v>250</v>
      </c>
      <c r="F693" s="2">
        <v>18000</v>
      </c>
      <c r="G693" s="2">
        <v>3</v>
      </c>
      <c r="H693" s="2">
        <v>5</v>
      </c>
      <c r="I693">
        <f t="shared" si="50"/>
        <v>54000</v>
      </c>
      <c r="J693">
        <f t="shared" si="51"/>
        <v>2700</v>
      </c>
      <c r="K693" s="6">
        <f t="shared" si="52"/>
        <v>51300</v>
      </c>
      <c r="L693" s="2">
        <v>85000</v>
      </c>
      <c r="M693" s="6">
        <f>Table1[[#This Row],[Total Sales]]+Table1[[#This Row],[Shipping Fee]]</f>
        <v>136300</v>
      </c>
      <c r="N693" s="2" t="s">
        <v>29</v>
      </c>
      <c r="O693" t="str">
        <f>VLOOKUP(Table1[[#This Row],[Order ID]],Status!A:B, 2,FALSE)</f>
        <v>Completed</v>
      </c>
      <c r="P693" s="2" t="s">
        <v>30</v>
      </c>
      <c r="Q693" s="2">
        <v>5</v>
      </c>
      <c r="R693" s="2" t="s">
        <v>24</v>
      </c>
      <c r="S693" s="11" t="str">
        <f t="shared" si="53"/>
        <v>Bagus</v>
      </c>
      <c r="T693" s="2" t="str">
        <f t="shared" si="54"/>
        <v>Sangat Rendah</v>
      </c>
    </row>
    <row r="694" spans="1:20" ht="15.75" customHeight="1" x14ac:dyDescent="0.3">
      <c r="A694" s="4" t="s">
        <v>1692</v>
      </c>
      <c r="B694" s="3">
        <v>45795.617013888892</v>
      </c>
      <c r="C694" s="2" t="s">
        <v>102</v>
      </c>
      <c r="D694" s="2" t="s">
        <v>103</v>
      </c>
      <c r="E694" s="2" t="s">
        <v>81</v>
      </c>
      <c r="F694" s="2">
        <v>17000</v>
      </c>
      <c r="G694" s="2">
        <v>2</v>
      </c>
      <c r="H694" s="2">
        <v>5</v>
      </c>
      <c r="I694">
        <f t="shared" si="50"/>
        <v>34000</v>
      </c>
      <c r="J694">
        <f t="shared" si="51"/>
        <v>1700</v>
      </c>
      <c r="K694" s="6">
        <f t="shared" si="52"/>
        <v>32300</v>
      </c>
      <c r="L694" s="2">
        <v>85000</v>
      </c>
      <c r="M694" s="6">
        <f>Table1[[#This Row],[Total Sales]]+Table1[[#This Row],[Shipping Fee]]</f>
        <v>117300</v>
      </c>
      <c r="N694" s="2" t="s">
        <v>29</v>
      </c>
      <c r="O694" t="str">
        <f>VLOOKUP(Table1[[#This Row],[Order ID]],Status!A:B, 2,FALSE)</f>
        <v>Completed</v>
      </c>
      <c r="P694" s="2" t="s">
        <v>30</v>
      </c>
      <c r="Q694" s="2">
        <v>3</v>
      </c>
      <c r="R694" s="2" t="s">
        <v>24</v>
      </c>
      <c r="S694" s="11" t="str">
        <f t="shared" si="53"/>
        <v>Standar</v>
      </c>
      <c r="T694" s="2" t="str">
        <f t="shared" si="54"/>
        <v>Sangat Rendah</v>
      </c>
    </row>
    <row r="695" spans="1:20" ht="15.75" customHeight="1" x14ac:dyDescent="0.3">
      <c r="A695" s="4" t="s">
        <v>1691</v>
      </c>
      <c r="B695" s="3">
        <v>45795.204236111109</v>
      </c>
      <c r="C695" s="2" t="s">
        <v>1083</v>
      </c>
      <c r="D695" s="2" t="s">
        <v>170</v>
      </c>
      <c r="E695" s="2" t="s">
        <v>34</v>
      </c>
      <c r="F695" s="2">
        <v>16000</v>
      </c>
      <c r="G695" s="2">
        <v>2</v>
      </c>
      <c r="H695" s="2">
        <v>15</v>
      </c>
      <c r="I695">
        <f t="shared" si="50"/>
        <v>32000</v>
      </c>
      <c r="J695">
        <f t="shared" si="51"/>
        <v>4800</v>
      </c>
      <c r="K695" s="6">
        <f t="shared" si="52"/>
        <v>27200</v>
      </c>
      <c r="L695" s="2">
        <v>46000</v>
      </c>
      <c r="M695" s="6">
        <f>Table1[[#This Row],[Total Sales]]+Table1[[#This Row],[Shipping Fee]]</f>
        <v>73200</v>
      </c>
      <c r="N695" s="2" t="s">
        <v>63</v>
      </c>
      <c r="O695" t="str">
        <f>VLOOKUP(Table1[[#This Row],[Order ID]],Status!A:B, 2,FALSE)</f>
        <v>Completed</v>
      </c>
      <c r="P695" s="2" t="s">
        <v>46</v>
      </c>
      <c r="Q695" s="2">
        <v>3</v>
      </c>
      <c r="R695" s="2" t="s">
        <v>24</v>
      </c>
      <c r="S695" s="11" t="str">
        <f t="shared" si="53"/>
        <v>Standar</v>
      </c>
      <c r="T695" s="2" t="str">
        <f t="shared" si="54"/>
        <v>Sangat Rendah</v>
      </c>
    </row>
    <row r="696" spans="1:20" ht="15.75" customHeight="1" x14ac:dyDescent="0.3">
      <c r="A696" s="4" t="s">
        <v>1690</v>
      </c>
      <c r="B696" s="3">
        <v>45795.023715277777</v>
      </c>
      <c r="C696" s="2" t="s">
        <v>1666</v>
      </c>
      <c r="D696" s="2" t="s">
        <v>296</v>
      </c>
      <c r="E696" s="2" t="s">
        <v>62</v>
      </c>
      <c r="F696" s="2">
        <v>50000</v>
      </c>
      <c r="G696" s="2">
        <v>1</v>
      </c>
      <c r="H696" s="2">
        <v>20</v>
      </c>
      <c r="I696">
        <f t="shared" si="50"/>
        <v>50000</v>
      </c>
      <c r="J696">
        <f t="shared" si="51"/>
        <v>10000</v>
      </c>
      <c r="K696" s="6">
        <f t="shared" si="52"/>
        <v>40000</v>
      </c>
      <c r="L696" s="2">
        <v>79000</v>
      </c>
      <c r="M696" s="6">
        <f>Table1[[#This Row],[Total Sales]]+Table1[[#This Row],[Shipping Fee]]</f>
        <v>119000</v>
      </c>
      <c r="N696" s="2" t="s">
        <v>35</v>
      </c>
      <c r="O696" t="str">
        <f>VLOOKUP(Table1[[#This Row],[Order ID]],Status!A:B, 2,FALSE)</f>
        <v>Returned</v>
      </c>
      <c r="P696" s="2" t="s">
        <v>46</v>
      </c>
      <c r="Q696" s="2">
        <v>4</v>
      </c>
      <c r="R696" s="2" t="s">
        <v>37</v>
      </c>
      <c r="S696" s="11" t="str">
        <f t="shared" si="53"/>
        <v>Bagus</v>
      </c>
      <c r="T696" s="2" t="str">
        <f t="shared" si="54"/>
        <v>Rendah</v>
      </c>
    </row>
    <row r="697" spans="1:20" ht="15.75" customHeight="1" x14ac:dyDescent="0.3">
      <c r="A697" s="4" t="s">
        <v>1689</v>
      </c>
      <c r="B697" s="3">
        <v>45794.908113425918</v>
      </c>
      <c r="C697" s="2" t="s">
        <v>510</v>
      </c>
      <c r="D697" s="2" t="s">
        <v>96</v>
      </c>
      <c r="E697" s="2" t="s">
        <v>186</v>
      </c>
      <c r="F697" s="2">
        <v>45000</v>
      </c>
      <c r="G697" s="2">
        <v>4</v>
      </c>
      <c r="H697" s="2">
        <v>15</v>
      </c>
      <c r="I697">
        <f t="shared" si="50"/>
        <v>180000</v>
      </c>
      <c r="J697">
        <f t="shared" si="51"/>
        <v>27000</v>
      </c>
      <c r="K697" s="6">
        <f t="shared" si="52"/>
        <v>153000</v>
      </c>
      <c r="L697" s="2">
        <v>49000</v>
      </c>
      <c r="M697" s="6">
        <f>Table1[[#This Row],[Total Sales]]+Table1[[#This Row],[Shipping Fee]]</f>
        <v>202000</v>
      </c>
      <c r="N697" s="2" t="s">
        <v>29</v>
      </c>
      <c r="O697" t="str">
        <f>VLOOKUP(Table1[[#This Row],[Order ID]],Status!A:B, 2,FALSE)</f>
        <v>Cancelled</v>
      </c>
      <c r="P697" s="2" t="s">
        <v>30</v>
      </c>
      <c r="Q697" s="2">
        <v>3</v>
      </c>
      <c r="R697" s="2" t="s">
        <v>24</v>
      </c>
      <c r="S697" s="11" t="str">
        <f t="shared" si="53"/>
        <v>Standar</v>
      </c>
      <c r="T697" s="2" t="str">
        <f t="shared" si="54"/>
        <v>Tinggi</v>
      </c>
    </row>
    <row r="698" spans="1:20" ht="15.75" customHeight="1" x14ac:dyDescent="0.3">
      <c r="A698" s="4" t="s">
        <v>1688</v>
      </c>
      <c r="B698" s="3">
        <v>45794.592037037037</v>
      </c>
      <c r="C698" s="2" t="s">
        <v>796</v>
      </c>
      <c r="D698" s="2" t="s">
        <v>119</v>
      </c>
      <c r="E698" s="2" t="s">
        <v>85</v>
      </c>
      <c r="F698" s="2">
        <v>35000</v>
      </c>
      <c r="G698" s="2">
        <v>4</v>
      </c>
      <c r="H698" s="2">
        <v>20</v>
      </c>
      <c r="I698">
        <f t="shared" si="50"/>
        <v>140000</v>
      </c>
      <c r="J698">
        <f t="shared" si="51"/>
        <v>28000</v>
      </c>
      <c r="K698" s="6">
        <f t="shared" si="52"/>
        <v>112000</v>
      </c>
      <c r="L698" s="2">
        <v>0</v>
      </c>
      <c r="M698" s="6">
        <f>Table1[[#This Row],[Total Sales]]+Table1[[#This Row],[Shipping Fee]]</f>
        <v>112000</v>
      </c>
      <c r="N698" s="2" t="s">
        <v>22</v>
      </c>
      <c r="O698" t="str">
        <f>VLOOKUP(Table1[[#This Row],[Order ID]],Status!A:B, 2,FALSE)</f>
        <v>Returned</v>
      </c>
      <c r="P698" s="2" t="s">
        <v>30</v>
      </c>
      <c r="Q698" s="2">
        <v>1</v>
      </c>
      <c r="R698" s="2" t="s">
        <v>24</v>
      </c>
      <c r="S698" s="11" t="str">
        <f t="shared" si="53"/>
        <v>Rendah</v>
      </c>
      <c r="T698" s="2" t="str">
        <f t="shared" si="54"/>
        <v>Tinggi</v>
      </c>
    </row>
    <row r="699" spans="1:20" ht="15.75" customHeight="1" x14ac:dyDescent="0.3">
      <c r="A699" s="4" t="s">
        <v>1687</v>
      </c>
      <c r="B699" s="3">
        <v>45794.427870370368</v>
      </c>
      <c r="C699" s="2" t="s">
        <v>100</v>
      </c>
      <c r="D699" s="2" t="s">
        <v>66</v>
      </c>
      <c r="E699" s="2" t="s">
        <v>144</v>
      </c>
      <c r="F699" s="2">
        <v>18000</v>
      </c>
      <c r="G699" s="2">
        <v>1</v>
      </c>
      <c r="H699" s="2">
        <v>10</v>
      </c>
      <c r="I699">
        <f t="shared" si="50"/>
        <v>18000</v>
      </c>
      <c r="J699">
        <f t="shared" si="51"/>
        <v>1800</v>
      </c>
      <c r="K699" s="6">
        <f t="shared" si="52"/>
        <v>16200</v>
      </c>
      <c r="L699" s="2">
        <v>59000</v>
      </c>
      <c r="M699" s="6">
        <f>Table1[[#This Row],[Total Sales]]+Table1[[#This Row],[Shipping Fee]]</f>
        <v>75200</v>
      </c>
      <c r="N699" s="2" t="s">
        <v>63</v>
      </c>
      <c r="O699" t="str">
        <f>VLOOKUP(Table1[[#This Row],[Order ID]],Status!A:B, 2,FALSE)</f>
        <v>Completed</v>
      </c>
      <c r="P699" s="2" t="s">
        <v>46</v>
      </c>
      <c r="Q699" s="2">
        <v>2</v>
      </c>
      <c r="R699" s="2" t="s">
        <v>24</v>
      </c>
      <c r="S699" s="11" t="str">
        <f t="shared" si="53"/>
        <v>Rendah</v>
      </c>
      <c r="T699" s="2" t="str">
        <f t="shared" si="54"/>
        <v>Sangat Rendah</v>
      </c>
    </row>
    <row r="700" spans="1:20" ht="15.75" customHeight="1" x14ac:dyDescent="0.3">
      <c r="A700" s="4" t="s">
        <v>1686</v>
      </c>
      <c r="B700" s="3">
        <v>45793.992638888893</v>
      </c>
      <c r="C700" s="2" t="s">
        <v>316</v>
      </c>
      <c r="D700" s="2" t="s">
        <v>244</v>
      </c>
      <c r="E700" s="2" t="s">
        <v>75</v>
      </c>
      <c r="F700" s="2">
        <v>55000</v>
      </c>
      <c r="G700" s="2">
        <v>4</v>
      </c>
      <c r="H700" s="2">
        <v>15</v>
      </c>
      <c r="I700">
        <f t="shared" si="50"/>
        <v>220000</v>
      </c>
      <c r="J700">
        <f t="shared" si="51"/>
        <v>33000</v>
      </c>
      <c r="K700" s="6">
        <f t="shared" si="52"/>
        <v>187000</v>
      </c>
      <c r="L700" s="2">
        <v>80000</v>
      </c>
      <c r="M700" s="6">
        <f>Table1[[#This Row],[Total Sales]]+Table1[[#This Row],[Shipping Fee]]</f>
        <v>267000</v>
      </c>
      <c r="N700" s="2" t="s">
        <v>35</v>
      </c>
      <c r="O700" t="str">
        <f>VLOOKUP(Table1[[#This Row],[Order ID]],Status!A:B, 2,FALSE)</f>
        <v>Completed</v>
      </c>
      <c r="P700" s="2" t="s">
        <v>82</v>
      </c>
      <c r="Q700" s="2">
        <v>2</v>
      </c>
      <c r="R700" s="2" t="s">
        <v>24</v>
      </c>
      <c r="S700" s="11" t="str">
        <f t="shared" si="53"/>
        <v>Rendah</v>
      </c>
      <c r="T700" s="2" t="str">
        <f t="shared" si="54"/>
        <v>Tinggi</v>
      </c>
    </row>
    <row r="701" spans="1:20" ht="15.75" customHeight="1" x14ac:dyDescent="0.3">
      <c r="A701" s="4" t="s">
        <v>1685</v>
      </c>
      <c r="B701" s="3">
        <v>45793.898761574077</v>
      </c>
      <c r="C701" s="2" t="s">
        <v>246</v>
      </c>
      <c r="D701" s="2" t="s">
        <v>238</v>
      </c>
      <c r="E701" s="2" t="s">
        <v>190</v>
      </c>
      <c r="F701" s="2">
        <v>35000</v>
      </c>
      <c r="G701" s="2">
        <v>1</v>
      </c>
      <c r="H701" s="2">
        <v>15</v>
      </c>
      <c r="I701">
        <f t="shared" si="50"/>
        <v>35000</v>
      </c>
      <c r="J701">
        <f t="shared" si="51"/>
        <v>5250</v>
      </c>
      <c r="K701" s="6">
        <f t="shared" si="52"/>
        <v>29750</v>
      </c>
      <c r="L701" s="2">
        <v>28000</v>
      </c>
      <c r="M701" s="6">
        <f>Table1[[#This Row],[Total Sales]]+Table1[[#This Row],[Shipping Fee]]</f>
        <v>57750</v>
      </c>
      <c r="N701" s="2" t="s">
        <v>22</v>
      </c>
      <c r="O701" t="str">
        <f>VLOOKUP(Table1[[#This Row],[Order ID]],Status!A:B, 2,FALSE)</f>
        <v>Completed</v>
      </c>
      <c r="P701" s="2" t="s">
        <v>23</v>
      </c>
      <c r="Q701" s="2">
        <v>4</v>
      </c>
      <c r="R701" s="2" t="s">
        <v>24</v>
      </c>
      <c r="S701" s="11" t="str">
        <f t="shared" si="53"/>
        <v>Bagus</v>
      </c>
      <c r="T701" s="2" t="str">
        <f t="shared" si="54"/>
        <v>Rendah</v>
      </c>
    </row>
    <row r="702" spans="1:20" ht="15.75" customHeight="1" x14ac:dyDescent="0.3">
      <c r="A702" s="4" t="s">
        <v>1684</v>
      </c>
      <c r="B702" s="3">
        <v>45793.745891203696</v>
      </c>
      <c r="C702" s="2" t="s">
        <v>214</v>
      </c>
      <c r="D702" s="2" t="s">
        <v>131</v>
      </c>
      <c r="E702" s="2" t="s">
        <v>144</v>
      </c>
      <c r="F702" s="2">
        <v>18000</v>
      </c>
      <c r="G702" s="2">
        <v>4</v>
      </c>
      <c r="H702" s="2">
        <v>15</v>
      </c>
      <c r="I702">
        <f t="shared" si="50"/>
        <v>72000</v>
      </c>
      <c r="J702">
        <f t="shared" si="51"/>
        <v>10800</v>
      </c>
      <c r="K702" s="6">
        <f t="shared" si="52"/>
        <v>61200</v>
      </c>
      <c r="L702" s="2">
        <v>59000</v>
      </c>
      <c r="M702" s="6">
        <f>Table1[[#This Row],[Total Sales]]+Table1[[#This Row],[Shipping Fee]]</f>
        <v>120200</v>
      </c>
      <c r="N702" s="2" t="s">
        <v>63</v>
      </c>
      <c r="O702" t="str">
        <f>VLOOKUP(Table1[[#This Row],[Order ID]],Status!A:B, 2,FALSE)</f>
        <v>Returned</v>
      </c>
      <c r="P702" s="2" t="s">
        <v>30</v>
      </c>
      <c r="Q702" s="2">
        <v>4</v>
      </c>
      <c r="R702" s="2" t="s">
        <v>24</v>
      </c>
      <c r="S702" s="11" t="str">
        <f t="shared" si="53"/>
        <v>Bagus</v>
      </c>
      <c r="T702" s="2" t="str">
        <f t="shared" si="54"/>
        <v>Normal</v>
      </c>
    </row>
    <row r="703" spans="1:20" ht="15.75" customHeight="1" x14ac:dyDescent="0.3">
      <c r="A703" s="4" t="s">
        <v>1683</v>
      </c>
      <c r="B703" s="3">
        <v>45793.158506944441</v>
      </c>
      <c r="C703" s="2" t="s">
        <v>91</v>
      </c>
      <c r="D703" s="2" t="s">
        <v>92</v>
      </c>
      <c r="E703" s="2" t="s">
        <v>67</v>
      </c>
      <c r="F703" s="2">
        <v>15000</v>
      </c>
      <c r="G703" s="2">
        <v>3</v>
      </c>
      <c r="H703" s="2">
        <v>5</v>
      </c>
      <c r="I703">
        <f t="shared" si="50"/>
        <v>45000</v>
      </c>
      <c r="J703">
        <f t="shared" si="51"/>
        <v>2250</v>
      </c>
      <c r="K703" s="6">
        <f t="shared" si="52"/>
        <v>42750</v>
      </c>
      <c r="L703" s="2">
        <v>30000</v>
      </c>
      <c r="M703" s="6">
        <f>Table1[[#This Row],[Total Sales]]+Table1[[#This Row],[Shipping Fee]]</f>
        <v>72750</v>
      </c>
      <c r="N703" s="2" t="s">
        <v>22</v>
      </c>
      <c r="O703" t="str">
        <f>VLOOKUP(Table1[[#This Row],[Order ID]],Status!A:B, 2,FALSE)</f>
        <v>Completed</v>
      </c>
      <c r="P703" s="2" t="s">
        <v>82</v>
      </c>
      <c r="Q703" s="2">
        <v>2</v>
      </c>
      <c r="R703" s="2" t="s">
        <v>24</v>
      </c>
      <c r="S703" s="11" t="str">
        <f t="shared" si="53"/>
        <v>Rendah</v>
      </c>
      <c r="T703" s="2" t="str">
        <f t="shared" si="54"/>
        <v>Sangat Rendah</v>
      </c>
    </row>
    <row r="704" spans="1:20" ht="15.75" customHeight="1" x14ac:dyDescent="0.3">
      <c r="A704" s="4" t="s">
        <v>1682</v>
      </c>
      <c r="B704" s="3">
        <v>45793.144826388889</v>
      </c>
      <c r="C704" s="2" t="s">
        <v>412</v>
      </c>
      <c r="D704" s="2" t="s">
        <v>70</v>
      </c>
      <c r="E704" s="2" t="s">
        <v>34</v>
      </c>
      <c r="F704" s="2">
        <v>16000</v>
      </c>
      <c r="G704" s="2">
        <v>1</v>
      </c>
      <c r="H704" s="2">
        <v>0</v>
      </c>
      <c r="I704">
        <f t="shared" si="50"/>
        <v>16000</v>
      </c>
      <c r="J704">
        <f t="shared" si="51"/>
        <v>0</v>
      </c>
      <c r="K704" s="6">
        <f t="shared" si="52"/>
        <v>16000</v>
      </c>
      <c r="L704" s="2">
        <v>89000</v>
      </c>
      <c r="M704" s="6">
        <f>Table1[[#This Row],[Total Sales]]+Table1[[#This Row],[Shipping Fee]]</f>
        <v>105000</v>
      </c>
      <c r="N704" s="2" t="s">
        <v>22</v>
      </c>
      <c r="O704" t="str">
        <f>VLOOKUP(Table1[[#This Row],[Order ID]],Status!A:B, 2,FALSE)</f>
        <v>Completed</v>
      </c>
      <c r="P704" s="2" t="s">
        <v>36</v>
      </c>
      <c r="Q704" s="2">
        <v>5</v>
      </c>
      <c r="R704" s="2" t="s">
        <v>24</v>
      </c>
      <c r="S704" s="11" t="str">
        <f t="shared" si="53"/>
        <v>Bagus</v>
      </c>
      <c r="T704" s="2" t="str">
        <f t="shared" si="54"/>
        <v>Sangat Rendah</v>
      </c>
    </row>
    <row r="705" spans="1:20" ht="15.75" customHeight="1" x14ac:dyDescent="0.3">
      <c r="A705" s="4" t="s">
        <v>1681</v>
      </c>
      <c r="B705" s="3">
        <v>45792.786874999998</v>
      </c>
      <c r="C705" s="2" t="s">
        <v>434</v>
      </c>
      <c r="D705" s="2" t="s">
        <v>435</v>
      </c>
      <c r="E705" s="2" t="s">
        <v>34</v>
      </c>
      <c r="F705" s="2">
        <v>16000</v>
      </c>
      <c r="G705" s="2">
        <v>1</v>
      </c>
      <c r="H705" s="2">
        <v>10</v>
      </c>
      <c r="I705">
        <f t="shared" si="50"/>
        <v>16000</v>
      </c>
      <c r="J705">
        <f t="shared" si="51"/>
        <v>1600</v>
      </c>
      <c r="K705" s="6">
        <f t="shared" si="52"/>
        <v>14400</v>
      </c>
      <c r="L705" s="2">
        <v>67000</v>
      </c>
      <c r="M705" s="6">
        <f>Table1[[#This Row],[Total Sales]]+Table1[[#This Row],[Shipping Fee]]</f>
        <v>81400</v>
      </c>
      <c r="N705" s="2" t="s">
        <v>29</v>
      </c>
      <c r="O705" t="str">
        <f>VLOOKUP(Table1[[#This Row],[Order ID]],Status!A:B, 2,FALSE)</f>
        <v>Completed</v>
      </c>
      <c r="P705" s="2" t="s">
        <v>23</v>
      </c>
      <c r="Q705" s="2">
        <v>2</v>
      </c>
      <c r="R705" s="2" t="s">
        <v>24</v>
      </c>
      <c r="S705" s="11" t="str">
        <f t="shared" si="53"/>
        <v>Rendah</v>
      </c>
      <c r="T705" s="2" t="str">
        <f t="shared" si="54"/>
        <v>Sangat Rendah</v>
      </c>
    </row>
    <row r="706" spans="1:20" ht="15.75" customHeight="1" x14ac:dyDescent="0.3">
      <c r="A706" s="4" t="s">
        <v>1680</v>
      </c>
      <c r="B706" s="3">
        <v>45792.682291666657</v>
      </c>
      <c r="C706" s="2" t="s">
        <v>181</v>
      </c>
      <c r="D706" s="2" t="s">
        <v>182</v>
      </c>
      <c r="E706" s="2" t="s">
        <v>21</v>
      </c>
      <c r="F706" s="2">
        <v>45000</v>
      </c>
      <c r="G706" s="2">
        <v>4</v>
      </c>
      <c r="H706" s="2">
        <v>10</v>
      </c>
      <c r="I706">
        <f t="shared" ref="I706:I769" si="55">F706*G706</f>
        <v>180000</v>
      </c>
      <c r="J706">
        <f t="shared" ref="J706:J769" si="56">I706*H706/100</f>
        <v>18000</v>
      </c>
      <c r="K706" s="6">
        <f t="shared" ref="K706:K769" si="57">I706-J706</f>
        <v>162000</v>
      </c>
      <c r="L706" s="2">
        <v>48000</v>
      </c>
      <c r="M706" s="6">
        <f>Table1[[#This Row],[Total Sales]]+Table1[[#This Row],[Shipping Fee]]</f>
        <v>210000</v>
      </c>
      <c r="N706" s="2" t="s">
        <v>35</v>
      </c>
      <c r="O706" t="str">
        <f>VLOOKUP(Table1[[#This Row],[Order ID]],Status!A:B, 2,FALSE)</f>
        <v>Completed</v>
      </c>
      <c r="P706" s="2" t="s">
        <v>46</v>
      </c>
      <c r="Q706" s="2">
        <v>3</v>
      </c>
      <c r="R706" s="2" t="s">
        <v>24</v>
      </c>
      <c r="S706" s="11" t="str">
        <f t="shared" ref="S706:S769" si="58">_xlfn.IFS(Q706&gt;3,"Bagus",Q706=3,"Standar",Q706&lt;3,"Rendah")</f>
        <v>Standar</v>
      </c>
      <c r="T706" s="2" t="str">
        <f t="shared" ref="T706:T769" si="59">_xlfn.IFS(J706&lt;=5000,"Sangat Rendah", J706&lt;=10000,"Rendah", J706&lt;=20000, "Normal", J706&lt;=35000, "Tinggi", J706&lt;= 50000, "Sangat Tinggi", J706&gt;50000, "Clearance")</f>
        <v>Normal</v>
      </c>
    </row>
    <row r="707" spans="1:20" ht="15.75" customHeight="1" x14ac:dyDescent="0.3">
      <c r="A707" s="4" t="s">
        <v>1680</v>
      </c>
      <c r="B707" s="3">
        <v>45792.682291666657</v>
      </c>
      <c r="C707" s="2" t="s">
        <v>181</v>
      </c>
      <c r="D707" s="2" t="s">
        <v>182</v>
      </c>
      <c r="E707" s="2" t="s">
        <v>104</v>
      </c>
      <c r="F707" s="2">
        <v>30000</v>
      </c>
      <c r="G707" s="2">
        <v>1</v>
      </c>
      <c r="H707" s="2">
        <v>10</v>
      </c>
      <c r="I707">
        <f t="shared" si="55"/>
        <v>30000</v>
      </c>
      <c r="J707">
        <f t="shared" si="56"/>
        <v>3000</v>
      </c>
      <c r="K707" s="6">
        <f t="shared" si="57"/>
        <v>27000</v>
      </c>
      <c r="L707" s="2">
        <v>0</v>
      </c>
      <c r="M707" s="6">
        <f>Table1[[#This Row],[Total Sales]]+Table1[[#This Row],[Shipping Fee]]</f>
        <v>27000</v>
      </c>
      <c r="N707" s="2" t="s">
        <v>35</v>
      </c>
      <c r="O707" t="str">
        <f>VLOOKUP(Table1[[#This Row],[Order ID]],Status!A:B, 2,FALSE)</f>
        <v>Completed</v>
      </c>
      <c r="P707" s="2" t="s">
        <v>46</v>
      </c>
      <c r="Q707" s="2">
        <v>3</v>
      </c>
      <c r="R707" s="2" t="s">
        <v>24</v>
      </c>
      <c r="S707" s="11" t="str">
        <f t="shared" si="58"/>
        <v>Standar</v>
      </c>
      <c r="T707" s="2" t="str">
        <f t="shared" si="59"/>
        <v>Sangat Rendah</v>
      </c>
    </row>
    <row r="708" spans="1:20" ht="15.75" customHeight="1" x14ac:dyDescent="0.3">
      <c r="A708" s="4" t="s">
        <v>1679</v>
      </c>
      <c r="B708" s="3">
        <v>45792.624212962961</v>
      </c>
      <c r="C708" s="2" t="s">
        <v>254</v>
      </c>
      <c r="D708" s="2" t="s">
        <v>61</v>
      </c>
      <c r="E708" s="2" t="s">
        <v>174</v>
      </c>
      <c r="F708" s="2">
        <v>10000</v>
      </c>
      <c r="G708" s="2">
        <v>1</v>
      </c>
      <c r="H708" s="2">
        <v>5</v>
      </c>
      <c r="I708">
        <f t="shared" si="55"/>
        <v>10000</v>
      </c>
      <c r="J708">
        <f t="shared" si="56"/>
        <v>500</v>
      </c>
      <c r="K708" s="6">
        <f t="shared" si="57"/>
        <v>9500</v>
      </c>
      <c r="L708" s="2">
        <v>26000</v>
      </c>
      <c r="M708" s="6">
        <f>Table1[[#This Row],[Total Sales]]+Table1[[#This Row],[Shipping Fee]]</f>
        <v>35500</v>
      </c>
      <c r="N708" s="2" t="s">
        <v>29</v>
      </c>
      <c r="O708" t="str">
        <f>VLOOKUP(Table1[[#This Row],[Order ID]],Status!A:B, 2,FALSE)</f>
        <v>Completed</v>
      </c>
      <c r="P708" s="2" t="s">
        <v>82</v>
      </c>
      <c r="Q708" s="2">
        <v>4</v>
      </c>
      <c r="R708" s="2" t="s">
        <v>24</v>
      </c>
      <c r="S708" s="11" t="str">
        <f t="shared" si="58"/>
        <v>Bagus</v>
      </c>
      <c r="T708" s="2" t="str">
        <f t="shared" si="59"/>
        <v>Sangat Rendah</v>
      </c>
    </row>
    <row r="709" spans="1:20" ht="15.75" customHeight="1" x14ac:dyDescent="0.3">
      <c r="A709" s="4" t="s">
        <v>1678</v>
      </c>
      <c r="B709" s="3">
        <v>45792.569108796299</v>
      </c>
      <c r="C709" s="2" t="s">
        <v>804</v>
      </c>
      <c r="D709" s="2" t="s">
        <v>49</v>
      </c>
      <c r="E709" s="2" t="s">
        <v>85</v>
      </c>
      <c r="F709" s="2">
        <v>35000</v>
      </c>
      <c r="G709" s="2">
        <v>4</v>
      </c>
      <c r="H709" s="2">
        <v>0</v>
      </c>
      <c r="I709">
        <f t="shared" si="55"/>
        <v>140000</v>
      </c>
      <c r="J709">
        <f t="shared" si="56"/>
        <v>0</v>
      </c>
      <c r="K709" s="6">
        <f t="shared" si="57"/>
        <v>140000</v>
      </c>
      <c r="L709" s="2">
        <v>43000</v>
      </c>
      <c r="M709" s="6">
        <f>Table1[[#This Row],[Total Sales]]+Table1[[#This Row],[Shipping Fee]]</f>
        <v>183000</v>
      </c>
      <c r="N709" s="2" t="s">
        <v>63</v>
      </c>
      <c r="O709" t="str">
        <f>VLOOKUP(Table1[[#This Row],[Order ID]],Status!A:B, 2,FALSE)</f>
        <v>Completed</v>
      </c>
      <c r="P709" s="2" t="s">
        <v>30</v>
      </c>
      <c r="Q709" s="2">
        <v>3</v>
      </c>
      <c r="R709" s="2" t="s">
        <v>24</v>
      </c>
      <c r="S709" s="11" t="str">
        <f t="shared" si="58"/>
        <v>Standar</v>
      </c>
      <c r="T709" s="2" t="str">
        <f t="shared" si="59"/>
        <v>Sangat Rendah</v>
      </c>
    </row>
    <row r="710" spans="1:20" ht="15.75" customHeight="1" x14ac:dyDescent="0.3">
      <c r="A710" s="4" t="s">
        <v>1677</v>
      </c>
      <c r="B710" s="3">
        <v>45792.342673611107</v>
      </c>
      <c r="C710" s="2" t="s">
        <v>19</v>
      </c>
      <c r="D710" s="2" t="s">
        <v>20</v>
      </c>
      <c r="E710" s="2" t="s">
        <v>58</v>
      </c>
      <c r="F710" s="2">
        <v>16000</v>
      </c>
      <c r="G710" s="2">
        <v>3</v>
      </c>
      <c r="H710" s="2">
        <v>15</v>
      </c>
      <c r="I710">
        <f t="shared" si="55"/>
        <v>48000</v>
      </c>
      <c r="J710">
        <f t="shared" si="56"/>
        <v>7200</v>
      </c>
      <c r="K710" s="6">
        <f t="shared" si="57"/>
        <v>40800</v>
      </c>
      <c r="L710" s="2">
        <v>15000</v>
      </c>
      <c r="M710" s="6">
        <f>Table1[[#This Row],[Total Sales]]+Table1[[#This Row],[Shipping Fee]]</f>
        <v>55800</v>
      </c>
      <c r="N710" s="2" t="s">
        <v>35</v>
      </c>
      <c r="O710" t="str">
        <f>VLOOKUP(Table1[[#This Row],[Order ID]],Status!A:B, 2,FALSE)</f>
        <v>Completed</v>
      </c>
      <c r="P710" s="2" t="s">
        <v>82</v>
      </c>
      <c r="Q710" s="2">
        <v>2</v>
      </c>
      <c r="R710" s="2" t="s">
        <v>24</v>
      </c>
      <c r="S710" s="11" t="str">
        <f t="shared" si="58"/>
        <v>Rendah</v>
      </c>
      <c r="T710" s="2" t="str">
        <f t="shared" si="59"/>
        <v>Rendah</v>
      </c>
    </row>
    <row r="711" spans="1:20" ht="15.75" customHeight="1" x14ac:dyDescent="0.3">
      <c r="A711" s="4" t="s">
        <v>1677</v>
      </c>
      <c r="B711" s="3">
        <v>45792.342673611107</v>
      </c>
      <c r="C711" s="2" t="s">
        <v>19</v>
      </c>
      <c r="D711" s="2" t="s">
        <v>20</v>
      </c>
      <c r="E711" s="2" t="s">
        <v>75</v>
      </c>
      <c r="F711" s="2">
        <v>55000</v>
      </c>
      <c r="G711" s="2">
        <v>3</v>
      </c>
      <c r="H711" s="2">
        <v>10</v>
      </c>
      <c r="I711">
        <f t="shared" si="55"/>
        <v>165000</v>
      </c>
      <c r="J711">
        <f t="shared" si="56"/>
        <v>16500</v>
      </c>
      <c r="K711" s="6">
        <f t="shared" si="57"/>
        <v>148500</v>
      </c>
      <c r="L711" s="2">
        <v>0</v>
      </c>
      <c r="M711" s="6">
        <f>Table1[[#This Row],[Total Sales]]+Table1[[#This Row],[Shipping Fee]]</f>
        <v>148500</v>
      </c>
      <c r="N711" s="2" t="s">
        <v>35</v>
      </c>
      <c r="O711" t="str">
        <f>VLOOKUP(Table1[[#This Row],[Order ID]],Status!A:B, 2,FALSE)</f>
        <v>Completed</v>
      </c>
      <c r="P711" s="2" t="s">
        <v>82</v>
      </c>
      <c r="Q711" s="2">
        <v>2</v>
      </c>
      <c r="R711" s="2" t="s">
        <v>24</v>
      </c>
      <c r="S711" s="11" t="str">
        <f t="shared" si="58"/>
        <v>Rendah</v>
      </c>
      <c r="T711" s="2" t="str">
        <f t="shared" si="59"/>
        <v>Normal</v>
      </c>
    </row>
    <row r="712" spans="1:20" ht="15.75" customHeight="1" x14ac:dyDescent="0.3">
      <c r="A712" s="4" t="s">
        <v>1676</v>
      </c>
      <c r="B712" s="3">
        <v>45792.312106481477</v>
      </c>
      <c r="C712" s="2" t="s">
        <v>851</v>
      </c>
      <c r="D712" s="2" t="s">
        <v>66</v>
      </c>
      <c r="E712" s="2" t="s">
        <v>28</v>
      </c>
      <c r="F712" s="2">
        <v>5000</v>
      </c>
      <c r="G712" s="2">
        <v>5</v>
      </c>
      <c r="H712" s="2">
        <v>5</v>
      </c>
      <c r="I712">
        <f t="shared" si="55"/>
        <v>25000</v>
      </c>
      <c r="J712">
        <f t="shared" si="56"/>
        <v>1250</v>
      </c>
      <c r="K712" s="6">
        <f t="shared" si="57"/>
        <v>23750</v>
      </c>
      <c r="L712" s="2">
        <v>59000</v>
      </c>
      <c r="M712" s="6">
        <f>Table1[[#This Row],[Total Sales]]+Table1[[#This Row],[Shipping Fee]]</f>
        <v>82750</v>
      </c>
      <c r="N712" s="2" t="s">
        <v>29</v>
      </c>
      <c r="O712" t="str">
        <f>VLOOKUP(Table1[[#This Row],[Order ID]],Status!A:B, 2,FALSE)</f>
        <v>Completed</v>
      </c>
      <c r="P712" s="2" t="s">
        <v>82</v>
      </c>
      <c r="Q712" s="2">
        <v>4</v>
      </c>
      <c r="R712" s="2" t="s">
        <v>37</v>
      </c>
      <c r="S712" s="11" t="str">
        <f t="shared" si="58"/>
        <v>Bagus</v>
      </c>
      <c r="T712" s="2" t="str">
        <f t="shared" si="59"/>
        <v>Sangat Rendah</v>
      </c>
    </row>
    <row r="713" spans="1:20" ht="15.75" customHeight="1" x14ac:dyDescent="0.3">
      <c r="A713" s="4" t="s">
        <v>1675</v>
      </c>
      <c r="B713" s="3">
        <v>45792.082291666673</v>
      </c>
      <c r="C713" s="2" t="s">
        <v>589</v>
      </c>
      <c r="D713" s="2" t="s">
        <v>262</v>
      </c>
      <c r="E713" s="2" t="s">
        <v>123</v>
      </c>
      <c r="F713" s="2">
        <v>22000</v>
      </c>
      <c r="G713" s="2">
        <v>3</v>
      </c>
      <c r="H713" s="2">
        <v>10</v>
      </c>
      <c r="I713">
        <f t="shared" si="55"/>
        <v>66000</v>
      </c>
      <c r="J713">
        <f t="shared" si="56"/>
        <v>6600</v>
      </c>
      <c r="K713" s="6">
        <f t="shared" si="57"/>
        <v>59400</v>
      </c>
      <c r="L713" s="2">
        <v>18000</v>
      </c>
      <c r="M713" s="6">
        <f>Table1[[#This Row],[Total Sales]]+Table1[[#This Row],[Shipping Fee]]</f>
        <v>77400</v>
      </c>
      <c r="N713" s="2" t="s">
        <v>22</v>
      </c>
      <c r="O713" t="str">
        <f>VLOOKUP(Table1[[#This Row],[Order ID]],Status!A:B, 2,FALSE)</f>
        <v>Completed</v>
      </c>
      <c r="P713" s="2" t="s">
        <v>36</v>
      </c>
      <c r="Q713" s="2">
        <v>3</v>
      </c>
      <c r="R713" s="2" t="s">
        <v>37</v>
      </c>
      <c r="S713" s="11" t="str">
        <f t="shared" si="58"/>
        <v>Standar</v>
      </c>
      <c r="T713" s="2" t="str">
        <f t="shared" si="59"/>
        <v>Rendah</v>
      </c>
    </row>
    <row r="714" spans="1:20" ht="15.75" customHeight="1" x14ac:dyDescent="0.3">
      <c r="A714" s="4" t="s">
        <v>1674</v>
      </c>
      <c r="B714" s="3">
        <v>45792.079675925917</v>
      </c>
      <c r="C714" s="2" t="s">
        <v>192</v>
      </c>
      <c r="D714" s="2" t="s">
        <v>107</v>
      </c>
      <c r="E714" s="2" t="s">
        <v>190</v>
      </c>
      <c r="F714" s="2">
        <v>35000</v>
      </c>
      <c r="G714" s="2">
        <v>4</v>
      </c>
      <c r="H714" s="2">
        <v>20</v>
      </c>
      <c r="I714">
        <f t="shared" si="55"/>
        <v>140000</v>
      </c>
      <c r="J714">
        <f t="shared" si="56"/>
        <v>28000</v>
      </c>
      <c r="K714" s="6">
        <f t="shared" si="57"/>
        <v>112000</v>
      </c>
      <c r="L714" s="2">
        <v>97000</v>
      </c>
      <c r="M714" s="6">
        <f>Table1[[#This Row],[Total Sales]]+Table1[[#This Row],[Shipping Fee]]</f>
        <v>209000</v>
      </c>
      <c r="N714" s="2" t="s">
        <v>63</v>
      </c>
      <c r="O714" t="str">
        <f>VLOOKUP(Table1[[#This Row],[Order ID]],Status!A:B, 2,FALSE)</f>
        <v>Completed</v>
      </c>
      <c r="P714" s="2" t="s">
        <v>23</v>
      </c>
      <c r="Q714" s="2">
        <v>3</v>
      </c>
      <c r="R714" s="2" t="s">
        <v>24</v>
      </c>
      <c r="S714" s="11" t="str">
        <f t="shared" si="58"/>
        <v>Standar</v>
      </c>
      <c r="T714" s="2" t="str">
        <f t="shared" si="59"/>
        <v>Tinggi</v>
      </c>
    </row>
    <row r="715" spans="1:20" ht="15.75" customHeight="1" x14ac:dyDescent="0.3">
      <c r="A715" s="4" t="s">
        <v>1673</v>
      </c>
      <c r="B715" s="3">
        <v>45791.735127314823</v>
      </c>
      <c r="C715" s="2" t="s">
        <v>128</v>
      </c>
      <c r="D715" s="2" t="s">
        <v>103</v>
      </c>
      <c r="E715" s="2" t="s">
        <v>81</v>
      </c>
      <c r="F715" s="2">
        <v>17000</v>
      </c>
      <c r="G715" s="2">
        <v>5</v>
      </c>
      <c r="H715" s="2">
        <v>10</v>
      </c>
      <c r="I715">
        <f t="shared" si="55"/>
        <v>85000</v>
      </c>
      <c r="J715">
        <f t="shared" si="56"/>
        <v>8500</v>
      </c>
      <c r="K715" s="6">
        <f t="shared" si="57"/>
        <v>76500</v>
      </c>
      <c r="L715" s="2">
        <v>85000</v>
      </c>
      <c r="M715" s="6">
        <f>Table1[[#This Row],[Total Sales]]+Table1[[#This Row],[Shipping Fee]]</f>
        <v>161500</v>
      </c>
      <c r="N715" s="2" t="s">
        <v>35</v>
      </c>
      <c r="O715" t="str">
        <f>VLOOKUP(Table1[[#This Row],[Order ID]],Status!A:B, 2,FALSE)</f>
        <v>Completed</v>
      </c>
      <c r="P715" s="2" t="s">
        <v>82</v>
      </c>
      <c r="Q715" s="2">
        <v>3</v>
      </c>
      <c r="R715" s="2" t="s">
        <v>37</v>
      </c>
      <c r="S715" s="11" t="str">
        <f t="shared" si="58"/>
        <v>Standar</v>
      </c>
      <c r="T715" s="2" t="str">
        <f t="shared" si="59"/>
        <v>Rendah</v>
      </c>
    </row>
    <row r="716" spans="1:20" ht="15.75" customHeight="1" x14ac:dyDescent="0.3">
      <c r="A716" s="4" t="s">
        <v>1672</v>
      </c>
      <c r="B716" s="3">
        <v>45791.686967592592</v>
      </c>
      <c r="C716" s="2" t="s">
        <v>576</v>
      </c>
      <c r="D716" s="2" t="s">
        <v>57</v>
      </c>
      <c r="E716" s="2" t="s">
        <v>50</v>
      </c>
      <c r="F716" s="2">
        <v>14000</v>
      </c>
      <c r="G716" s="2">
        <v>2</v>
      </c>
      <c r="H716" s="2">
        <v>15</v>
      </c>
      <c r="I716">
        <f t="shared" si="55"/>
        <v>28000</v>
      </c>
      <c r="J716">
        <f t="shared" si="56"/>
        <v>4200</v>
      </c>
      <c r="K716" s="6">
        <f t="shared" si="57"/>
        <v>23800</v>
      </c>
      <c r="L716" s="2">
        <v>80000</v>
      </c>
      <c r="M716" s="6">
        <f>Table1[[#This Row],[Total Sales]]+Table1[[#This Row],[Shipping Fee]]</f>
        <v>103800</v>
      </c>
      <c r="N716" s="2" t="s">
        <v>63</v>
      </c>
      <c r="O716" t="str">
        <f>VLOOKUP(Table1[[#This Row],[Order ID]],Status!A:B, 2,FALSE)</f>
        <v>Completed</v>
      </c>
      <c r="P716" s="2" t="s">
        <v>23</v>
      </c>
      <c r="Q716" s="2">
        <v>5</v>
      </c>
      <c r="R716" s="2" t="s">
        <v>37</v>
      </c>
      <c r="S716" s="11" t="str">
        <f t="shared" si="58"/>
        <v>Bagus</v>
      </c>
      <c r="T716" s="2" t="str">
        <f t="shared" si="59"/>
        <v>Sangat Rendah</v>
      </c>
    </row>
    <row r="717" spans="1:20" ht="15.75" customHeight="1" x14ac:dyDescent="0.3">
      <c r="A717" s="4" t="s">
        <v>1671</v>
      </c>
      <c r="B717" s="3">
        <v>45791.562789351847</v>
      </c>
      <c r="C717" s="2" t="s">
        <v>1323</v>
      </c>
      <c r="D717" s="2" t="s">
        <v>74</v>
      </c>
      <c r="E717" s="2" t="s">
        <v>144</v>
      </c>
      <c r="F717" s="2">
        <v>18000</v>
      </c>
      <c r="G717" s="2">
        <v>5</v>
      </c>
      <c r="H717" s="2">
        <v>5</v>
      </c>
      <c r="I717">
        <f t="shared" si="55"/>
        <v>90000</v>
      </c>
      <c r="J717">
        <f t="shared" si="56"/>
        <v>4500</v>
      </c>
      <c r="K717" s="6">
        <f t="shared" si="57"/>
        <v>85500</v>
      </c>
      <c r="L717" s="2">
        <v>87000</v>
      </c>
      <c r="M717" s="6">
        <f>Table1[[#This Row],[Total Sales]]+Table1[[#This Row],[Shipping Fee]]</f>
        <v>172500</v>
      </c>
      <c r="N717" s="2" t="s">
        <v>22</v>
      </c>
      <c r="O717" t="str">
        <f>VLOOKUP(Table1[[#This Row],[Order ID]],Status!A:B, 2,FALSE)</f>
        <v>Completed</v>
      </c>
      <c r="P717" s="2" t="s">
        <v>82</v>
      </c>
      <c r="Q717" s="2">
        <v>3</v>
      </c>
      <c r="R717" s="2" t="s">
        <v>24</v>
      </c>
      <c r="S717" s="11" t="str">
        <f t="shared" si="58"/>
        <v>Standar</v>
      </c>
      <c r="T717" s="2" t="str">
        <f t="shared" si="59"/>
        <v>Sangat Rendah</v>
      </c>
    </row>
    <row r="718" spans="1:20" ht="15.75" customHeight="1" x14ac:dyDescent="0.3">
      <c r="A718" s="4" t="s">
        <v>1670</v>
      </c>
      <c r="B718" s="3">
        <v>45791.52002314815</v>
      </c>
      <c r="C718" s="2" t="s">
        <v>387</v>
      </c>
      <c r="D718" s="2" t="s">
        <v>49</v>
      </c>
      <c r="E718" s="2" t="s">
        <v>136</v>
      </c>
      <c r="F718" s="2">
        <v>12000</v>
      </c>
      <c r="G718" s="2">
        <v>5</v>
      </c>
      <c r="H718" s="2">
        <v>5</v>
      </c>
      <c r="I718">
        <f t="shared" si="55"/>
        <v>60000</v>
      </c>
      <c r="J718">
        <f t="shared" si="56"/>
        <v>3000</v>
      </c>
      <c r="K718" s="6">
        <f t="shared" si="57"/>
        <v>57000</v>
      </c>
      <c r="L718" s="2">
        <v>43000</v>
      </c>
      <c r="M718" s="6">
        <f>Table1[[#This Row],[Total Sales]]+Table1[[#This Row],[Shipping Fee]]</f>
        <v>100000</v>
      </c>
      <c r="N718" s="2" t="s">
        <v>35</v>
      </c>
      <c r="O718" t="str">
        <f>VLOOKUP(Table1[[#This Row],[Order ID]],Status!A:B, 2,FALSE)</f>
        <v>Cancelled</v>
      </c>
      <c r="P718" s="2" t="s">
        <v>30</v>
      </c>
      <c r="Q718" s="2">
        <v>5</v>
      </c>
      <c r="R718" s="2" t="s">
        <v>37</v>
      </c>
      <c r="S718" s="11" t="str">
        <f t="shared" si="58"/>
        <v>Bagus</v>
      </c>
      <c r="T718" s="2" t="str">
        <f t="shared" si="59"/>
        <v>Sangat Rendah</v>
      </c>
    </row>
    <row r="719" spans="1:20" ht="15.75" customHeight="1" x14ac:dyDescent="0.3">
      <c r="A719" s="4" t="s">
        <v>1669</v>
      </c>
      <c r="B719" s="3">
        <v>45791.512048611112</v>
      </c>
      <c r="C719" s="2" t="s">
        <v>525</v>
      </c>
      <c r="D719" s="2" t="s">
        <v>96</v>
      </c>
      <c r="E719" s="2" t="s">
        <v>54</v>
      </c>
      <c r="F719" s="2">
        <v>16000</v>
      </c>
      <c r="G719" s="2">
        <v>5</v>
      </c>
      <c r="H719" s="2">
        <v>0</v>
      </c>
      <c r="I719">
        <f t="shared" si="55"/>
        <v>80000</v>
      </c>
      <c r="J719">
        <f t="shared" si="56"/>
        <v>0</v>
      </c>
      <c r="K719" s="6">
        <f t="shared" si="57"/>
        <v>80000</v>
      </c>
      <c r="L719" s="2">
        <v>49000</v>
      </c>
      <c r="M719" s="6">
        <f>Table1[[#This Row],[Total Sales]]+Table1[[#This Row],[Shipping Fee]]</f>
        <v>129000</v>
      </c>
      <c r="N719" s="2" t="s">
        <v>22</v>
      </c>
      <c r="O719" t="str">
        <f>VLOOKUP(Table1[[#This Row],[Order ID]],Status!A:B, 2,FALSE)</f>
        <v>Completed</v>
      </c>
      <c r="P719" s="2" t="s">
        <v>23</v>
      </c>
      <c r="Q719" s="2">
        <v>4</v>
      </c>
      <c r="R719" s="2" t="s">
        <v>24</v>
      </c>
      <c r="S719" s="11" t="str">
        <f t="shared" si="58"/>
        <v>Bagus</v>
      </c>
      <c r="T719" s="2" t="str">
        <f t="shared" si="59"/>
        <v>Sangat Rendah</v>
      </c>
    </row>
    <row r="720" spans="1:20" ht="15.75" customHeight="1" x14ac:dyDescent="0.3">
      <c r="A720" s="4" t="s">
        <v>1668</v>
      </c>
      <c r="B720" s="3">
        <v>45791.439097222217</v>
      </c>
      <c r="C720" s="2" t="s">
        <v>446</v>
      </c>
      <c r="D720" s="2" t="s">
        <v>296</v>
      </c>
      <c r="E720" s="2" t="s">
        <v>110</v>
      </c>
      <c r="F720" s="2">
        <v>6000</v>
      </c>
      <c r="G720" s="2">
        <v>2</v>
      </c>
      <c r="H720" s="2">
        <v>20</v>
      </c>
      <c r="I720">
        <f t="shared" si="55"/>
        <v>12000</v>
      </c>
      <c r="J720">
        <f t="shared" si="56"/>
        <v>2400</v>
      </c>
      <c r="K720" s="6">
        <f t="shared" si="57"/>
        <v>9600</v>
      </c>
      <c r="L720" s="2">
        <v>79000</v>
      </c>
      <c r="M720" s="6">
        <f>Table1[[#This Row],[Total Sales]]+Table1[[#This Row],[Shipping Fee]]</f>
        <v>88600</v>
      </c>
      <c r="N720" s="2" t="s">
        <v>29</v>
      </c>
      <c r="O720" t="str">
        <f>VLOOKUP(Table1[[#This Row],[Order ID]],Status!A:B, 2,FALSE)</f>
        <v>Completed</v>
      </c>
      <c r="P720" s="2" t="s">
        <v>30</v>
      </c>
      <c r="Q720" s="2">
        <v>3</v>
      </c>
      <c r="R720" s="2" t="s">
        <v>37</v>
      </c>
      <c r="S720" s="11" t="str">
        <f t="shared" si="58"/>
        <v>Standar</v>
      </c>
      <c r="T720" s="2" t="str">
        <f t="shared" si="59"/>
        <v>Sangat Rendah</v>
      </c>
    </row>
    <row r="721" spans="1:20" ht="15.75" customHeight="1" x14ac:dyDescent="0.3">
      <c r="A721" s="4" t="s">
        <v>1667</v>
      </c>
      <c r="B721" s="3">
        <v>45791.301724537043</v>
      </c>
      <c r="C721" s="2" t="s">
        <v>1366</v>
      </c>
      <c r="D721" s="2" t="s">
        <v>126</v>
      </c>
      <c r="E721" s="2" t="s">
        <v>58</v>
      </c>
      <c r="F721" s="2">
        <v>16000</v>
      </c>
      <c r="G721" s="2">
        <v>1</v>
      </c>
      <c r="H721" s="2">
        <v>15</v>
      </c>
      <c r="I721">
        <f t="shared" si="55"/>
        <v>16000</v>
      </c>
      <c r="J721">
        <f t="shared" si="56"/>
        <v>2400</v>
      </c>
      <c r="K721" s="6">
        <f t="shared" si="57"/>
        <v>13600</v>
      </c>
      <c r="L721" s="2">
        <v>84000</v>
      </c>
      <c r="M721" s="6">
        <f>Table1[[#This Row],[Total Sales]]+Table1[[#This Row],[Shipping Fee]]</f>
        <v>97600</v>
      </c>
      <c r="N721" s="2" t="s">
        <v>29</v>
      </c>
      <c r="O721" t="str">
        <f>VLOOKUP(Table1[[#This Row],[Order ID]],Status!A:B, 2,FALSE)</f>
        <v>Completed</v>
      </c>
      <c r="P721" s="2" t="s">
        <v>30</v>
      </c>
      <c r="Q721" s="2">
        <v>4</v>
      </c>
      <c r="R721" s="2" t="s">
        <v>24</v>
      </c>
      <c r="S721" s="11" t="str">
        <f t="shared" si="58"/>
        <v>Bagus</v>
      </c>
      <c r="T721" s="2" t="str">
        <f t="shared" si="59"/>
        <v>Sangat Rendah</v>
      </c>
    </row>
    <row r="722" spans="1:20" ht="15.75" customHeight="1" x14ac:dyDescent="0.3">
      <c r="A722" s="4" t="s">
        <v>1665</v>
      </c>
      <c r="B722" s="3">
        <v>45791.257627314822</v>
      </c>
      <c r="C722" s="2" t="s">
        <v>1666</v>
      </c>
      <c r="D722" s="2" t="s">
        <v>296</v>
      </c>
      <c r="E722" s="2" t="s">
        <v>54</v>
      </c>
      <c r="F722" s="2">
        <v>16000</v>
      </c>
      <c r="G722" s="2">
        <v>5</v>
      </c>
      <c r="H722" s="2">
        <v>20</v>
      </c>
      <c r="I722">
        <f t="shared" si="55"/>
        <v>80000</v>
      </c>
      <c r="J722">
        <f t="shared" si="56"/>
        <v>16000</v>
      </c>
      <c r="K722" s="6">
        <f t="shared" si="57"/>
        <v>64000</v>
      </c>
      <c r="L722" s="2">
        <v>79000</v>
      </c>
      <c r="M722" s="6">
        <f>Table1[[#This Row],[Total Sales]]+Table1[[#This Row],[Shipping Fee]]</f>
        <v>143000</v>
      </c>
      <c r="N722" s="2" t="s">
        <v>63</v>
      </c>
      <c r="O722" t="str">
        <f>VLOOKUP(Table1[[#This Row],[Order ID]],Status!A:B, 2,FALSE)</f>
        <v>Completed</v>
      </c>
      <c r="P722" s="2" t="s">
        <v>82</v>
      </c>
      <c r="Q722" s="2">
        <v>2</v>
      </c>
      <c r="R722" s="2" t="s">
        <v>37</v>
      </c>
      <c r="S722" s="11" t="str">
        <f t="shared" si="58"/>
        <v>Rendah</v>
      </c>
      <c r="T722" s="2" t="str">
        <f t="shared" si="59"/>
        <v>Normal</v>
      </c>
    </row>
    <row r="723" spans="1:20" ht="15.75" customHeight="1" x14ac:dyDescent="0.3">
      <c r="A723" s="4" t="s">
        <v>1664</v>
      </c>
      <c r="B723" s="3">
        <v>45791.246180555558</v>
      </c>
      <c r="C723" s="2" t="s">
        <v>295</v>
      </c>
      <c r="D723" s="2" t="s">
        <v>296</v>
      </c>
      <c r="E723" s="2" t="s">
        <v>34</v>
      </c>
      <c r="F723" s="2">
        <v>16000</v>
      </c>
      <c r="G723" s="2">
        <v>1</v>
      </c>
      <c r="H723" s="2">
        <v>0</v>
      </c>
      <c r="I723">
        <f t="shared" si="55"/>
        <v>16000</v>
      </c>
      <c r="J723">
        <f t="shared" si="56"/>
        <v>0</v>
      </c>
      <c r="K723" s="6">
        <f t="shared" si="57"/>
        <v>16000</v>
      </c>
      <c r="L723" s="2">
        <v>79000</v>
      </c>
      <c r="M723" s="6">
        <f>Table1[[#This Row],[Total Sales]]+Table1[[#This Row],[Shipping Fee]]</f>
        <v>95000</v>
      </c>
      <c r="N723" s="2" t="s">
        <v>63</v>
      </c>
      <c r="O723" t="str">
        <f>VLOOKUP(Table1[[#This Row],[Order ID]],Status!A:B, 2,FALSE)</f>
        <v>Completed</v>
      </c>
      <c r="P723" s="2" t="s">
        <v>36</v>
      </c>
      <c r="Q723" s="2">
        <v>4</v>
      </c>
      <c r="R723" s="2" t="s">
        <v>24</v>
      </c>
      <c r="S723" s="11" t="str">
        <f t="shared" si="58"/>
        <v>Bagus</v>
      </c>
      <c r="T723" s="2" t="str">
        <f t="shared" si="59"/>
        <v>Sangat Rendah</v>
      </c>
    </row>
    <row r="724" spans="1:20" ht="15.75" customHeight="1" x14ac:dyDescent="0.3">
      <c r="A724" s="4" t="s">
        <v>1664</v>
      </c>
      <c r="B724" s="3">
        <v>45791.246180555558</v>
      </c>
      <c r="C724" s="2" t="s">
        <v>295</v>
      </c>
      <c r="D724" s="2" t="s">
        <v>296</v>
      </c>
      <c r="E724" s="2" t="s">
        <v>174</v>
      </c>
      <c r="F724" s="2">
        <v>10000</v>
      </c>
      <c r="G724" s="2">
        <v>1</v>
      </c>
      <c r="H724" s="2">
        <v>5</v>
      </c>
      <c r="I724">
        <f t="shared" si="55"/>
        <v>10000</v>
      </c>
      <c r="J724">
        <f t="shared" si="56"/>
        <v>500</v>
      </c>
      <c r="K724" s="6">
        <f t="shared" si="57"/>
        <v>9500</v>
      </c>
      <c r="L724" s="2">
        <v>0</v>
      </c>
      <c r="M724" s="6">
        <f>Table1[[#This Row],[Total Sales]]+Table1[[#This Row],[Shipping Fee]]</f>
        <v>9500</v>
      </c>
      <c r="N724" s="2" t="s">
        <v>63</v>
      </c>
      <c r="O724" t="str">
        <f>VLOOKUP(Table1[[#This Row],[Order ID]],Status!A:B, 2,FALSE)</f>
        <v>Completed</v>
      </c>
      <c r="P724" s="2" t="s">
        <v>36</v>
      </c>
      <c r="Q724" s="2">
        <v>4</v>
      </c>
      <c r="R724" s="2" t="s">
        <v>24</v>
      </c>
      <c r="S724" s="11" t="str">
        <f t="shared" si="58"/>
        <v>Bagus</v>
      </c>
      <c r="T724" s="2" t="str">
        <f t="shared" si="59"/>
        <v>Sangat Rendah</v>
      </c>
    </row>
    <row r="725" spans="1:20" ht="15.75" customHeight="1" x14ac:dyDescent="0.3">
      <c r="A725" s="4" t="s">
        <v>1663</v>
      </c>
      <c r="B725" s="3">
        <v>45791.093263888892</v>
      </c>
      <c r="C725" s="2" t="s">
        <v>479</v>
      </c>
      <c r="D725" s="2" t="s">
        <v>107</v>
      </c>
      <c r="E725" s="2" t="s">
        <v>62</v>
      </c>
      <c r="F725" s="2">
        <v>50000</v>
      </c>
      <c r="G725" s="2">
        <v>3</v>
      </c>
      <c r="H725" s="2">
        <v>10</v>
      </c>
      <c r="I725">
        <f t="shared" si="55"/>
        <v>150000</v>
      </c>
      <c r="J725">
        <f t="shared" si="56"/>
        <v>15000</v>
      </c>
      <c r="K725" s="6">
        <f t="shared" si="57"/>
        <v>135000</v>
      </c>
      <c r="L725" s="2">
        <v>97000</v>
      </c>
      <c r="M725" s="6">
        <f>Table1[[#This Row],[Total Sales]]+Table1[[#This Row],[Shipping Fee]]</f>
        <v>232000</v>
      </c>
      <c r="N725" s="2" t="s">
        <v>22</v>
      </c>
      <c r="O725" t="str">
        <f>VLOOKUP(Table1[[#This Row],[Order ID]],Status!A:B, 2,FALSE)</f>
        <v>Completed</v>
      </c>
      <c r="P725" s="2" t="s">
        <v>36</v>
      </c>
      <c r="Q725" s="2">
        <v>2</v>
      </c>
      <c r="R725" s="2" t="s">
        <v>37</v>
      </c>
      <c r="S725" s="11" t="str">
        <f t="shared" si="58"/>
        <v>Rendah</v>
      </c>
      <c r="T725" s="2" t="str">
        <f t="shared" si="59"/>
        <v>Normal</v>
      </c>
    </row>
    <row r="726" spans="1:20" ht="15.75" customHeight="1" x14ac:dyDescent="0.3">
      <c r="A726" s="4" t="s">
        <v>1662</v>
      </c>
      <c r="B726" s="3">
        <v>45791.034675925926</v>
      </c>
      <c r="C726" s="2" t="s">
        <v>654</v>
      </c>
      <c r="D726" s="2" t="s">
        <v>375</v>
      </c>
      <c r="E726" s="2" t="s">
        <v>250</v>
      </c>
      <c r="F726" s="2">
        <v>18000</v>
      </c>
      <c r="G726" s="2">
        <v>3</v>
      </c>
      <c r="H726" s="2">
        <v>10</v>
      </c>
      <c r="I726">
        <f t="shared" si="55"/>
        <v>54000</v>
      </c>
      <c r="J726">
        <f t="shared" si="56"/>
        <v>5400</v>
      </c>
      <c r="K726" s="6">
        <f t="shared" si="57"/>
        <v>48600</v>
      </c>
      <c r="L726" s="2">
        <v>21000</v>
      </c>
      <c r="M726" s="6">
        <f>Table1[[#This Row],[Total Sales]]+Table1[[#This Row],[Shipping Fee]]</f>
        <v>69600</v>
      </c>
      <c r="N726" s="2" t="s">
        <v>63</v>
      </c>
      <c r="O726" t="str">
        <f>VLOOKUP(Table1[[#This Row],[Order ID]],Status!A:B, 2,FALSE)</f>
        <v>Returned</v>
      </c>
      <c r="P726" s="2" t="s">
        <v>46</v>
      </c>
      <c r="Q726" s="2">
        <v>5</v>
      </c>
      <c r="R726" s="2" t="s">
        <v>24</v>
      </c>
      <c r="S726" s="11" t="str">
        <f t="shared" si="58"/>
        <v>Bagus</v>
      </c>
      <c r="T726" s="2" t="str">
        <f t="shared" si="59"/>
        <v>Rendah</v>
      </c>
    </row>
    <row r="727" spans="1:20" ht="15.75" customHeight="1" x14ac:dyDescent="0.3">
      <c r="A727" s="4" t="s">
        <v>1661</v>
      </c>
      <c r="B727" s="3">
        <v>45790.800150462957</v>
      </c>
      <c r="C727" s="2" t="s">
        <v>307</v>
      </c>
      <c r="D727" s="2" t="s">
        <v>70</v>
      </c>
      <c r="E727" s="2" t="s">
        <v>123</v>
      </c>
      <c r="F727" s="2">
        <v>22000</v>
      </c>
      <c r="G727" s="2">
        <v>3</v>
      </c>
      <c r="H727" s="2">
        <v>0</v>
      </c>
      <c r="I727">
        <f t="shared" si="55"/>
        <v>66000</v>
      </c>
      <c r="J727">
        <f t="shared" si="56"/>
        <v>0</v>
      </c>
      <c r="K727" s="6">
        <f t="shared" si="57"/>
        <v>66000</v>
      </c>
      <c r="L727" s="2">
        <v>89000</v>
      </c>
      <c r="M727" s="6">
        <f>Table1[[#This Row],[Total Sales]]+Table1[[#This Row],[Shipping Fee]]</f>
        <v>155000</v>
      </c>
      <c r="N727" s="2" t="s">
        <v>29</v>
      </c>
      <c r="O727" t="str">
        <f>VLOOKUP(Table1[[#This Row],[Order ID]],Status!A:B, 2,FALSE)</f>
        <v>Returned</v>
      </c>
      <c r="P727" s="2" t="s">
        <v>23</v>
      </c>
      <c r="Q727" s="2">
        <v>4</v>
      </c>
      <c r="R727" s="2" t="s">
        <v>24</v>
      </c>
      <c r="S727" s="11" t="str">
        <f t="shared" si="58"/>
        <v>Bagus</v>
      </c>
      <c r="T727" s="2" t="str">
        <f t="shared" si="59"/>
        <v>Sangat Rendah</v>
      </c>
    </row>
    <row r="728" spans="1:20" ht="15.75" customHeight="1" x14ac:dyDescent="0.3">
      <c r="A728" s="4" t="s">
        <v>1660</v>
      </c>
      <c r="B728" s="3">
        <v>45790.722812499997</v>
      </c>
      <c r="C728" s="2" t="s">
        <v>1293</v>
      </c>
      <c r="D728" s="2" t="s">
        <v>44</v>
      </c>
      <c r="E728" s="2" t="s">
        <v>58</v>
      </c>
      <c r="F728" s="2">
        <v>16000</v>
      </c>
      <c r="G728" s="2">
        <v>2</v>
      </c>
      <c r="H728" s="2">
        <v>20</v>
      </c>
      <c r="I728">
        <f t="shared" si="55"/>
        <v>32000</v>
      </c>
      <c r="J728">
        <f t="shared" si="56"/>
        <v>6400</v>
      </c>
      <c r="K728" s="6">
        <f t="shared" si="57"/>
        <v>25600</v>
      </c>
      <c r="L728" s="2">
        <v>93000</v>
      </c>
      <c r="M728" s="6">
        <f>Table1[[#This Row],[Total Sales]]+Table1[[#This Row],[Shipping Fee]]</f>
        <v>118600</v>
      </c>
      <c r="N728" s="2" t="s">
        <v>29</v>
      </c>
      <c r="O728" t="str">
        <f>VLOOKUP(Table1[[#This Row],[Order ID]],Status!A:B, 2,FALSE)</f>
        <v>Completed</v>
      </c>
      <c r="P728" s="2" t="s">
        <v>82</v>
      </c>
      <c r="Q728" s="2">
        <v>5</v>
      </c>
      <c r="R728" s="2" t="s">
        <v>24</v>
      </c>
      <c r="S728" s="11" t="str">
        <f t="shared" si="58"/>
        <v>Bagus</v>
      </c>
      <c r="T728" s="2" t="str">
        <f t="shared" si="59"/>
        <v>Rendah</v>
      </c>
    </row>
    <row r="729" spans="1:20" ht="15.75" customHeight="1" x14ac:dyDescent="0.3">
      <c r="A729" s="4" t="s">
        <v>1659</v>
      </c>
      <c r="B729" s="3">
        <v>45790.58525462963</v>
      </c>
      <c r="C729" s="2" t="s">
        <v>473</v>
      </c>
      <c r="D729" s="2" t="s">
        <v>122</v>
      </c>
      <c r="E729" s="2" t="s">
        <v>136</v>
      </c>
      <c r="F729" s="2">
        <v>12000</v>
      </c>
      <c r="G729" s="2">
        <v>5</v>
      </c>
      <c r="H729" s="2">
        <v>5</v>
      </c>
      <c r="I729">
        <f t="shared" si="55"/>
        <v>60000</v>
      </c>
      <c r="J729">
        <f t="shared" si="56"/>
        <v>3000</v>
      </c>
      <c r="K729" s="6">
        <f t="shared" si="57"/>
        <v>57000</v>
      </c>
      <c r="L729" s="2">
        <v>78000</v>
      </c>
      <c r="M729" s="6">
        <f>Table1[[#This Row],[Total Sales]]+Table1[[#This Row],[Shipping Fee]]</f>
        <v>135000</v>
      </c>
      <c r="N729" s="2" t="s">
        <v>63</v>
      </c>
      <c r="O729" t="str">
        <f>VLOOKUP(Table1[[#This Row],[Order ID]],Status!A:B, 2,FALSE)</f>
        <v>Completed</v>
      </c>
      <c r="P729" s="2" t="s">
        <v>82</v>
      </c>
      <c r="Q729" s="2">
        <v>1</v>
      </c>
      <c r="R729" s="2" t="s">
        <v>24</v>
      </c>
      <c r="S729" s="11" t="str">
        <f t="shared" si="58"/>
        <v>Rendah</v>
      </c>
      <c r="T729" s="2" t="str">
        <f t="shared" si="59"/>
        <v>Sangat Rendah</v>
      </c>
    </row>
    <row r="730" spans="1:20" ht="15.75" customHeight="1" x14ac:dyDescent="0.3">
      <c r="A730" s="4" t="s">
        <v>1658</v>
      </c>
      <c r="B730" s="3">
        <v>45790.56994212963</v>
      </c>
      <c r="C730" s="2" t="s">
        <v>1025</v>
      </c>
      <c r="D730" s="2" t="s">
        <v>119</v>
      </c>
      <c r="E730" s="2" t="s">
        <v>138</v>
      </c>
      <c r="F730" s="2">
        <v>17000</v>
      </c>
      <c r="G730" s="2">
        <v>1</v>
      </c>
      <c r="H730" s="2">
        <v>10</v>
      </c>
      <c r="I730">
        <f t="shared" si="55"/>
        <v>17000</v>
      </c>
      <c r="J730">
        <f t="shared" si="56"/>
        <v>1700</v>
      </c>
      <c r="K730" s="6">
        <f t="shared" si="57"/>
        <v>15300</v>
      </c>
      <c r="L730" s="2">
        <v>0</v>
      </c>
      <c r="M730" s="6">
        <f>Table1[[#This Row],[Total Sales]]+Table1[[#This Row],[Shipping Fee]]</f>
        <v>15300</v>
      </c>
      <c r="N730" s="2" t="s">
        <v>63</v>
      </c>
      <c r="O730" t="str">
        <f>VLOOKUP(Table1[[#This Row],[Order ID]],Status!A:B, 2,FALSE)</f>
        <v>Returned</v>
      </c>
      <c r="P730" s="2" t="s">
        <v>23</v>
      </c>
      <c r="Q730" s="2">
        <v>2</v>
      </c>
      <c r="R730" s="2" t="s">
        <v>24</v>
      </c>
      <c r="S730" s="11" t="str">
        <f t="shared" si="58"/>
        <v>Rendah</v>
      </c>
      <c r="T730" s="2" t="str">
        <f t="shared" si="59"/>
        <v>Sangat Rendah</v>
      </c>
    </row>
    <row r="731" spans="1:20" ht="15.75" customHeight="1" x14ac:dyDescent="0.3">
      <c r="A731" s="4" t="s">
        <v>1658</v>
      </c>
      <c r="B731" s="3">
        <v>45790.56994212963</v>
      </c>
      <c r="C731" s="2" t="s">
        <v>1025</v>
      </c>
      <c r="D731" s="2" t="s">
        <v>119</v>
      </c>
      <c r="E731" s="2" t="s">
        <v>144</v>
      </c>
      <c r="F731" s="2">
        <v>18000</v>
      </c>
      <c r="G731" s="2">
        <v>2</v>
      </c>
      <c r="H731" s="2">
        <v>5</v>
      </c>
      <c r="I731">
        <f t="shared" si="55"/>
        <v>36000</v>
      </c>
      <c r="J731">
        <f t="shared" si="56"/>
        <v>1800</v>
      </c>
      <c r="K731" s="6">
        <f t="shared" si="57"/>
        <v>34200</v>
      </c>
      <c r="L731" s="2">
        <v>0</v>
      </c>
      <c r="M731" s="6">
        <f>Table1[[#This Row],[Total Sales]]+Table1[[#This Row],[Shipping Fee]]</f>
        <v>34200</v>
      </c>
      <c r="N731" s="2" t="s">
        <v>63</v>
      </c>
      <c r="O731" t="str">
        <f>VLOOKUP(Table1[[#This Row],[Order ID]],Status!A:B, 2,FALSE)</f>
        <v>Returned</v>
      </c>
      <c r="P731" s="2" t="s">
        <v>23</v>
      </c>
      <c r="Q731" s="2">
        <v>2</v>
      </c>
      <c r="R731" s="2" t="s">
        <v>24</v>
      </c>
      <c r="S731" s="11" t="str">
        <f t="shared" si="58"/>
        <v>Rendah</v>
      </c>
      <c r="T731" s="2" t="str">
        <f t="shared" si="59"/>
        <v>Sangat Rendah</v>
      </c>
    </row>
    <row r="732" spans="1:20" ht="15.75" customHeight="1" x14ac:dyDescent="0.3">
      <c r="A732" s="4" t="s">
        <v>1657</v>
      </c>
      <c r="B732" s="3">
        <v>45790.43476851852</v>
      </c>
      <c r="C732" s="2" t="s">
        <v>128</v>
      </c>
      <c r="D732" s="2" t="s">
        <v>103</v>
      </c>
      <c r="E732" s="2" t="s">
        <v>110</v>
      </c>
      <c r="F732" s="2">
        <v>6000</v>
      </c>
      <c r="G732" s="2">
        <v>4</v>
      </c>
      <c r="H732" s="2">
        <v>10</v>
      </c>
      <c r="I732">
        <f t="shared" si="55"/>
        <v>24000</v>
      </c>
      <c r="J732">
        <f t="shared" si="56"/>
        <v>2400</v>
      </c>
      <c r="K732" s="6">
        <f t="shared" si="57"/>
        <v>21600</v>
      </c>
      <c r="L732" s="2">
        <v>85000</v>
      </c>
      <c r="M732" s="6">
        <f>Table1[[#This Row],[Total Sales]]+Table1[[#This Row],[Shipping Fee]]</f>
        <v>106600</v>
      </c>
      <c r="N732" s="2" t="s">
        <v>35</v>
      </c>
      <c r="O732" t="str">
        <f>VLOOKUP(Table1[[#This Row],[Order ID]],Status!A:B, 2,FALSE)</f>
        <v>Completed</v>
      </c>
      <c r="P732" s="2" t="s">
        <v>82</v>
      </c>
      <c r="Q732" s="2">
        <v>2</v>
      </c>
      <c r="R732" s="2" t="s">
        <v>37</v>
      </c>
      <c r="S732" s="11" t="str">
        <f t="shared" si="58"/>
        <v>Rendah</v>
      </c>
      <c r="T732" s="2" t="str">
        <f t="shared" si="59"/>
        <v>Sangat Rendah</v>
      </c>
    </row>
    <row r="733" spans="1:20" ht="15.75" customHeight="1" x14ac:dyDescent="0.3">
      <c r="A733" s="4" t="s">
        <v>1656</v>
      </c>
      <c r="B733" s="3">
        <v>45790.422546296293</v>
      </c>
      <c r="C733" s="2" t="s">
        <v>383</v>
      </c>
      <c r="D733" s="2" t="s">
        <v>122</v>
      </c>
      <c r="E733" s="2" t="s">
        <v>85</v>
      </c>
      <c r="F733" s="2">
        <v>35000</v>
      </c>
      <c r="G733" s="2">
        <v>4</v>
      </c>
      <c r="H733" s="2">
        <v>10</v>
      </c>
      <c r="I733">
        <f t="shared" si="55"/>
        <v>140000</v>
      </c>
      <c r="J733">
        <f t="shared" si="56"/>
        <v>14000</v>
      </c>
      <c r="K733" s="6">
        <f t="shared" si="57"/>
        <v>126000</v>
      </c>
      <c r="L733" s="2">
        <v>78000</v>
      </c>
      <c r="M733" s="6">
        <f>Table1[[#This Row],[Total Sales]]+Table1[[#This Row],[Shipping Fee]]</f>
        <v>204000</v>
      </c>
      <c r="N733" s="2" t="s">
        <v>22</v>
      </c>
      <c r="O733" t="str">
        <f>VLOOKUP(Table1[[#This Row],[Order ID]],Status!A:B, 2,FALSE)</f>
        <v>Cancelled</v>
      </c>
      <c r="P733" s="2" t="s">
        <v>36</v>
      </c>
      <c r="Q733" s="2">
        <v>5</v>
      </c>
      <c r="R733" s="2" t="s">
        <v>24</v>
      </c>
      <c r="S733" s="11" t="str">
        <f t="shared" si="58"/>
        <v>Bagus</v>
      </c>
      <c r="T733" s="2" t="str">
        <f t="shared" si="59"/>
        <v>Normal</v>
      </c>
    </row>
    <row r="734" spans="1:20" ht="15.75" customHeight="1" x14ac:dyDescent="0.3">
      <c r="A734" s="4" t="s">
        <v>1655</v>
      </c>
      <c r="B734" s="3">
        <v>45790.341597222221</v>
      </c>
      <c r="C734" s="2" t="s">
        <v>429</v>
      </c>
      <c r="D734" s="2" t="s">
        <v>177</v>
      </c>
      <c r="E734" s="2" t="s">
        <v>174</v>
      </c>
      <c r="F734" s="2">
        <v>10000</v>
      </c>
      <c r="G734" s="2">
        <v>3</v>
      </c>
      <c r="H734" s="2">
        <v>0</v>
      </c>
      <c r="I734">
        <f t="shared" si="55"/>
        <v>30000</v>
      </c>
      <c r="J734">
        <f t="shared" si="56"/>
        <v>0</v>
      </c>
      <c r="K734" s="6">
        <f t="shared" si="57"/>
        <v>30000</v>
      </c>
      <c r="L734" s="2">
        <v>56000</v>
      </c>
      <c r="M734" s="6">
        <f>Table1[[#This Row],[Total Sales]]+Table1[[#This Row],[Shipping Fee]]</f>
        <v>86000</v>
      </c>
      <c r="N734" s="2" t="s">
        <v>63</v>
      </c>
      <c r="O734" t="str">
        <f>VLOOKUP(Table1[[#This Row],[Order ID]],Status!A:B, 2,FALSE)</f>
        <v>Completed</v>
      </c>
      <c r="P734" s="2" t="s">
        <v>23</v>
      </c>
      <c r="Q734" s="2">
        <v>5</v>
      </c>
      <c r="R734" s="2" t="s">
        <v>37</v>
      </c>
      <c r="S734" s="11" t="str">
        <f t="shared" si="58"/>
        <v>Bagus</v>
      </c>
      <c r="T734" s="2" t="str">
        <f t="shared" si="59"/>
        <v>Sangat Rendah</v>
      </c>
    </row>
    <row r="735" spans="1:20" ht="15.75" customHeight="1" x14ac:dyDescent="0.3">
      <c r="A735" s="4" t="s">
        <v>1653</v>
      </c>
      <c r="B735" s="3">
        <v>45790.235763888893</v>
      </c>
      <c r="C735" s="2" t="s">
        <v>1654</v>
      </c>
      <c r="D735" s="2" t="s">
        <v>74</v>
      </c>
      <c r="E735" s="2" t="s">
        <v>21</v>
      </c>
      <c r="F735" s="2">
        <v>45000</v>
      </c>
      <c r="G735" s="2">
        <v>3</v>
      </c>
      <c r="H735" s="2">
        <v>10</v>
      </c>
      <c r="I735">
        <f t="shared" si="55"/>
        <v>135000</v>
      </c>
      <c r="J735">
        <f t="shared" si="56"/>
        <v>13500</v>
      </c>
      <c r="K735" s="6">
        <f t="shared" si="57"/>
        <v>121500</v>
      </c>
      <c r="L735" s="2">
        <v>87000</v>
      </c>
      <c r="M735" s="6">
        <f>Table1[[#This Row],[Total Sales]]+Table1[[#This Row],[Shipping Fee]]</f>
        <v>208500</v>
      </c>
      <c r="N735" s="2" t="s">
        <v>35</v>
      </c>
      <c r="O735" t="str">
        <f>VLOOKUP(Table1[[#This Row],[Order ID]],Status!A:B, 2,FALSE)</f>
        <v>Returned</v>
      </c>
      <c r="P735" s="2" t="s">
        <v>82</v>
      </c>
      <c r="Q735" s="2">
        <v>5</v>
      </c>
      <c r="R735" s="2" t="s">
        <v>37</v>
      </c>
      <c r="S735" s="11" t="str">
        <f t="shared" si="58"/>
        <v>Bagus</v>
      </c>
      <c r="T735" s="2" t="str">
        <f t="shared" si="59"/>
        <v>Normal</v>
      </c>
    </row>
    <row r="736" spans="1:20" ht="15.75" customHeight="1" x14ac:dyDescent="0.3">
      <c r="A736" s="4" t="s">
        <v>1652</v>
      </c>
      <c r="B736" s="3">
        <v>45790.20107638889</v>
      </c>
      <c r="C736" s="2" t="s">
        <v>321</v>
      </c>
      <c r="D736" s="2" t="s">
        <v>80</v>
      </c>
      <c r="E736" s="2" t="s">
        <v>21</v>
      </c>
      <c r="F736" s="2">
        <v>45000</v>
      </c>
      <c r="G736" s="2">
        <v>3</v>
      </c>
      <c r="H736" s="2">
        <v>0</v>
      </c>
      <c r="I736">
        <f t="shared" si="55"/>
        <v>135000</v>
      </c>
      <c r="J736">
        <f t="shared" si="56"/>
        <v>0</v>
      </c>
      <c r="K736" s="6">
        <f t="shared" si="57"/>
        <v>135000</v>
      </c>
      <c r="L736" s="2">
        <v>74000</v>
      </c>
      <c r="M736" s="6">
        <f>Table1[[#This Row],[Total Sales]]+Table1[[#This Row],[Shipping Fee]]</f>
        <v>209000</v>
      </c>
      <c r="N736" s="2" t="s">
        <v>22</v>
      </c>
      <c r="O736" t="str">
        <f>VLOOKUP(Table1[[#This Row],[Order ID]],Status!A:B, 2,FALSE)</f>
        <v>Completed</v>
      </c>
      <c r="P736" s="2" t="s">
        <v>82</v>
      </c>
      <c r="Q736" s="2">
        <v>4</v>
      </c>
      <c r="R736" s="2" t="s">
        <v>24</v>
      </c>
      <c r="S736" s="11" t="str">
        <f t="shared" si="58"/>
        <v>Bagus</v>
      </c>
      <c r="T736" s="2" t="str">
        <f t="shared" si="59"/>
        <v>Sangat Rendah</v>
      </c>
    </row>
    <row r="737" spans="1:20" ht="15.75" customHeight="1" x14ac:dyDescent="0.3">
      <c r="A737" s="4" t="s">
        <v>1651</v>
      </c>
      <c r="B737" s="3">
        <v>45789.803368055553</v>
      </c>
      <c r="C737" s="2" t="s">
        <v>243</v>
      </c>
      <c r="D737" s="2" t="s">
        <v>244</v>
      </c>
      <c r="E737" s="2" t="s">
        <v>58</v>
      </c>
      <c r="F737" s="2">
        <v>16000</v>
      </c>
      <c r="G737" s="2">
        <v>5</v>
      </c>
      <c r="H737" s="2">
        <v>20</v>
      </c>
      <c r="I737">
        <f t="shared" si="55"/>
        <v>80000</v>
      </c>
      <c r="J737">
        <f t="shared" si="56"/>
        <v>16000</v>
      </c>
      <c r="K737" s="6">
        <f t="shared" si="57"/>
        <v>64000</v>
      </c>
      <c r="L737" s="2">
        <v>80000</v>
      </c>
      <c r="M737" s="6">
        <f>Table1[[#This Row],[Total Sales]]+Table1[[#This Row],[Shipping Fee]]</f>
        <v>144000</v>
      </c>
      <c r="N737" s="2" t="s">
        <v>63</v>
      </c>
      <c r="O737" t="str">
        <f>VLOOKUP(Table1[[#This Row],[Order ID]],Status!A:B, 2,FALSE)</f>
        <v>Completed</v>
      </c>
      <c r="P737" s="2" t="s">
        <v>36</v>
      </c>
      <c r="Q737" s="2">
        <v>3</v>
      </c>
      <c r="R737" s="2" t="s">
        <v>37</v>
      </c>
      <c r="S737" s="11" t="str">
        <f t="shared" si="58"/>
        <v>Standar</v>
      </c>
      <c r="T737" s="2" t="str">
        <f t="shared" si="59"/>
        <v>Normal</v>
      </c>
    </row>
    <row r="738" spans="1:20" ht="15.75" customHeight="1" x14ac:dyDescent="0.3">
      <c r="A738" s="4" t="s">
        <v>1650</v>
      </c>
      <c r="B738" s="3">
        <v>45789.765416666669</v>
      </c>
      <c r="C738" s="2" t="s">
        <v>273</v>
      </c>
      <c r="D738" s="2" t="s">
        <v>195</v>
      </c>
      <c r="E738" s="2" t="s">
        <v>190</v>
      </c>
      <c r="F738" s="2">
        <v>35000</v>
      </c>
      <c r="G738" s="2">
        <v>3</v>
      </c>
      <c r="H738" s="2">
        <v>15</v>
      </c>
      <c r="I738">
        <f t="shared" si="55"/>
        <v>105000</v>
      </c>
      <c r="J738">
        <f t="shared" si="56"/>
        <v>15750</v>
      </c>
      <c r="K738" s="6">
        <f t="shared" si="57"/>
        <v>89250</v>
      </c>
      <c r="L738" s="2">
        <v>87000</v>
      </c>
      <c r="M738" s="6">
        <f>Table1[[#This Row],[Total Sales]]+Table1[[#This Row],[Shipping Fee]]</f>
        <v>176250</v>
      </c>
      <c r="N738" s="2" t="s">
        <v>63</v>
      </c>
      <c r="O738" t="str">
        <f>VLOOKUP(Table1[[#This Row],[Order ID]],Status!A:B, 2,FALSE)</f>
        <v>Returned</v>
      </c>
      <c r="P738" s="2" t="s">
        <v>30</v>
      </c>
      <c r="Q738" s="2">
        <v>2</v>
      </c>
      <c r="R738" s="2" t="s">
        <v>24</v>
      </c>
      <c r="S738" s="11" t="str">
        <f t="shared" si="58"/>
        <v>Rendah</v>
      </c>
      <c r="T738" s="2" t="str">
        <f t="shared" si="59"/>
        <v>Normal</v>
      </c>
    </row>
    <row r="739" spans="1:20" ht="15.75" customHeight="1" x14ac:dyDescent="0.3">
      <c r="A739" s="4" t="s">
        <v>1649</v>
      </c>
      <c r="B739" s="3">
        <v>45789.681458333333</v>
      </c>
      <c r="C739" s="2" t="s">
        <v>410</v>
      </c>
      <c r="D739" s="2" t="s">
        <v>151</v>
      </c>
      <c r="E739" s="2" t="s">
        <v>54</v>
      </c>
      <c r="F739" s="2">
        <v>16000</v>
      </c>
      <c r="G739" s="2">
        <v>5</v>
      </c>
      <c r="H739" s="2">
        <v>5</v>
      </c>
      <c r="I739">
        <f t="shared" si="55"/>
        <v>80000</v>
      </c>
      <c r="J739">
        <f t="shared" si="56"/>
        <v>4000</v>
      </c>
      <c r="K739" s="6">
        <f t="shared" si="57"/>
        <v>76000</v>
      </c>
      <c r="L739" s="2">
        <v>55000</v>
      </c>
      <c r="M739" s="6">
        <f>Table1[[#This Row],[Total Sales]]+Table1[[#This Row],[Shipping Fee]]</f>
        <v>131000</v>
      </c>
      <c r="N739" s="2" t="s">
        <v>29</v>
      </c>
      <c r="O739" t="str">
        <f>VLOOKUP(Table1[[#This Row],[Order ID]],Status!A:B, 2,FALSE)</f>
        <v>Returned</v>
      </c>
      <c r="P739" s="2" t="s">
        <v>46</v>
      </c>
      <c r="Q739" s="2">
        <v>3</v>
      </c>
      <c r="R739" s="2" t="s">
        <v>24</v>
      </c>
      <c r="S739" s="11" t="str">
        <f t="shared" si="58"/>
        <v>Standar</v>
      </c>
      <c r="T739" s="2" t="str">
        <f t="shared" si="59"/>
        <v>Sangat Rendah</v>
      </c>
    </row>
    <row r="740" spans="1:20" ht="15.75" customHeight="1" x14ac:dyDescent="0.3">
      <c r="A740" s="4" t="s">
        <v>1648</v>
      </c>
      <c r="B740" s="3">
        <v>45789.548402777778</v>
      </c>
      <c r="C740" s="2" t="s">
        <v>271</v>
      </c>
      <c r="D740" s="2" t="s">
        <v>49</v>
      </c>
      <c r="E740" s="2" t="s">
        <v>38</v>
      </c>
      <c r="F740" s="2">
        <v>28000</v>
      </c>
      <c r="G740" s="2">
        <v>4</v>
      </c>
      <c r="H740" s="2">
        <v>0</v>
      </c>
      <c r="I740">
        <f t="shared" si="55"/>
        <v>112000</v>
      </c>
      <c r="J740">
        <f t="shared" si="56"/>
        <v>0</v>
      </c>
      <c r="K740" s="6">
        <f t="shared" si="57"/>
        <v>112000</v>
      </c>
      <c r="L740" s="2">
        <v>43000</v>
      </c>
      <c r="M740" s="6">
        <f>Table1[[#This Row],[Total Sales]]+Table1[[#This Row],[Shipping Fee]]</f>
        <v>155000</v>
      </c>
      <c r="N740" s="2" t="s">
        <v>29</v>
      </c>
      <c r="O740" t="str">
        <f>VLOOKUP(Table1[[#This Row],[Order ID]],Status!A:B, 2,FALSE)</f>
        <v>Returned</v>
      </c>
      <c r="P740" s="2" t="s">
        <v>46</v>
      </c>
      <c r="Q740" s="2">
        <v>4</v>
      </c>
      <c r="R740" s="2" t="s">
        <v>24</v>
      </c>
      <c r="S740" s="11" t="str">
        <f t="shared" si="58"/>
        <v>Bagus</v>
      </c>
      <c r="T740" s="2" t="str">
        <f t="shared" si="59"/>
        <v>Sangat Rendah</v>
      </c>
    </row>
    <row r="741" spans="1:20" ht="15.75" customHeight="1" x14ac:dyDescent="0.3">
      <c r="A741" s="4" t="s">
        <v>1647</v>
      </c>
      <c r="B741" s="3">
        <v>45789.529050925928</v>
      </c>
      <c r="C741" s="2" t="s">
        <v>150</v>
      </c>
      <c r="D741" s="2" t="s">
        <v>151</v>
      </c>
      <c r="E741" s="2" t="s">
        <v>28</v>
      </c>
      <c r="F741" s="2">
        <v>5000</v>
      </c>
      <c r="G741" s="2">
        <v>2</v>
      </c>
      <c r="H741" s="2">
        <v>20</v>
      </c>
      <c r="I741">
        <f t="shared" si="55"/>
        <v>10000</v>
      </c>
      <c r="J741">
        <f t="shared" si="56"/>
        <v>2000</v>
      </c>
      <c r="K741" s="6">
        <f t="shared" si="57"/>
        <v>8000</v>
      </c>
      <c r="L741" s="2">
        <v>55000</v>
      </c>
      <c r="M741" s="6">
        <f>Table1[[#This Row],[Total Sales]]+Table1[[#This Row],[Shipping Fee]]</f>
        <v>63000</v>
      </c>
      <c r="N741" s="2" t="s">
        <v>22</v>
      </c>
      <c r="O741" t="str">
        <f>VLOOKUP(Table1[[#This Row],[Order ID]],Status!A:B, 2,FALSE)</f>
        <v>Returned</v>
      </c>
      <c r="P741" s="2" t="s">
        <v>82</v>
      </c>
      <c r="Q741" s="2">
        <v>5</v>
      </c>
      <c r="R741" s="2" t="s">
        <v>37</v>
      </c>
      <c r="S741" s="11" t="str">
        <f t="shared" si="58"/>
        <v>Bagus</v>
      </c>
      <c r="T741" s="2" t="str">
        <f t="shared" si="59"/>
        <v>Sangat Rendah</v>
      </c>
    </row>
    <row r="742" spans="1:20" ht="15.75" customHeight="1" x14ac:dyDescent="0.3">
      <c r="A742" s="4" t="s">
        <v>1646</v>
      </c>
      <c r="B742" s="3">
        <v>45789.524062500001</v>
      </c>
      <c r="C742" s="2" t="s">
        <v>87</v>
      </c>
      <c r="D742" s="2" t="s">
        <v>80</v>
      </c>
      <c r="E742" s="2" t="s">
        <v>62</v>
      </c>
      <c r="F742" s="2">
        <v>50000</v>
      </c>
      <c r="G742" s="2">
        <v>2</v>
      </c>
      <c r="H742" s="2">
        <v>15</v>
      </c>
      <c r="I742">
        <f t="shared" si="55"/>
        <v>100000</v>
      </c>
      <c r="J742">
        <f t="shared" si="56"/>
        <v>15000</v>
      </c>
      <c r="K742" s="6">
        <f t="shared" si="57"/>
        <v>85000</v>
      </c>
      <c r="L742" s="2">
        <v>74000</v>
      </c>
      <c r="M742" s="6">
        <f>Table1[[#This Row],[Total Sales]]+Table1[[#This Row],[Shipping Fee]]</f>
        <v>159000</v>
      </c>
      <c r="N742" s="2" t="s">
        <v>63</v>
      </c>
      <c r="O742" t="str">
        <f>VLOOKUP(Table1[[#This Row],[Order ID]],Status!A:B, 2,FALSE)</f>
        <v>Returned</v>
      </c>
      <c r="P742" s="2" t="s">
        <v>23</v>
      </c>
      <c r="Q742" s="2">
        <v>2</v>
      </c>
      <c r="R742" s="2" t="s">
        <v>24</v>
      </c>
      <c r="S742" s="11" t="str">
        <f t="shared" si="58"/>
        <v>Rendah</v>
      </c>
      <c r="T742" s="2" t="str">
        <f t="shared" si="59"/>
        <v>Normal</v>
      </c>
    </row>
    <row r="743" spans="1:20" ht="15.75" customHeight="1" x14ac:dyDescent="0.3">
      <c r="A743" s="4" t="s">
        <v>1645</v>
      </c>
      <c r="B743" s="3">
        <v>45789.496990740743</v>
      </c>
      <c r="C743" s="2" t="s">
        <v>1022</v>
      </c>
      <c r="D743" s="2" t="s">
        <v>177</v>
      </c>
      <c r="E743" s="2" t="s">
        <v>58</v>
      </c>
      <c r="F743" s="2">
        <v>16000</v>
      </c>
      <c r="G743" s="2">
        <v>2</v>
      </c>
      <c r="H743" s="2">
        <v>20</v>
      </c>
      <c r="I743">
        <f t="shared" si="55"/>
        <v>32000</v>
      </c>
      <c r="J743">
        <f t="shared" si="56"/>
        <v>6400</v>
      </c>
      <c r="K743" s="6">
        <f t="shared" si="57"/>
        <v>25600</v>
      </c>
      <c r="L743" s="2">
        <v>56000</v>
      </c>
      <c r="M743" s="6">
        <f>Table1[[#This Row],[Total Sales]]+Table1[[#This Row],[Shipping Fee]]</f>
        <v>81600</v>
      </c>
      <c r="N743" s="2" t="s">
        <v>22</v>
      </c>
      <c r="O743" t="str">
        <f>VLOOKUP(Table1[[#This Row],[Order ID]],Status!A:B, 2,FALSE)</f>
        <v>Completed</v>
      </c>
      <c r="P743" s="2" t="s">
        <v>36</v>
      </c>
      <c r="Q743" s="2">
        <v>4</v>
      </c>
      <c r="R743" s="2" t="s">
        <v>24</v>
      </c>
      <c r="S743" s="11" t="str">
        <f t="shared" si="58"/>
        <v>Bagus</v>
      </c>
      <c r="T743" s="2" t="str">
        <f t="shared" si="59"/>
        <v>Rendah</v>
      </c>
    </row>
    <row r="744" spans="1:20" ht="15.75" customHeight="1" x14ac:dyDescent="0.3">
      <c r="A744" s="4" t="s">
        <v>1644</v>
      </c>
      <c r="B744" s="3">
        <v>45788.352199074077</v>
      </c>
      <c r="C744" s="2" t="s">
        <v>235</v>
      </c>
      <c r="D744" s="2" t="s">
        <v>189</v>
      </c>
      <c r="E744" s="2" t="s">
        <v>81</v>
      </c>
      <c r="F744" s="2">
        <v>17000</v>
      </c>
      <c r="G744" s="2">
        <v>4</v>
      </c>
      <c r="H744" s="2">
        <v>15</v>
      </c>
      <c r="I744">
        <f t="shared" si="55"/>
        <v>68000</v>
      </c>
      <c r="J744">
        <f t="shared" si="56"/>
        <v>10200</v>
      </c>
      <c r="K744" s="6">
        <f t="shared" si="57"/>
        <v>57800</v>
      </c>
      <c r="L744" s="2">
        <v>57000</v>
      </c>
      <c r="M744" s="6">
        <f>Table1[[#This Row],[Total Sales]]+Table1[[#This Row],[Shipping Fee]]</f>
        <v>114800</v>
      </c>
      <c r="N744" s="2" t="s">
        <v>22</v>
      </c>
      <c r="O744" t="str">
        <f>VLOOKUP(Table1[[#This Row],[Order ID]],Status!A:B, 2,FALSE)</f>
        <v>Completed</v>
      </c>
      <c r="P744" s="2" t="s">
        <v>30</v>
      </c>
      <c r="Q744" s="2">
        <v>4</v>
      </c>
      <c r="R744" s="2" t="s">
        <v>37</v>
      </c>
      <c r="S744" s="11" t="str">
        <f t="shared" si="58"/>
        <v>Bagus</v>
      </c>
      <c r="T744" s="2" t="str">
        <f t="shared" si="59"/>
        <v>Normal</v>
      </c>
    </row>
    <row r="745" spans="1:20" ht="15.75" customHeight="1" x14ac:dyDescent="0.3">
      <c r="A745" s="4" t="s">
        <v>1643</v>
      </c>
      <c r="B745" s="3">
        <v>45788.349826388891</v>
      </c>
      <c r="C745" s="2" t="s">
        <v>326</v>
      </c>
      <c r="D745" s="2" t="s">
        <v>262</v>
      </c>
      <c r="E745" s="2" t="s">
        <v>62</v>
      </c>
      <c r="F745" s="2">
        <v>50000</v>
      </c>
      <c r="G745" s="2">
        <v>4</v>
      </c>
      <c r="H745" s="2">
        <v>10</v>
      </c>
      <c r="I745">
        <f t="shared" si="55"/>
        <v>200000</v>
      </c>
      <c r="J745">
        <f t="shared" si="56"/>
        <v>20000</v>
      </c>
      <c r="K745" s="6">
        <f t="shared" si="57"/>
        <v>180000</v>
      </c>
      <c r="L745" s="2">
        <v>18000</v>
      </c>
      <c r="M745" s="6">
        <f>Table1[[#This Row],[Total Sales]]+Table1[[#This Row],[Shipping Fee]]</f>
        <v>198000</v>
      </c>
      <c r="N745" s="2" t="s">
        <v>22</v>
      </c>
      <c r="O745" t="str">
        <f>VLOOKUP(Table1[[#This Row],[Order ID]],Status!A:B, 2,FALSE)</f>
        <v>Completed</v>
      </c>
      <c r="P745" s="2" t="s">
        <v>46</v>
      </c>
      <c r="Q745" s="2">
        <v>1</v>
      </c>
      <c r="R745" s="2" t="s">
        <v>37</v>
      </c>
      <c r="S745" s="11" t="str">
        <f t="shared" si="58"/>
        <v>Rendah</v>
      </c>
      <c r="T745" s="2" t="str">
        <f t="shared" si="59"/>
        <v>Normal</v>
      </c>
    </row>
    <row r="746" spans="1:20" ht="15.75" customHeight="1" x14ac:dyDescent="0.3">
      <c r="A746" s="4" t="s">
        <v>1642</v>
      </c>
      <c r="B746" s="3">
        <v>45788.335069444453</v>
      </c>
      <c r="C746" s="2" t="s">
        <v>261</v>
      </c>
      <c r="D746" s="2" t="s">
        <v>262</v>
      </c>
      <c r="E746" s="2" t="s">
        <v>81</v>
      </c>
      <c r="F746" s="2">
        <v>17000</v>
      </c>
      <c r="G746" s="2">
        <v>3</v>
      </c>
      <c r="H746" s="2">
        <v>15</v>
      </c>
      <c r="I746">
        <f t="shared" si="55"/>
        <v>51000</v>
      </c>
      <c r="J746">
        <f t="shared" si="56"/>
        <v>7650</v>
      </c>
      <c r="K746" s="6">
        <f t="shared" si="57"/>
        <v>43350</v>
      </c>
      <c r="L746" s="2">
        <v>18000</v>
      </c>
      <c r="M746" s="6">
        <f>Table1[[#This Row],[Total Sales]]+Table1[[#This Row],[Shipping Fee]]</f>
        <v>61350</v>
      </c>
      <c r="N746" s="2" t="s">
        <v>35</v>
      </c>
      <c r="O746" t="str">
        <f>VLOOKUP(Table1[[#This Row],[Order ID]],Status!A:B, 2,FALSE)</f>
        <v>Returned</v>
      </c>
      <c r="P746" s="2" t="s">
        <v>23</v>
      </c>
      <c r="Q746" s="2">
        <v>5</v>
      </c>
      <c r="R746" s="2" t="s">
        <v>24</v>
      </c>
      <c r="S746" s="11" t="str">
        <f t="shared" si="58"/>
        <v>Bagus</v>
      </c>
      <c r="T746" s="2" t="str">
        <f t="shared" si="59"/>
        <v>Rendah</v>
      </c>
    </row>
    <row r="747" spans="1:20" ht="15.75" customHeight="1" x14ac:dyDescent="0.3">
      <c r="A747" s="4" t="s">
        <v>1642</v>
      </c>
      <c r="B747" s="3">
        <v>45788.335069444453</v>
      </c>
      <c r="C747" s="2" t="s">
        <v>261</v>
      </c>
      <c r="D747" s="2" t="s">
        <v>262</v>
      </c>
      <c r="E747" s="2" t="s">
        <v>186</v>
      </c>
      <c r="F747" s="2">
        <v>45000</v>
      </c>
      <c r="G747" s="2">
        <v>3</v>
      </c>
      <c r="H747" s="2">
        <v>10</v>
      </c>
      <c r="I747">
        <f t="shared" si="55"/>
        <v>135000</v>
      </c>
      <c r="J747">
        <f t="shared" si="56"/>
        <v>13500</v>
      </c>
      <c r="K747" s="6">
        <f t="shared" si="57"/>
        <v>121500</v>
      </c>
      <c r="L747" s="2">
        <v>0</v>
      </c>
      <c r="M747" s="6">
        <f>Table1[[#This Row],[Total Sales]]+Table1[[#This Row],[Shipping Fee]]</f>
        <v>121500</v>
      </c>
      <c r="N747" s="2" t="s">
        <v>35</v>
      </c>
      <c r="O747" t="str">
        <f>VLOOKUP(Table1[[#This Row],[Order ID]],Status!A:B, 2,FALSE)</f>
        <v>Returned</v>
      </c>
      <c r="P747" s="2" t="s">
        <v>23</v>
      </c>
      <c r="Q747" s="2">
        <v>5</v>
      </c>
      <c r="R747" s="2" t="s">
        <v>24</v>
      </c>
      <c r="S747" s="11" t="str">
        <f t="shared" si="58"/>
        <v>Bagus</v>
      </c>
      <c r="T747" s="2" t="str">
        <f t="shared" si="59"/>
        <v>Normal</v>
      </c>
    </row>
    <row r="748" spans="1:20" ht="15.75" customHeight="1" x14ac:dyDescent="0.3">
      <c r="A748" s="4" t="s">
        <v>1641</v>
      </c>
      <c r="B748" s="3">
        <v>45788.124224537038</v>
      </c>
      <c r="C748" s="2" t="s">
        <v>1336</v>
      </c>
      <c r="D748" s="2" t="s">
        <v>96</v>
      </c>
      <c r="E748" s="2" t="s">
        <v>93</v>
      </c>
      <c r="F748" s="2">
        <v>25000</v>
      </c>
      <c r="G748" s="2">
        <v>4</v>
      </c>
      <c r="H748" s="2">
        <v>20</v>
      </c>
      <c r="I748">
        <f t="shared" si="55"/>
        <v>100000</v>
      </c>
      <c r="J748">
        <f t="shared" si="56"/>
        <v>20000</v>
      </c>
      <c r="K748" s="6">
        <f t="shared" si="57"/>
        <v>80000</v>
      </c>
      <c r="L748" s="2">
        <v>49000</v>
      </c>
      <c r="M748" s="6">
        <f>Table1[[#This Row],[Total Sales]]+Table1[[#This Row],[Shipping Fee]]</f>
        <v>129000</v>
      </c>
      <c r="N748" s="2" t="s">
        <v>35</v>
      </c>
      <c r="O748" t="str">
        <f>VLOOKUP(Table1[[#This Row],[Order ID]],Status!A:B, 2,FALSE)</f>
        <v>Completed</v>
      </c>
      <c r="P748" s="2" t="s">
        <v>36</v>
      </c>
      <c r="Q748" s="2">
        <v>1</v>
      </c>
      <c r="R748" s="2" t="s">
        <v>37</v>
      </c>
      <c r="S748" s="11" t="str">
        <f t="shared" si="58"/>
        <v>Rendah</v>
      </c>
      <c r="T748" s="2" t="str">
        <f t="shared" si="59"/>
        <v>Normal</v>
      </c>
    </row>
    <row r="749" spans="1:20" ht="15.75" customHeight="1" x14ac:dyDescent="0.3">
      <c r="A749" s="4" t="s">
        <v>1640</v>
      </c>
      <c r="B749" s="3">
        <v>45788.053587962961</v>
      </c>
      <c r="C749" s="2" t="s">
        <v>1321</v>
      </c>
      <c r="D749" s="2" t="s">
        <v>113</v>
      </c>
      <c r="E749" s="2" t="s">
        <v>67</v>
      </c>
      <c r="F749" s="2">
        <v>15000</v>
      </c>
      <c r="G749" s="2">
        <v>5</v>
      </c>
      <c r="H749" s="2">
        <v>20</v>
      </c>
      <c r="I749">
        <f t="shared" si="55"/>
        <v>75000</v>
      </c>
      <c r="J749">
        <f t="shared" si="56"/>
        <v>15000</v>
      </c>
      <c r="K749" s="6">
        <f t="shared" si="57"/>
        <v>60000</v>
      </c>
      <c r="L749" s="2">
        <v>18000</v>
      </c>
      <c r="M749" s="6">
        <f>Table1[[#This Row],[Total Sales]]+Table1[[#This Row],[Shipping Fee]]</f>
        <v>78000</v>
      </c>
      <c r="N749" s="2" t="s">
        <v>22</v>
      </c>
      <c r="O749" t="str">
        <f>VLOOKUP(Table1[[#This Row],[Order ID]],Status!A:B, 2,FALSE)</f>
        <v>Completed</v>
      </c>
      <c r="P749" s="2" t="s">
        <v>46</v>
      </c>
      <c r="Q749" s="2">
        <v>1</v>
      </c>
      <c r="R749" s="2" t="s">
        <v>24</v>
      </c>
      <c r="S749" s="11" t="str">
        <f t="shared" si="58"/>
        <v>Rendah</v>
      </c>
      <c r="T749" s="2" t="str">
        <f t="shared" si="59"/>
        <v>Normal</v>
      </c>
    </row>
    <row r="750" spans="1:20" ht="15.75" customHeight="1" x14ac:dyDescent="0.3">
      <c r="A750" s="4" t="s">
        <v>1639</v>
      </c>
      <c r="B750" s="3">
        <v>45787.959178240737</v>
      </c>
      <c r="C750" s="2" t="s">
        <v>1321</v>
      </c>
      <c r="D750" s="2" t="s">
        <v>113</v>
      </c>
      <c r="E750" s="2" t="s">
        <v>85</v>
      </c>
      <c r="F750" s="2">
        <v>35000</v>
      </c>
      <c r="G750" s="2">
        <v>2</v>
      </c>
      <c r="H750" s="2">
        <v>20</v>
      </c>
      <c r="I750">
        <f t="shared" si="55"/>
        <v>70000</v>
      </c>
      <c r="J750">
        <f t="shared" si="56"/>
        <v>14000</v>
      </c>
      <c r="K750" s="6">
        <f t="shared" si="57"/>
        <v>56000</v>
      </c>
      <c r="L750" s="2">
        <v>18000</v>
      </c>
      <c r="M750" s="6">
        <f>Table1[[#This Row],[Total Sales]]+Table1[[#This Row],[Shipping Fee]]</f>
        <v>74000</v>
      </c>
      <c r="N750" s="2" t="s">
        <v>63</v>
      </c>
      <c r="O750" t="str">
        <f>VLOOKUP(Table1[[#This Row],[Order ID]],Status!A:B, 2,FALSE)</f>
        <v>Completed</v>
      </c>
      <c r="P750" s="2" t="s">
        <v>46</v>
      </c>
      <c r="Q750" s="2">
        <v>1</v>
      </c>
      <c r="R750" s="2" t="s">
        <v>24</v>
      </c>
      <c r="S750" s="11" t="str">
        <f t="shared" si="58"/>
        <v>Rendah</v>
      </c>
      <c r="T750" s="2" t="str">
        <f t="shared" si="59"/>
        <v>Normal</v>
      </c>
    </row>
    <row r="751" spans="1:20" ht="15.75" customHeight="1" x14ac:dyDescent="0.3">
      <c r="A751" s="4" t="s">
        <v>1638</v>
      </c>
      <c r="B751" s="3">
        <v>45787.920972222222</v>
      </c>
      <c r="C751" s="2" t="s">
        <v>52</v>
      </c>
      <c r="D751" s="2" t="s">
        <v>53</v>
      </c>
      <c r="E751" s="2" t="s">
        <v>34</v>
      </c>
      <c r="F751" s="2">
        <v>16000</v>
      </c>
      <c r="G751" s="2">
        <v>4</v>
      </c>
      <c r="H751" s="2">
        <v>0</v>
      </c>
      <c r="I751">
        <f t="shared" si="55"/>
        <v>64000</v>
      </c>
      <c r="J751">
        <f t="shared" si="56"/>
        <v>0</v>
      </c>
      <c r="K751" s="6">
        <f t="shared" si="57"/>
        <v>64000</v>
      </c>
      <c r="L751" s="2">
        <v>18000</v>
      </c>
      <c r="M751" s="6">
        <f>Table1[[#This Row],[Total Sales]]+Table1[[#This Row],[Shipping Fee]]</f>
        <v>82000</v>
      </c>
      <c r="N751" s="2" t="s">
        <v>29</v>
      </c>
      <c r="O751" t="str">
        <f>VLOOKUP(Table1[[#This Row],[Order ID]],Status!A:B, 2,FALSE)</f>
        <v>Completed</v>
      </c>
      <c r="P751" s="2" t="s">
        <v>23</v>
      </c>
      <c r="Q751" s="2">
        <v>3</v>
      </c>
      <c r="R751" s="2" t="s">
        <v>24</v>
      </c>
      <c r="S751" s="11" t="str">
        <f t="shared" si="58"/>
        <v>Standar</v>
      </c>
      <c r="T751" s="2" t="str">
        <f t="shared" si="59"/>
        <v>Sangat Rendah</v>
      </c>
    </row>
    <row r="752" spans="1:20" ht="15.75" customHeight="1" x14ac:dyDescent="0.3">
      <c r="A752" s="4" t="s">
        <v>1637</v>
      </c>
      <c r="B752" s="3">
        <v>45787.592395833337</v>
      </c>
      <c r="C752" s="2" t="s">
        <v>1396</v>
      </c>
      <c r="D752" s="2" t="s">
        <v>435</v>
      </c>
      <c r="E752" s="2" t="s">
        <v>41</v>
      </c>
      <c r="F752" s="2">
        <v>4000</v>
      </c>
      <c r="G752" s="2">
        <v>4</v>
      </c>
      <c r="H752" s="2">
        <v>5</v>
      </c>
      <c r="I752">
        <f t="shared" si="55"/>
        <v>16000</v>
      </c>
      <c r="J752">
        <f t="shared" si="56"/>
        <v>800</v>
      </c>
      <c r="K752" s="6">
        <f t="shared" si="57"/>
        <v>15200</v>
      </c>
      <c r="L752" s="2">
        <v>67000</v>
      </c>
      <c r="M752" s="6">
        <f>Table1[[#This Row],[Total Sales]]+Table1[[#This Row],[Shipping Fee]]</f>
        <v>82200</v>
      </c>
      <c r="N752" s="2" t="s">
        <v>29</v>
      </c>
      <c r="O752" t="str">
        <f>VLOOKUP(Table1[[#This Row],[Order ID]],Status!A:B, 2,FALSE)</f>
        <v>Completed</v>
      </c>
      <c r="P752" s="2" t="s">
        <v>82</v>
      </c>
      <c r="Q752" s="2">
        <v>3</v>
      </c>
      <c r="R752" s="2" t="s">
        <v>24</v>
      </c>
      <c r="S752" s="11" t="str">
        <f t="shared" si="58"/>
        <v>Standar</v>
      </c>
      <c r="T752" s="2" t="str">
        <f t="shared" si="59"/>
        <v>Sangat Rendah</v>
      </c>
    </row>
    <row r="753" spans="1:20" ht="15.75" customHeight="1" x14ac:dyDescent="0.3">
      <c r="A753" s="4" t="s">
        <v>1636</v>
      </c>
      <c r="B753" s="3">
        <v>45787.513912037037</v>
      </c>
      <c r="C753" s="2" t="s">
        <v>1139</v>
      </c>
      <c r="D753" s="2" t="s">
        <v>53</v>
      </c>
      <c r="E753" s="2" t="s">
        <v>62</v>
      </c>
      <c r="F753" s="2">
        <v>50000</v>
      </c>
      <c r="G753" s="2">
        <v>1</v>
      </c>
      <c r="H753" s="2">
        <v>20</v>
      </c>
      <c r="I753">
        <f t="shared" si="55"/>
        <v>50000</v>
      </c>
      <c r="J753">
        <f t="shared" si="56"/>
        <v>10000</v>
      </c>
      <c r="K753" s="6">
        <f t="shared" si="57"/>
        <v>40000</v>
      </c>
      <c r="L753" s="2">
        <v>18000</v>
      </c>
      <c r="M753" s="6">
        <f>Table1[[#This Row],[Total Sales]]+Table1[[#This Row],[Shipping Fee]]</f>
        <v>58000</v>
      </c>
      <c r="N753" s="2" t="s">
        <v>29</v>
      </c>
      <c r="O753" t="str">
        <f>VLOOKUP(Table1[[#This Row],[Order ID]],Status!A:B, 2,FALSE)</f>
        <v>Completed</v>
      </c>
      <c r="P753" s="2" t="s">
        <v>30</v>
      </c>
      <c r="Q753" s="2">
        <v>3</v>
      </c>
      <c r="R753" s="2" t="s">
        <v>37</v>
      </c>
      <c r="S753" s="11" t="str">
        <f t="shared" si="58"/>
        <v>Standar</v>
      </c>
      <c r="T753" s="2" t="str">
        <f t="shared" si="59"/>
        <v>Rendah</v>
      </c>
    </row>
    <row r="754" spans="1:20" ht="15.75" customHeight="1" x14ac:dyDescent="0.3">
      <c r="A754" s="4" t="s">
        <v>1635</v>
      </c>
      <c r="B754" s="3">
        <v>45787.442708333343</v>
      </c>
      <c r="C754" s="2" t="s">
        <v>726</v>
      </c>
      <c r="D754" s="2" t="s">
        <v>53</v>
      </c>
      <c r="E754" s="2" t="s">
        <v>88</v>
      </c>
      <c r="F754" s="2">
        <v>14000</v>
      </c>
      <c r="G754" s="2">
        <v>5</v>
      </c>
      <c r="H754" s="2">
        <v>15</v>
      </c>
      <c r="I754">
        <f t="shared" si="55"/>
        <v>70000</v>
      </c>
      <c r="J754">
        <f t="shared" si="56"/>
        <v>10500</v>
      </c>
      <c r="K754" s="6">
        <f t="shared" si="57"/>
        <v>59500</v>
      </c>
      <c r="L754" s="2">
        <v>18000</v>
      </c>
      <c r="M754" s="6">
        <f>Table1[[#This Row],[Total Sales]]+Table1[[#This Row],[Shipping Fee]]</f>
        <v>77500</v>
      </c>
      <c r="N754" s="2" t="s">
        <v>29</v>
      </c>
      <c r="O754" t="str">
        <f>VLOOKUP(Table1[[#This Row],[Order ID]],Status!A:B, 2,FALSE)</f>
        <v>Returned</v>
      </c>
      <c r="P754" s="2" t="s">
        <v>30</v>
      </c>
      <c r="Q754" s="2">
        <v>3</v>
      </c>
      <c r="R754" s="2" t="s">
        <v>37</v>
      </c>
      <c r="S754" s="11" t="str">
        <f t="shared" si="58"/>
        <v>Standar</v>
      </c>
      <c r="T754" s="2" t="str">
        <f t="shared" si="59"/>
        <v>Normal</v>
      </c>
    </row>
    <row r="755" spans="1:20" ht="15.75" customHeight="1" x14ac:dyDescent="0.3">
      <c r="A755" s="4" t="s">
        <v>1634</v>
      </c>
      <c r="B755" s="3">
        <v>45787.356238425928</v>
      </c>
      <c r="C755" s="2" t="s">
        <v>95</v>
      </c>
      <c r="D755" s="2" t="s">
        <v>96</v>
      </c>
      <c r="E755" s="2" t="s">
        <v>88</v>
      </c>
      <c r="F755" s="2">
        <v>14000</v>
      </c>
      <c r="G755" s="2">
        <v>3</v>
      </c>
      <c r="H755" s="2">
        <v>20</v>
      </c>
      <c r="I755">
        <f t="shared" si="55"/>
        <v>42000</v>
      </c>
      <c r="J755">
        <f t="shared" si="56"/>
        <v>8400</v>
      </c>
      <c r="K755" s="6">
        <f t="shared" si="57"/>
        <v>33600</v>
      </c>
      <c r="L755" s="2">
        <v>49000</v>
      </c>
      <c r="M755" s="6">
        <f>Table1[[#This Row],[Total Sales]]+Table1[[#This Row],[Shipping Fee]]</f>
        <v>82600</v>
      </c>
      <c r="N755" s="2" t="s">
        <v>63</v>
      </c>
      <c r="O755" t="str">
        <f>VLOOKUP(Table1[[#This Row],[Order ID]],Status!A:B, 2,FALSE)</f>
        <v>Returned</v>
      </c>
      <c r="P755" s="2" t="s">
        <v>36</v>
      </c>
      <c r="Q755" s="2">
        <v>3</v>
      </c>
      <c r="R755" s="2" t="s">
        <v>24</v>
      </c>
      <c r="S755" s="11" t="str">
        <f t="shared" si="58"/>
        <v>Standar</v>
      </c>
      <c r="T755" s="2" t="str">
        <f t="shared" si="59"/>
        <v>Rendah</v>
      </c>
    </row>
    <row r="756" spans="1:20" ht="15.75" customHeight="1" x14ac:dyDescent="0.3">
      <c r="A756" s="4" t="s">
        <v>1633</v>
      </c>
      <c r="B756" s="3">
        <v>45787.290150462963</v>
      </c>
      <c r="C756" s="2" t="s">
        <v>283</v>
      </c>
      <c r="D756" s="2" t="s">
        <v>92</v>
      </c>
      <c r="E756" s="2" t="s">
        <v>81</v>
      </c>
      <c r="F756" s="2">
        <v>17000</v>
      </c>
      <c r="G756" s="2">
        <v>5</v>
      </c>
      <c r="H756" s="2">
        <v>5</v>
      </c>
      <c r="I756">
        <f t="shared" si="55"/>
        <v>85000</v>
      </c>
      <c r="J756">
        <f t="shared" si="56"/>
        <v>4250</v>
      </c>
      <c r="K756" s="6">
        <f t="shared" si="57"/>
        <v>80750</v>
      </c>
      <c r="L756" s="2">
        <v>30000</v>
      </c>
      <c r="M756" s="6">
        <f>Table1[[#This Row],[Total Sales]]+Table1[[#This Row],[Shipping Fee]]</f>
        <v>110750</v>
      </c>
      <c r="N756" s="2" t="s">
        <v>29</v>
      </c>
      <c r="O756" t="str">
        <f>VLOOKUP(Table1[[#This Row],[Order ID]],Status!A:B, 2,FALSE)</f>
        <v>Returned</v>
      </c>
      <c r="P756" s="2" t="s">
        <v>36</v>
      </c>
      <c r="Q756" s="2">
        <v>4</v>
      </c>
      <c r="R756" s="2" t="s">
        <v>24</v>
      </c>
      <c r="S756" s="11" t="str">
        <f t="shared" si="58"/>
        <v>Bagus</v>
      </c>
      <c r="T756" s="2" t="str">
        <f t="shared" si="59"/>
        <v>Sangat Rendah</v>
      </c>
    </row>
    <row r="757" spans="1:20" ht="15.75" customHeight="1" x14ac:dyDescent="0.3">
      <c r="A757" s="4" t="s">
        <v>1632</v>
      </c>
      <c r="B757" s="3">
        <v>45787.08699074074</v>
      </c>
      <c r="C757" s="2" t="s">
        <v>502</v>
      </c>
      <c r="D757" s="2" t="s">
        <v>107</v>
      </c>
      <c r="E757" s="2" t="s">
        <v>50</v>
      </c>
      <c r="F757" s="2">
        <v>14000</v>
      </c>
      <c r="G757" s="2">
        <v>1</v>
      </c>
      <c r="H757" s="2">
        <v>20</v>
      </c>
      <c r="I757">
        <f t="shared" si="55"/>
        <v>14000</v>
      </c>
      <c r="J757">
        <f t="shared" si="56"/>
        <v>2800</v>
      </c>
      <c r="K757" s="6">
        <f t="shared" si="57"/>
        <v>11200</v>
      </c>
      <c r="L757" s="2">
        <v>97000</v>
      </c>
      <c r="M757" s="6">
        <f>Table1[[#This Row],[Total Sales]]+Table1[[#This Row],[Shipping Fee]]</f>
        <v>108200</v>
      </c>
      <c r="N757" s="2" t="s">
        <v>63</v>
      </c>
      <c r="O757" t="str">
        <f>VLOOKUP(Table1[[#This Row],[Order ID]],Status!A:B, 2,FALSE)</f>
        <v>Completed</v>
      </c>
      <c r="P757" s="2" t="s">
        <v>36</v>
      </c>
      <c r="Q757" s="2">
        <v>4</v>
      </c>
      <c r="R757" s="2" t="s">
        <v>24</v>
      </c>
      <c r="S757" s="11" t="str">
        <f t="shared" si="58"/>
        <v>Bagus</v>
      </c>
      <c r="T757" s="2" t="str">
        <f t="shared" si="59"/>
        <v>Sangat Rendah</v>
      </c>
    </row>
    <row r="758" spans="1:20" ht="15.75" customHeight="1" x14ac:dyDescent="0.3">
      <c r="A758" s="4" t="s">
        <v>1632</v>
      </c>
      <c r="B758" s="3">
        <v>45787.08699074074</v>
      </c>
      <c r="C758" s="2" t="s">
        <v>502</v>
      </c>
      <c r="D758" s="2" t="s">
        <v>107</v>
      </c>
      <c r="E758" s="2" t="s">
        <v>81</v>
      </c>
      <c r="F758" s="2">
        <v>17000</v>
      </c>
      <c r="G758" s="2">
        <v>4</v>
      </c>
      <c r="H758" s="2">
        <v>5</v>
      </c>
      <c r="I758">
        <f t="shared" si="55"/>
        <v>68000</v>
      </c>
      <c r="J758">
        <f t="shared" si="56"/>
        <v>3400</v>
      </c>
      <c r="K758" s="6">
        <f t="shared" si="57"/>
        <v>64600</v>
      </c>
      <c r="L758" s="2">
        <v>0</v>
      </c>
      <c r="M758" s="6">
        <f>Table1[[#This Row],[Total Sales]]+Table1[[#This Row],[Shipping Fee]]</f>
        <v>64600</v>
      </c>
      <c r="N758" s="2" t="s">
        <v>63</v>
      </c>
      <c r="O758" t="str">
        <f>VLOOKUP(Table1[[#This Row],[Order ID]],Status!A:B, 2,FALSE)</f>
        <v>Completed</v>
      </c>
      <c r="P758" s="2" t="s">
        <v>36</v>
      </c>
      <c r="Q758" s="2">
        <v>4</v>
      </c>
      <c r="R758" s="2" t="s">
        <v>24</v>
      </c>
      <c r="S758" s="11" t="str">
        <f t="shared" si="58"/>
        <v>Bagus</v>
      </c>
      <c r="T758" s="2" t="str">
        <f t="shared" si="59"/>
        <v>Sangat Rendah</v>
      </c>
    </row>
    <row r="759" spans="1:20" ht="15.75" customHeight="1" x14ac:dyDescent="0.3">
      <c r="A759" s="4" t="s">
        <v>1631</v>
      </c>
      <c r="B759" s="3">
        <v>45786.961157407408</v>
      </c>
      <c r="C759" s="2" t="s">
        <v>402</v>
      </c>
      <c r="D759" s="2" t="s">
        <v>163</v>
      </c>
      <c r="E759" s="2" t="s">
        <v>62</v>
      </c>
      <c r="F759" s="2">
        <v>50000</v>
      </c>
      <c r="G759" s="2">
        <v>2</v>
      </c>
      <c r="H759" s="2">
        <v>5</v>
      </c>
      <c r="I759">
        <f t="shared" si="55"/>
        <v>100000</v>
      </c>
      <c r="J759">
        <f t="shared" si="56"/>
        <v>5000</v>
      </c>
      <c r="K759" s="6">
        <f t="shared" si="57"/>
        <v>95000</v>
      </c>
      <c r="L759" s="2">
        <v>50000</v>
      </c>
      <c r="M759" s="6">
        <f>Table1[[#This Row],[Total Sales]]+Table1[[#This Row],[Shipping Fee]]</f>
        <v>145000</v>
      </c>
      <c r="N759" s="2" t="s">
        <v>63</v>
      </c>
      <c r="O759" t="str">
        <f>VLOOKUP(Table1[[#This Row],[Order ID]],Status!A:B, 2,FALSE)</f>
        <v>Completed</v>
      </c>
      <c r="P759" s="2" t="s">
        <v>30</v>
      </c>
      <c r="Q759" s="2">
        <v>5</v>
      </c>
      <c r="R759" s="2" t="s">
        <v>24</v>
      </c>
      <c r="S759" s="11" t="str">
        <f t="shared" si="58"/>
        <v>Bagus</v>
      </c>
      <c r="T759" s="2" t="str">
        <f t="shared" si="59"/>
        <v>Sangat Rendah</v>
      </c>
    </row>
    <row r="760" spans="1:20" ht="15.75" customHeight="1" x14ac:dyDescent="0.3">
      <c r="A760" s="4" t="s">
        <v>1630</v>
      </c>
      <c r="B760" s="3">
        <v>45786.793541666673</v>
      </c>
      <c r="C760" s="2" t="s">
        <v>784</v>
      </c>
      <c r="D760" s="2" t="s">
        <v>116</v>
      </c>
      <c r="E760" s="2" t="s">
        <v>144</v>
      </c>
      <c r="F760" s="2">
        <v>18000</v>
      </c>
      <c r="G760" s="2">
        <v>1</v>
      </c>
      <c r="H760" s="2">
        <v>15</v>
      </c>
      <c r="I760">
        <f t="shared" si="55"/>
        <v>18000</v>
      </c>
      <c r="J760">
        <f t="shared" si="56"/>
        <v>2700</v>
      </c>
      <c r="K760" s="6">
        <f t="shared" si="57"/>
        <v>15300</v>
      </c>
      <c r="L760" s="2">
        <v>72000</v>
      </c>
      <c r="M760" s="6">
        <f>Table1[[#This Row],[Total Sales]]+Table1[[#This Row],[Shipping Fee]]</f>
        <v>87300</v>
      </c>
      <c r="N760" s="2" t="s">
        <v>22</v>
      </c>
      <c r="O760" t="str">
        <f>VLOOKUP(Table1[[#This Row],[Order ID]],Status!A:B, 2,FALSE)</f>
        <v>Completed</v>
      </c>
      <c r="P760" s="2" t="s">
        <v>30</v>
      </c>
      <c r="Q760" s="2">
        <v>4</v>
      </c>
      <c r="R760" s="2" t="s">
        <v>24</v>
      </c>
      <c r="S760" s="11" t="str">
        <f t="shared" si="58"/>
        <v>Bagus</v>
      </c>
      <c r="T760" s="2" t="str">
        <f t="shared" si="59"/>
        <v>Sangat Rendah</v>
      </c>
    </row>
    <row r="761" spans="1:20" ht="15.75" customHeight="1" x14ac:dyDescent="0.3">
      <c r="A761" s="4" t="s">
        <v>1629</v>
      </c>
      <c r="B761" s="3">
        <v>45786.621874999997</v>
      </c>
      <c r="C761" s="2" t="s">
        <v>449</v>
      </c>
      <c r="D761" s="2" t="s">
        <v>151</v>
      </c>
      <c r="E761" s="2" t="s">
        <v>45</v>
      </c>
      <c r="F761" s="2">
        <v>40000</v>
      </c>
      <c r="G761" s="2">
        <v>4</v>
      </c>
      <c r="H761" s="2">
        <v>20</v>
      </c>
      <c r="I761">
        <f t="shared" si="55"/>
        <v>160000</v>
      </c>
      <c r="J761">
        <f t="shared" si="56"/>
        <v>32000</v>
      </c>
      <c r="K761" s="6">
        <f t="shared" si="57"/>
        <v>128000</v>
      </c>
      <c r="L761" s="2">
        <v>55000</v>
      </c>
      <c r="M761" s="6">
        <f>Table1[[#This Row],[Total Sales]]+Table1[[#This Row],[Shipping Fee]]</f>
        <v>183000</v>
      </c>
      <c r="N761" s="2" t="s">
        <v>63</v>
      </c>
      <c r="O761" t="str">
        <f>VLOOKUP(Table1[[#This Row],[Order ID]],Status!A:B, 2,FALSE)</f>
        <v>Completed</v>
      </c>
      <c r="P761" s="2" t="s">
        <v>23</v>
      </c>
      <c r="Q761" s="2">
        <v>4</v>
      </c>
      <c r="R761" s="2" t="s">
        <v>24</v>
      </c>
      <c r="S761" s="11" t="str">
        <f t="shared" si="58"/>
        <v>Bagus</v>
      </c>
      <c r="T761" s="2" t="str">
        <f t="shared" si="59"/>
        <v>Tinggi</v>
      </c>
    </row>
    <row r="762" spans="1:20" ht="15.75" customHeight="1" x14ac:dyDescent="0.3">
      <c r="A762" s="4" t="s">
        <v>1628</v>
      </c>
      <c r="B762" s="3">
        <v>45786.465185185189</v>
      </c>
      <c r="C762" s="2" t="s">
        <v>812</v>
      </c>
      <c r="D762" s="2" t="s">
        <v>33</v>
      </c>
      <c r="E762" s="2" t="s">
        <v>85</v>
      </c>
      <c r="F762" s="2">
        <v>35000</v>
      </c>
      <c r="G762" s="2">
        <v>5</v>
      </c>
      <c r="H762" s="2">
        <v>20</v>
      </c>
      <c r="I762">
        <f t="shared" si="55"/>
        <v>175000</v>
      </c>
      <c r="J762">
        <f t="shared" si="56"/>
        <v>35000</v>
      </c>
      <c r="K762" s="6">
        <f t="shared" si="57"/>
        <v>140000</v>
      </c>
      <c r="L762" s="2">
        <v>76000</v>
      </c>
      <c r="M762" s="6">
        <f>Table1[[#This Row],[Total Sales]]+Table1[[#This Row],[Shipping Fee]]</f>
        <v>216000</v>
      </c>
      <c r="N762" s="2" t="s">
        <v>35</v>
      </c>
      <c r="O762" t="str">
        <f>VLOOKUP(Table1[[#This Row],[Order ID]],Status!A:B, 2,FALSE)</f>
        <v>Completed</v>
      </c>
      <c r="P762" s="2" t="s">
        <v>30</v>
      </c>
      <c r="Q762" s="2">
        <v>4</v>
      </c>
      <c r="R762" s="2" t="s">
        <v>24</v>
      </c>
      <c r="S762" s="11" t="str">
        <f t="shared" si="58"/>
        <v>Bagus</v>
      </c>
      <c r="T762" s="2" t="str">
        <f t="shared" si="59"/>
        <v>Tinggi</v>
      </c>
    </row>
    <row r="763" spans="1:20" ht="15.75" customHeight="1" x14ac:dyDescent="0.3">
      <c r="A763" s="4" t="s">
        <v>1627</v>
      </c>
      <c r="B763" s="3">
        <v>45786.459502314807</v>
      </c>
      <c r="C763" s="2" t="s">
        <v>269</v>
      </c>
      <c r="D763" s="2" t="s">
        <v>173</v>
      </c>
      <c r="E763" s="2" t="s">
        <v>85</v>
      </c>
      <c r="F763" s="2">
        <v>35000</v>
      </c>
      <c r="G763" s="2">
        <v>2</v>
      </c>
      <c r="H763" s="2">
        <v>10</v>
      </c>
      <c r="I763">
        <f t="shared" si="55"/>
        <v>70000</v>
      </c>
      <c r="J763">
        <f t="shared" si="56"/>
        <v>7000</v>
      </c>
      <c r="K763" s="6">
        <f t="shared" si="57"/>
        <v>63000</v>
      </c>
      <c r="L763" s="2">
        <v>49000</v>
      </c>
      <c r="M763" s="6">
        <f>Table1[[#This Row],[Total Sales]]+Table1[[#This Row],[Shipping Fee]]</f>
        <v>112000</v>
      </c>
      <c r="N763" s="2" t="s">
        <v>29</v>
      </c>
      <c r="O763" t="str">
        <f>VLOOKUP(Table1[[#This Row],[Order ID]],Status!A:B, 2,FALSE)</f>
        <v>Completed</v>
      </c>
      <c r="P763" s="2" t="s">
        <v>82</v>
      </c>
      <c r="Q763" s="2">
        <v>2</v>
      </c>
      <c r="R763" s="2" t="s">
        <v>37</v>
      </c>
      <c r="S763" s="11" t="str">
        <f t="shared" si="58"/>
        <v>Rendah</v>
      </c>
      <c r="T763" s="2" t="str">
        <f t="shared" si="59"/>
        <v>Rendah</v>
      </c>
    </row>
    <row r="764" spans="1:20" ht="15.75" customHeight="1" x14ac:dyDescent="0.3">
      <c r="A764" s="4" t="s">
        <v>1626</v>
      </c>
      <c r="B764" s="3">
        <v>45786.397569444453</v>
      </c>
      <c r="C764" s="2" t="s">
        <v>246</v>
      </c>
      <c r="D764" s="2" t="s">
        <v>238</v>
      </c>
      <c r="E764" s="2" t="s">
        <v>67</v>
      </c>
      <c r="F764" s="2">
        <v>15000</v>
      </c>
      <c r="G764" s="2">
        <v>2</v>
      </c>
      <c r="H764" s="2">
        <v>15</v>
      </c>
      <c r="I764">
        <f t="shared" si="55"/>
        <v>30000</v>
      </c>
      <c r="J764">
        <f t="shared" si="56"/>
        <v>4500</v>
      </c>
      <c r="K764" s="6">
        <f t="shared" si="57"/>
        <v>25500</v>
      </c>
      <c r="L764" s="2">
        <v>28000</v>
      </c>
      <c r="M764" s="6">
        <f>Table1[[#This Row],[Total Sales]]+Table1[[#This Row],[Shipping Fee]]</f>
        <v>53500</v>
      </c>
      <c r="N764" s="2" t="s">
        <v>22</v>
      </c>
      <c r="O764" t="str">
        <f>VLOOKUP(Table1[[#This Row],[Order ID]],Status!A:B, 2,FALSE)</f>
        <v>Returned</v>
      </c>
      <c r="P764" s="2" t="s">
        <v>82</v>
      </c>
      <c r="Q764" s="2">
        <v>5</v>
      </c>
      <c r="R764" s="2" t="s">
        <v>24</v>
      </c>
      <c r="S764" s="11" t="str">
        <f t="shared" si="58"/>
        <v>Bagus</v>
      </c>
      <c r="T764" s="2" t="str">
        <f t="shared" si="59"/>
        <v>Sangat Rendah</v>
      </c>
    </row>
    <row r="765" spans="1:20" ht="15.75" customHeight="1" x14ac:dyDescent="0.3">
      <c r="A765" s="4" t="s">
        <v>1625</v>
      </c>
      <c r="B765" s="3">
        <v>45786.137766203698</v>
      </c>
      <c r="C765" s="2" t="s">
        <v>368</v>
      </c>
      <c r="D765" s="2" t="s">
        <v>113</v>
      </c>
      <c r="E765" s="2" t="s">
        <v>186</v>
      </c>
      <c r="F765" s="2">
        <v>45000</v>
      </c>
      <c r="G765" s="2">
        <v>3</v>
      </c>
      <c r="H765" s="2">
        <v>10</v>
      </c>
      <c r="I765">
        <f t="shared" si="55"/>
        <v>135000</v>
      </c>
      <c r="J765">
        <f t="shared" si="56"/>
        <v>13500</v>
      </c>
      <c r="K765" s="6">
        <f t="shared" si="57"/>
        <v>121500</v>
      </c>
      <c r="L765" s="2">
        <v>18000</v>
      </c>
      <c r="M765" s="6">
        <f>Table1[[#This Row],[Total Sales]]+Table1[[#This Row],[Shipping Fee]]</f>
        <v>139500</v>
      </c>
      <c r="N765" s="2" t="s">
        <v>63</v>
      </c>
      <c r="O765" t="str">
        <f>VLOOKUP(Table1[[#This Row],[Order ID]],Status!A:B, 2,FALSE)</f>
        <v>Completed</v>
      </c>
      <c r="P765" s="2" t="s">
        <v>36</v>
      </c>
      <c r="Q765" s="2">
        <v>1</v>
      </c>
      <c r="R765" s="2" t="s">
        <v>37</v>
      </c>
      <c r="S765" s="11" t="str">
        <f t="shared" si="58"/>
        <v>Rendah</v>
      </c>
      <c r="T765" s="2" t="str">
        <f t="shared" si="59"/>
        <v>Normal</v>
      </c>
    </row>
    <row r="766" spans="1:20" ht="15.75" customHeight="1" x14ac:dyDescent="0.3">
      <c r="A766" s="4" t="s">
        <v>1623</v>
      </c>
      <c r="B766" s="3">
        <v>45785.898449074077</v>
      </c>
      <c r="C766" s="2" t="s">
        <v>1624</v>
      </c>
      <c r="D766" s="2" t="s">
        <v>33</v>
      </c>
      <c r="E766" s="2" t="s">
        <v>186</v>
      </c>
      <c r="F766" s="2">
        <v>45000</v>
      </c>
      <c r="G766" s="2">
        <v>3</v>
      </c>
      <c r="H766" s="2">
        <v>10</v>
      </c>
      <c r="I766">
        <f t="shared" si="55"/>
        <v>135000</v>
      </c>
      <c r="J766">
        <f t="shared" si="56"/>
        <v>13500</v>
      </c>
      <c r="K766" s="6">
        <f t="shared" si="57"/>
        <v>121500</v>
      </c>
      <c r="L766" s="2">
        <v>76000</v>
      </c>
      <c r="M766" s="6">
        <f>Table1[[#This Row],[Total Sales]]+Table1[[#This Row],[Shipping Fee]]</f>
        <v>197500</v>
      </c>
      <c r="N766" s="2" t="s">
        <v>35</v>
      </c>
      <c r="O766" t="str">
        <f>VLOOKUP(Table1[[#This Row],[Order ID]],Status!A:B, 2,FALSE)</f>
        <v>Completed</v>
      </c>
      <c r="P766" s="2" t="s">
        <v>30</v>
      </c>
      <c r="Q766" s="2">
        <v>2</v>
      </c>
      <c r="R766" s="2" t="s">
        <v>24</v>
      </c>
      <c r="S766" s="11" t="str">
        <f t="shared" si="58"/>
        <v>Rendah</v>
      </c>
      <c r="T766" s="2" t="str">
        <f t="shared" si="59"/>
        <v>Normal</v>
      </c>
    </row>
    <row r="767" spans="1:20" ht="15.75" customHeight="1" x14ac:dyDescent="0.3">
      <c r="A767" s="4" t="s">
        <v>1622</v>
      </c>
      <c r="B767" s="3">
        <v>45785.866412037038</v>
      </c>
      <c r="C767" s="2" t="s">
        <v>649</v>
      </c>
      <c r="D767" s="2" t="s">
        <v>177</v>
      </c>
      <c r="E767" s="2" t="s">
        <v>85</v>
      </c>
      <c r="F767" s="2">
        <v>35000</v>
      </c>
      <c r="G767" s="2">
        <v>1</v>
      </c>
      <c r="H767" s="2">
        <v>5</v>
      </c>
      <c r="I767">
        <f t="shared" si="55"/>
        <v>35000</v>
      </c>
      <c r="J767">
        <f t="shared" si="56"/>
        <v>1750</v>
      </c>
      <c r="K767" s="6">
        <f t="shared" si="57"/>
        <v>33250</v>
      </c>
      <c r="L767" s="2">
        <v>56000</v>
      </c>
      <c r="M767" s="6">
        <f>Table1[[#This Row],[Total Sales]]+Table1[[#This Row],[Shipping Fee]]</f>
        <v>89250</v>
      </c>
      <c r="N767" s="2" t="s">
        <v>22</v>
      </c>
      <c r="O767" t="str">
        <f>VLOOKUP(Table1[[#This Row],[Order ID]],Status!A:B, 2,FALSE)</f>
        <v>Completed</v>
      </c>
      <c r="P767" s="2" t="s">
        <v>30</v>
      </c>
      <c r="Q767" s="2">
        <v>2</v>
      </c>
      <c r="R767" s="2" t="s">
        <v>24</v>
      </c>
      <c r="S767" s="11" t="str">
        <f t="shared" si="58"/>
        <v>Rendah</v>
      </c>
      <c r="T767" s="2" t="str">
        <f t="shared" si="59"/>
        <v>Sangat Rendah</v>
      </c>
    </row>
    <row r="768" spans="1:20" ht="15.75" customHeight="1" x14ac:dyDescent="0.3">
      <c r="A768" s="4" t="s">
        <v>1621</v>
      </c>
      <c r="B768" s="3">
        <v>45785.834872685176</v>
      </c>
      <c r="C768" s="2" t="s">
        <v>542</v>
      </c>
      <c r="D768" s="2" t="s">
        <v>122</v>
      </c>
      <c r="E768" s="2" t="s">
        <v>50</v>
      </c>
      <c r="F768" s="2">
        <v>14000</v>
      </c>
      <c r="G768" s="2">
        <v>2</v>
      </c>
      <c r="H768" s="2">
        <v>15</v>
      </c>
      <c r="I768">
        <f t="shared" si="55"/>
        <v>28000</v>
      </c>
      <c r="J768">
        <f t="shared" si="56"/>
        <v>4200</v>
      </c>
      <c r="K768" s="6">
        <f t="shared" si="57"/>
        <v>23800</v>
      </c>
      <c r="L768" s="2">
        <v>78000</v>
      </c>
      <c r="M768" s="6">
        <f>Table1[[#This Row],[Total Sales]]+Table1[[#This Row],[Shipping Fee]]</f>
        <v>101800</v>
      </c>
      <c r="N768" s="2" t="s">
        <v>35</v>
      </c>
      <c r="O768" t="str">
        <f>VLOOKUP(Table1[[#This Row],[Order ID]],Status!A:B, 2,FALSE)</f>
        <v>Completed</v>
      </c>
      <c r="P768" s="2" t="s">
        <v>36</v>
      </c>
      <c r="Q768" s="2">
        <v>4</v>
      </c>
      <c r="R768" s="2" t="s">
        <v>24</v>
      </c>
      <c r="S768" s="11" t="str">
        <f t="shared" si="58"/>
        <v>Bagus</v>
      </c>
      <c r="T768" s="2" t="str">
        <f t="shared" si="59"/>
        <v>Sangat Rendah</v>
      </c>
    </row>
    <row r="769" spans="1:20" ht="15.75" customHeight="1" x14ac:dyDescent="0.3">
      <c r="A769" s="4" t="s">
        <v>1621</v>
      </c>
      <c r="B769" s="3">
        <v>45785.834872685176</v>
      </c>
      <c r="C769" s="2" t="s">
        <v>542</v>
      </c>
      <c r="D769" s="2" t="s">
        <v>122</v>
      </c>
      <c r="E769" s="2" t="s">
        <v>110</v>
      </c>
      <c r="F769" s="2">
        <v>6000</v>
      </c>
      <c r="G769" s="2">
        <v>3</v>
      </c>
      <c r="H769" s="2">
        <v>10</v>
      </c>
      <c r="I769">
        <f t="shared" si="55"/>
        <v>18000</v>
      </c>
      <c r="J769">
        <f t="shared" si="56"/>
        <v>1800</v>
      </c>
      <c r="K769" s="6">
        <f t="shared" si="57"/>
        <v>16200</v>
      </c>
      <c r="L769" s="2">
        <v>0</v>
      </c>
      <c r="M769" s="6">
        <f>Table1[[#This Row],[Total Sales]]+Table1[[#This Row],[Shipping Fee]]</f>
        <v>16200</v>
      </c>
      <c r="N769" s="2" t="s">
        <v>35</v>
      </c>
      <c r="O769" t="str">
        <f>VLOOKUP(Table1[[#This Row],[Order ID]],Status!A:B, 2,FALSE)</f>
        <v>Completed</v>
      </c>
      <c r="P769" s="2" t="s">
        <v>36</v>
      </c>
      <c r="Q769" s="2">
        <v>4</v>
      </c>
      <c r="R769" s="2" t="s">
        <v>24</v>
      </c>
      <c r="S769" s="11" t="str">
        <f t="shared" si="58"/>
        <v>Bagus</v>
      </c>
      <c r="T769" s="2" t="str">
        <f t="shared" si="59"/>
        <v>Sangat Rendah</v>
      </c>
    </row>
    <row r="770" spans="1:20" ht="15.75" customHeight="1" x14ac:dyDescent="0.3">
      <c r="A770" s="4" t="s">
        <v>1619</v>
      </c>
      <c r="B770" s="3">
        <v>45785.785474537042</v>
      </c>
      <c r="C770" s="2" t="s">
        <v>1620</v>
      </c>
      <c r="D770" s="2" t="s">
        <v>92</v>
      </c>
      <c r="E770" s="2" t="s">
        <v>186</v>
      </c>
      <c r="F770" s="2">
        <v>45000</v>
      </c>
      <c r="G770" s="2">
        <v>4</v>
      </c>
      <c r="H770" s="2">
        <v>10</v>
      </c>
      <c r="I770">
        <f t="shared" ref="I770:I833" si="60">F770*G770</f>
        <v>180000</v>
      </c>
      <c r="J770">
        <f t="shared" ref="J770:J833" si="61">I770*H770/100</f>
        <v>18000</v>
      </c>
      <c r="K770" s="6">
        <f t="shared" ref="K770:K833" si="62">I770-J770</f>
        <v>162000</v>
      </c>
      <c r="L770" s="2">
        <v>30000</v>
      </c>
      <c r="M770" s="6">
        <f>Table1[[#This Row],[Total Sales]]+Table1[[#This Row],[Shipping Fee]]</f>
        <v>192000</v>
      </c>
      <c r="N770" s="2" t="s">
        <v>22</v>
      </c>
      <c r="O770" t="str">
        <f>VLOOKUP(Table1[[#This Row],[Order ID]],Status!A:B, 2,FALSE)</f>
        <v>Completed</v>
      </c>
      <c r="P770" s="2" t="s">
        <v>23</v>
      </c>
      <c r="Q770" s="2">
        <v>1</v>
      </c>
      <c r="R770" s="2" t="s">
        <v>24</v>
      </c>
      <c r="S770" s="11" t="str">
        <f t="shared" ref="S770:S833" si="63">_xlfn.IFS(Q770&gt;3,"Bagus",Q770=3,"Standar",Q770&lt;3,"Rendah")</f>
        <v>Rendah</v>
      </c>
      <c r="T770" s="2" t="str">
        <f t="shared" ref="T770:T833" si="64">_xlfn.IFS(J770&lt;=5000,"Sangat Rendah", J770&lt;=10000,"Rendah", J770&lt;=20000, "Normal", J770&lt;=35000, "Tinggi", J770&lt;= 50000, "Sangat Tinggi", J770&gt;50000, "Clearance")</f>
        <v>Normal</v>
      </c>
    </row>
    <row r="771" spans="1:20" ht="15.75" customHeight="1" x14ac:dyDescent="0.3">
      <c r="A771" s="4" t="s">
        <v>1618</v>
      </c>
      <c r="B771" s="3">
        <v>45785.758344907408</v>
      </c>
      <c r="C771" s="2" t="s">
        <v>459</v>
      </c>
      <c r="D771" s="2" t="s">
        <v>61</v>
      </c>
      <c r="E771" s="2" t="s">
        <v>136</v>
      </c>
      <c r="F771" s="2">
        <v>12000</v>
      </c>
      <c r="G771" s="2">
        <v>1</v>
      </c>
      <c r="H771" s="2">
        <v>15</v>
      </c>
      <c r="I771">
        <f t="shared" si="60"/>
        <v>12000</v>
      </c>
      <c r="J771">
        <f t="shared" si="61"/>
        <v>1800</v>
      </c>
      <c r="K771" s="6">
        <f t="shared" si="62"/>
        <v>10200</v>
      </c>
      <c r="L771" s="2">
        <v>26000</v>
      </c>
      <c r="M771" s="6">
        <f>Table1[[#This Row],[Total Sales]]+Table1[[#This Row],[Shipping Fee]]</f>
        <v>36200</v>
      </c>
      <c r="N771" s="2" t="s">
        <v>29</v>
      </c>
      <c r="O771" t="str">
        <f>VLOOKUP(Table1[[#This Row],[Order ID]],Status!A:B, 2,FALSE)</f>
        <v>Completed</v>
      </c>
      <c r="P771" s="2" t="s">
        <v>36</v>
      </c>
      <c r="Q771" s="2">
        <v>1</v>
      </c>
      <c r="R771" s="2" t="s">
        <v>24</v>
      </c>
      <c r="S771" s="11" t="str">
        <f t="shared" si="63"/>
        <v>Rendah</v>
      </c>
      <c r="T771" s="2" t="str">
        <f t="shared" si="64"/>
        <v>Sangat Rendah</v>
      </c>
    </row>
    <row r="772" spans="1:20" ht="15.75" customHeight="1" x14ac:dyDescent="0.3">
      <c r="A772" s="4" t="s">
        <v>1617</v>
      </c>
      <c r="B772" s="3">
        <v>45785.138206018521</v>
      </c>
      <c r="C772" s="2" t="s">
        <v>724</v>
      </c>
      <c r="D772" s="2" t="s">
        <v>53</v>
      </c>
      <c r="E772" s="2" t="s">
        <v>88</v>
      </c>
      <c r="F772" s="2">
        <v>14000</v>
      </c>
      <c r="G772" s="2">
        <v>5</v>
      </c>
      <c r="H772" s="2">
        <v>0</v>
      </c>
      <c r="I772">
        <f t="shared" si="60"/>
        <v>70000</v>
      </c>
      <c r="J772">
        <f t="shared" si="61"/>
        <v>0</v>
      </c>
      <c r="K772" s="6">
        <f t="shared" si="62"/>
        <v>70000</v>
      </c>
      <c r="L772" s="2">
        <v>18000</v>
      </c>
      <c r="M772" s="6">
        <f>Table1[[#This Row],[Total Sales]]+Table1[[#This Row],[Shipping Fee]]</f>
        <v>88000</v>
      </c>
      <c r="N772" s="2" t="s">
        <v>22</v>
      </c>
      <c r="O772" t="str">
        <f>VLOOKUP(Table1[[#This Row],[Order ID]],Status!A:B, 2,FALSE)</f>
        <v>Returned</v>
      </c>
      <c r="P772" s="2" t="s">
        <v>30</v>
      </c>
      <c r="Q772" s="2">
        <v>4</v>
      </c>
      <c r="R772" s="2" t="s">
        <v>24</v>
      </c>
      <c r="S772" s="11" t="str">
        <f t="shared" si="63"/>
        <v>Bagus</v>
      </c>
      <c r="T772" s="2" t="str">
        <f t="shared" si="64"/>
        <v>Sangat Rendah</v>
      </c>
    </row>
    <row r="773" spans="1:20" ht="15.75" customHeight="1" x14ac:dyDescent="0.3">
      <c r="A773" s="4" t="s">
        <v>1616</v>
      </c>
      <c r="B773" s="3">
        <v>45785.124386574083</v>
      </c>
      <c r="C773" s="2" t="s">
        <v>812</v>
      </c>
      <c r="D773" s="2" t="s">
        <v>33</v>
      </c>
      <c r="E773" s="2" t="s">
        <v>144</v>
      </c>
      <c r="F773" s="2">
        <v>18000</v>
      </c>
      <c r="G773" s="2">
        <v>1</v>
      </c>
      <c r="H773" s="2">
        <v>20</v>
      </c>
      <c r="I773">
        <f t="shared" si="60"/>
        <v>18000</v>
      </c>
      <c r="J773">
        <f t="shared" si="61"/>
        <v>3600</v>
      </c>
      <c r="K773" s="6">
        <f t="shared" si="62"/>
        <v>14400</v>
      </c>
      <c r="L773" s="2">
        <v>76000</v>
      </c>
      <c r="M773" s="6">
        <f>Table1[[#This Row],[Total Sales]]+Table1[[#This Row],[Shipping Fee]]</f>
        <v>90400</v>
      </c>
      <c r="N773" s="2" t="s">
        <v>35</v>
      </c>
      <c r="O773" t="str">
        <f>VLOOKUP(Table1[[#This Row],[Order ID]],Status!A:B, 2,FALSE)</f>
        <v>Completed</v>
      </c>
      <c r="P773" s="2" t="s">
        <v>36</v>
      </c>
      <c r="Q773" s="2">
        <v>4</v>
      </c>
      <c r="R773" s="2" t="s">
        <v>24</v>
      </c>
      <c r="S773" s="11" t="str">
        <f t="shared" si="63"/>
        <v>Bagus</v>
      </c>
      <c r="T773" s="2" t="str">
        <f t="shared" si="64"/>
        <v>Sangat Rendah</v>
      </c>
    </row>
    <row r="774" spans="1:20" ht="15.75" customHeight="1" x14ac:dyDescent="0.3">
      <c r="A774" s="4" t="s">
        <v>1615</v>
      </c>
      <c r="B774" s="3">
        <v>45784.88071759259</v>
      </c>
      <c r="C774" s="2" t="s">
        <v>381</v>
      </c>
      <c r="D774" s="2" t="s">
        <v>103</v>
      </c>
      <c r="E774" s="2" t="s">
        <v>88</v>
      </c>
      <c r="F774" s="2">
        <v>14000</v>
      </c>
      <c r="G774" s="2">
        <v>3</v>
      </c>
      <c r="H774" s="2">
        <v>5</v>
      </c>
      <c r="I774">
        <f t="shared" si="60"/>
        <v>42000</v>
      </c>
      <c r="J774">
        <f t="shared" si="61"/>
        <v>2100</v>
      </c>
      <c r="K774" s="6">
        <f t="shared" si="62"/>
        <v>39900</v>
      </c>
      <c r="L774" s="2">
        <v>85000</v>
      </c>
      <c r="M774" s="6">
        <f>Table1[[#This Row],[Total Sales]]+Table1[[#This Row],[Shipping Fee]]</f>
        <v>124900</v>
      </c>
      <c r="N774" s="2" t="s">
        <v>35</v>
      </c>
      <c r="O774" t="str">
        <f>VLOOKUP(Table1[[#This Row],[Order ID]],Status!A:B, 2,FALSE)</f>
        <v>Completed</v>
      </c>
      <c r="P774" s="2" t="s">
        <v>46</v>
      </c>
      <c r="Q774" s="2">
        <v>3</v>
      </c>
      <c r="R774" s="2" t="s">
        <v>24</v>
      </c>
      <c r="S774" s="11" t="str">
        <f t="shared" si="63"/>
        <v>Standar</v>
      </c>
      <c r="T774" s="2" t="str">
        <f t="shared" si="64"/>
        <v>Sangat Rendah</v>
      </c>
    </row>
    <row r="775" spans="1:20" ht="15.75" customHeight="1" x14ac:dyDescent="0.3">
      <c r="A775" s="4" t="s">
        <v>1614</v>
      </c>
      <c r="B775" s="3">
        <v>45784.679629629631</v>
      </c>
      <c r="C775" s="2" t="s">
        <v>883</v>
      </c>
      <c r="D775" s="2" t="s">
        <v>44</v>
      </c>
      <c r="E775" s="2" t="s">
        <v>75</v>
      </c>
      <c r="F775" s="2">
        <v>55000</v>
      </c>
      <c r="G775" s="2">
        <v>3</v>
      </c>
      <c r="H775" s="2">
        <v>10</v>
      </c>
      <c r="I775">
        <f t="shared" si="60"/>
        <v>165000</v>
      </c>
      <c r="J775">
        <f t="shared" si="61"/>
        <v>16500</v>
      </c>
      <c r="K775" s="6">
        <f t="shared" si="62"/>
        <v>148500</v>
      </c>
      <c r="L775" s="2">
        <v>93000</v>
      </c>
      <c r="M775" s="6">
        <f>Table1[[#This Row],[Total Sales]]+Table1[[#This Row],[Shipping Fee]]</f>
        <v>241500</v>
      </c>
      <c r="N775" s="2" t="s">
        <v>63</v>
      </c>
      <c r="O775" t="str">
        <f>VLOOKUP(Table1[[#This Row],[Order ID]],Status!A:B, 2,FALSE)</f>
        <v>Completed</v>
      </c>
      <c r="P775" s="2" t="s">
        <v>82</v>
      </c>
      <c r="Q775" s="2">
        <v>2</v>
      </c>
      <c r="R775" s="2" t="s">
        <v>37</v>
      </c>
      <c r="S775" s="11" t="str">
        <f t="shared" si="63"/>
        <v>Rendah</v>
      </c>
      <c r="T775" s="2" t="str">
        <f t="shared" si="64"/>
        <v>Normal</v>
      </c>
    </row>
    <row r="776" spans="1:20" ht="15.75" customHeight="1" x14ac:dyDescent="0.3">
      <c r="A776" s="4" t="s">
        <v>1613</v>
      </c>
      <c r="B776" s="3">
        <v>45784.302152777767</v>
      </c>
      <c r="C776" s="2" t="s">
        <v>464</v>
      </c>
      <c r="D776" s="2" t="s">
        <v>296</v>
      </c>
      <c r="E776" s="2" t="s">
        <v>38</v>
      </c>
      <c r="F776" s="2">
        <v>28000</v>
      </c>
      <c r="G776" s="2">
        <v>5</v>
      </c>
      <c r="H776" s="2">
        <v>0</v>
      </c>
      <c r="I776">
        <f t="shared" si="60"/>
        <v>140000</v>
      </c>
      <c r="J776">
        <f t="shared" si="61"/>
        <v>0</v>
      </c>
      <c r="K776" s="6">
        <f t="shared" si="62"/>
        <v>140000</v>
      </c>
      <c r="L776" s="2">
        <v>79000</v>
      </c>
      <c r="M776" s="6">
        <f>Table1[[#This Row],[Total Sales]]+Table1[[#This Row],[Shipping Fee]]</f>
        <v>219000</v>
      </c>
      <c r="N776" s="2" t="s">
        <v>22</v>
      </c>
      <c r="O776" t="str">
        <f>VLOOKUP(Table1[[#This Row],[Order ID]],Status!A:B, 2,FALSE)</f>
        <v>Completed</v>
      </c>
      <c r="P776" s="2" t="s">
        <v>46</v>
      </c>
      <c r="Q776" s="2">
        <v>3</v>
      </c>
      <c r="R776" s="2" t="s">
        <v>37</v>
      </c>
      <c r="S776" s="11" t="str">
        <f t="shared" si="63"/>
        <v>Standar</v>
      </c>
      <c r="T776" s="2" t="str">
        <f t="shared" si="64"/>
        <v>Sangat Rendah</v>
      </c>
    </row>
    <row r="777" spans="1:20" ht="15.75" customHeight="1" x14ac:dyDescent="0.3">
      <c r="A777" s="4" t="s">
        <v>1613</v>
      </c>
      <c r="B777" s="3">
        <v>45784.302152777767</v>
      </c>
      <c r="C777" s="2" t="s">
        <v>464</v>
      </c>
      <c r="D777" s="2" t="s">
        <v>296</v>
      </c>
      <c r="E777" s="2" t="s">
        <v>93</v>
      </c>
      <c r="F777" s="2">
        <v>25000</v>
      </c>
      <c r="G777" s="2">
        <v>4</v>
      </c>
      <c r="H777" s="2">
        <v>0</v>
      </c>
      <c r="I777">
        <f t="shared" si="60"/>
        <v>100000</v>
      </c>
      <c r="J777">
        <f t="shared" si="61"/>
        <v>0</v>
      </c>
      <c r="K777" s="6">
        <f t="shared" si="62"/>
        <v>100000</v>
      </c>
      <c r="L777" s="2">
        <v>0</v>
      </c>
      <c r="M777" s="6">
        <f>Table1[[#This Row],[Total Sales]]+Table1[[#This Row],[Shipping Fee]]</f>
        <v>100000</v>
      </c>
      <c r="N777" s="2" t="s">
        <v>22</v>
      </c>
      <c r="O777" t="str">
        <f>VLOOKUP(Table1[[#This Row],[Order ID]],Status!A:B, 2,FALSE)</f>
        <v>Completed</v>
      </c>
      <c r="P777" s="2" t="s">
        <v>46</v>
      </c>
      <c r="Q777" s="2">
        <v>3</v>
      </c>
      <c r="R777" s="2" t="s">
        <v>37</v>
      </c>
      <c r="S777" s="11" t="str">
        <f t="shared" si="63"/>
        <v>Standar</v>
      </c>
      <c r="T777" s="2" t="str">
        <f t="shared" si="64"/>
        <v>Sangat Rendah</v>
      </c>
    </row>
    <row r="778" spans="1:20" ht="15.75" customHeight="1" x14ac:dyDescent="0.3">
      <c r="A778" s="4" t="s">
        <v>1612</v>
      </c>
      <c r="B778" s="3">
        <v>45783.977777777778</v>
      </c>
      <c r="C778" s="2" t="s">
        <v>102</v>
      </c>
      <c r="D778" s="2" t="s">
        <v>103</v>
      </c>
      <c r="E778" s="2" t="s">
        <v>174</v>
      </c>
      <c r="F778" s="2">
        <v>10000</v>
      </c>
      <c r="G778" s="2">
        <v>2</v>
      </c>
      <c r="H778" s="2">
        <v>15</v>
      </c>
      <c r="I778">
        <f t="shared" si="60"/>
        <v>20000</v>
      </c>
      <c r="J778">
        <f t="shared" si="61"/>
        <v>3000</v>
      </c>
      <c r="K778" s="6">
        <f t="shared" si="62"/>
        <v>17000</v>
      </c>
      <c r="L778" s="2">
        <v>85000</v>
      </c>
      <c r="M778" s="6">
        <f>Table1[[#This Row],[Total Sales]]+Table1[[#This Row],[Shipping Fee]]</f>
        <v>102000</v>
      </c>
      <c r="N778" s="2" t="s">
        <v>63</v>
      </c>
      <c r="O778" t="str">
        <f>VLOOKUP(Table1[[#This Row],[Order ID]],Status!A:B, 2,FALSE)</f>
        <v>Returned</v>
      </c>
      <c r="P778" s="2" t="s">
        <v>46</v>
      </c>
      <c r="Q778" s="2">
        <v>3</v>
      </c>
      <c r="R778" s="2" t="s">
        <v>24</v>
      </c>
      <c r="S778" s="11" t="str">
        <f t="shared" si="63"/>
        <v>Standar</v>
      </c>
      <c r="T778" s="2" t="str">
        <f t="shared" si="64"/>
        <v>Sangat Rendah</v>
      </c>
    </row>
    <row r="779" spans="1:20" ht="15.75" customHeight="1" x14ac:dyDescent="0.3">
      <c r="A779" s="4" t="s">
        <v>1611</v>
      </c>
      <c r="B779" s="3">
        <v>45783.753206018519</v>
      </c>
      <c r="C779" s="2" t="s">
        <v>52</v>
      </c>
      <c r="D779" s="2" t="s">
        <v>53</v>
      </c>
      <c r="E779" s="2" t="s">
        <v>67</v>
      </c>
      <c r="F779" s="2">
        <v>15000</v>
      </c>
      <c r="G779" s="2">
        <v>3</v>
      </c>
      <c r="H779" s="2">
        <v>0</v>
      </c>
      <c r="I779">
        <f t="shared" si="60"/>
        <v>45000</v>
      </c>
      <c r="J779">
        <f t="shared" si="61"/>
        <v>0</v>
      </c>
      <c r="K779" s="6">
        <f t="shared" si="62"/>
        <v>45000</v>
      </c>
      <c r="L779" s="2">
        <v>18000</v>
      </c>
      <c r="M779" s="6">
        <f>Table1[[#This Row],[Total Sales]]+Table1[[#This Row],[Shipping Fee]]</f>
        <v>63000</v>
      </c>
      <c r="N779" s="2" t="s">
        <v>35</v>
      </c>
      <c r="O779" t="str">
        <f>VLOOKUP(Table1[[#This Row],[Order ID]],Status!A:B, 2,FALSE)</f>
        <v>Completed</v>
      </c>
      <c r="P779" s="2" t="s">
        <v>46</v>
      </c>
      <c r="Q779" s="2">
        <v>1</v>
      </c>
      <c r="R779" s="2" t="s">
        <v>24</v>
      </c>
      <c r="S779" s="11" t="str">
        <f t="shared" si="63"/>
        <v>Rendah</v>
      </c>
      <c r="T779" s="2" t="str">
        <f t="shared" si="64"/>
        <v>Sangat Rendah</v>
      </c>
    </row>
    <row r="780" spans="1:20" ht="15.75" customHeight="1" x14ac:dyDescent="0.3">
      <c r="A780" s="4" t="s">
        <v>1610</v>
      </c>
      <c r="B780" s="3">
        <v>45783.724490740737</v>
      </c>
      <c r="C780" s="2" t="s">
        <v>155</v>
      </c>
      <c r="D780" s="2" t="s">
        <v>92</v>
      </c>
      <c r="E780" s="2" t="s">
        <v>85</v>
      </c>
      <c r="F780" s="2">
        <v>35000</v>
      </c>
      <c r="G780" s="2">
        <v>5</v>
      </c>
      <c r="H780" s="2">
        <v>10</v>
      </c>
      <c r="I780">
        <f t="shared" si="60"/>
        <v>175000</v>
      </c>
      <c r="J780">
        <f t="shared" si="61"/>
        <v>17500</v>
      </c>
      <c r="K780" s="6">
        <f t="shared" si="62"/>
        <v>157500</v>
      </c>
      <c r="L780" s="2">
        <v>30000</v>
      </c>
      <c r="M780" s="6">
        <f>Table1[[#This Row],[Total Sales]]+Table1[[#This Row],[Shipping Fee]]</f>
        <v>187500</v>
      </c>
      <c r="N780" s="2" t="s">
        <v>29</v>
      </c>
      <c r="O780" t="str">
        <f>VLOOKUP(Table1[[#This Row],[Order ID]],Status!A:B, 2,FALSE)</f>
        <v>Completed</v>
      </c>
      <c r="P780" s="2" t="s">
        <v>36</v>
      </c>
      <c r="Q780" s="2">
        <v>5</v>
      </c>
      <c r="R780" s="2" t="s">
        <v>24</v>
      </c>
      <c r="S780" s="11" t="str">
        <f t="shared" si="63"/>
        <v>Bagus</v>
      </c>
      <c r="T780" s="2" t="str">
        <f t="shared" si="64"/>
        <v>Normal</v>
      </c>
    </row>
    <row r="781" spans="1:20" ht="15.75" customHeight="1" x14ac:dyDescent="0.3">
      <c r="A781" s="4" t="s">
        <v>1609</v>
      </c>
      <c r="B781" s="3">
        <v>45783.414594907408</v>
      </c>
      <c r="C781" s="2" t="s">
        <v>148</v>
      </c>
      <c r="D781" s="2" t="s">
        <v>74</v>
      </c>
      <c r="E781" s="2" t="s">
        <v>67</v>
      </c>
      <c r="F781" s="2">
        <v>15000</v>
      </c>
      <c r="G781" s="2">
        <v>3</v>
      </c>
      <c r="H781" s="2">
        <v>5</v>
      </c>
      <c r="I781">
        <f t="shared" si="60"/>
        <v>45000</v>
      </c>
      <c r="J781">
        <f t="shared" si="61"/>
        <v>2250</v>
      </c>
      <c r="K781" s="6">
        <f t="shared" si="62"/>
        <v>42750</v>
      </c>
      <c r="L781" s="2">
        <v>87000</v>
      </c>
      <c r="M781" s="6">
        <f>Table1[[#This Row],[Total Sales]]+Table1[[#This Row],[Shipping Fee]]</f>
        <v>129750</v>
      </c>
      <c r="N781" s="2" t="s">
        <v>35</v>
      </c>
      <c r="O781" t="str">
        <f>VLOOKUP(Table1[[#This Row],[Order ID]],Status!A:B, 2,FALSE)</f>
        <v>Completed</v>
      </c>
      <c r="P781" s="2" t="s">
        <v>30</v>
      </c>
      <c r="Q781" s="2">
        <v>2</v>
      </c>
      <c r="R781" s="2" t="s">
        <v>24</v>
      </c>
      <c r="S781" s="11" t="str">
        <f t="shared" si="63"/>
        <v>Rendah</v>
      </c>
      <c r="T781" s="2" t="str">
        <f t="shared" si="64"/>
        <v>Sangat Rendah</v>
      </c>
    </row>
    <row r="782" spans="1:20" ht="15.75" customHeight="1" x14ac:dyDescent="0.3">
      <c r="A782" s="4" t="s">
        <v>1608</v>
      </c>
      <c r="B782" s="3">
        <v>45783.322337962964</v>
      </c>
      <c r="C782" s="2" t="s">
        <v>772</v>
      </c>
      <c r="D782" s="2" t="s">
        <v>113</v>
      </c>
      <c r="E782" s="2" t="s">
        <v>110</v>
      </c>
      <c r="F782" s="2">
        <v>6000</v>
      </c>
      <c r="G782" s="2">
        <v>5</v>
      </c>
      <c r="H782" s="2">
        <v>0</v>
      </c>
      <c r="I782">
        <f t="shared" si="60"/>
        <v>30000</v>
      </c>
      <c r="J782">
        <f t="shared" si="61"/>
        <v>0</v>
      </c>
      <c r="K782" s="6">
        <f t="shared" si="62"/>
        <v>30000</v>
      </c>
      <c r="L782" s="2">
        <v>18000</v>
      </c>
      <c r="M782" s="6">
        <f>Table1[[#This Row],[Total Sales]]+Table1[[#This Row],[Shipping Fee]]</f>
        <v>48000</v>
      </c>
      <c r="N782" s="2" t="s">
        <v>35</v>
      </c>
      <c r="O782" t="str">
        <f>VLOOKUP(Table1[[#This Row],[Order ID]],Status!A:B, 2,FALSE)</f>
        <v>Completed</v>
      </c>
      <c r="P782" s="2" t="s">
        <v>30</v>
      </c>
      <c r="Q782" s="2">
        <v>1</v>
      </c>
      <c r="R782" s="2" t="s">
        <v>24</v>
      </c>
      <c r="S782" s="11" t="str">
        <f t="shared" si="63"/>
        <v>Rendah</v>
      </c>
      <c r="T782" s="2" t="str">
        <f t="shared" si="64"/>
        <v>Sangat Rendah</v>
      </c>
    </row>
    <row r="783" spans="1:20" ht="15.75" customHeight="1" x14ac:dyDescent="0.3">
      <c r="A783" s="4" t="s">
        <v>1607</v>
      </c>
      <c r="B783" s="3">
        <v>45783.286585648151</v>
      </c>
      <c r="C783" s="2" t="s">
        <v>523</v>
      </c>
      <c r="D783" s="2" t="s">
        <v>113</v>
      </c>
      <c r="E783" s="2" t="s">
        <v>71</v>
      </c>
      <c r="F783" s="2">
        <v>40000</v>
      </c>
      <c r="G783" s="2">
        <v>5</v>
      </c>
      <c r="H783" s="2">
        <v>20</v>
      </c>
      <c r="I783">
        <f t="shared" si="60"/>
        <v>200000</v>
      </c>
      <c r="J783">
        <f t="shared" si="61"/>
        <v>40000</v>
      </c>
      <c r="K783" s="6">
        <f t="shared" si="62"/>
        <v>160000</v>
      </c>
      <c r="L783" s="2">
        <v>18000</v>
      </c>
      <c r="M783" s="6">
        <f>Table1[[#This Row],[Total Sales]]+Table1[[#This Row],[Shipping Fee]]</f>
        <v>178000</v>
      </c>
      <c r="N783" s="2" t="s">
        <v>35</v>
      </c>
      <c r="O783" t="str">
        <f>VLOOKUP(Table1[[#This Row],[Order ID]],Status!A:B, 2,FALSE)</f>
        <v>Completed</v>
      </c>
      <c r="P783" s="2" t="s">
        <v>46</v>
      </c>
      <c r="Q783" s="2">
        <v>4</v>
      </c>
      <c r="R783" s="2" t="s">
        <v>24</v>
      </c>
      <c r="S783" s="11" t="str">
        <f t="shared" si="63"/>
        <v>Bagus</v>
      </c>
      <c r="T783" s="2" t="str">
        <f t="shared" si="64"/>
        <v>Sangat Tinggi</v>
      </c>
    </row>
    <row r="784" spans="1:20" ht="15.75" customHeight="1" x14ac:dyDescent="0.3">
      <c r="A784" s="4" t="s">
        <v>1606</v>
      </c>
      <c r="B784" s="3">
        <v>45783.035254629627</v>
      </c>
      <c r="C784" s="2" t="s">
        <v>91</v>
      </c>
      <c r="D784" s="2" t="s">
        <v>92</v>
      </c>
      <c r="E784" s="2" t="s">
        <v>104</v>
      </c>
      <c r="F784" s="2">
        <v>30000</v>
      </c>
      <c r="G784" s="2">
        <v>2</v>
      </c>
      <c r="H784" s="2">
        <v>0</v>
      </c>
      <c r="I784">
        <f t="shared" si="60"/>
        <v>60000</v>
      </c>
      <c r="J784">
        <f t="shared" si="61"/>
        <v>0</v>
      </c>
      <c r="K784" s="6">
        <f t="shared" si="62"/>
        <v>60000</v>
      </c>
      <c r="L784" s="2">
        <v>30000</v>
      </c>
      <c r="M784" s="6">
        <f>Table1[[#This Row],[Total Sales]]+Table1[[#This Row],[Shipping Fee]]</f>
        <v>90000</v>
      </c>
      <c r="N784" s="2" t="s">
        <v>29</v>
      </c>
      <c r="O784" t="str">
        <f>VLOOKUP(Table1[[#This Row],[Order ID]],Status!A:B, 2,FALSE)</f>
        <v>Completed</v>
      </c>
      <c r="P784" s="2" t="s">
        <v>23</v>
      </c>
      <c r="Q784" s="2">
        <v>2</v>
      </c>
      <c r="R784" s="2" t="s">
        <v>24</v>
      </c>
      <c r="S784" s="11" t="str">
        <f t="shared" si="63"/>
        <v>Rendah</v>
      </c>
      <c r="T784" s="2" t="str">
        <f t="shared" si="64"/>
        <v>Sangat Rendah</v>
      </c>
    </row>
    <row r="785" spans="1:20" ht="15.75" customHeight="1" x14ac:dyDescent="0.3">
      <c r="A785" s="4" t="s">
        <v>1606</v>
      </c>
      <c r="B785" s="3">
        <v>45783.035254629627</v>
      </c>
      <c r="C785" s="2" t="s">
        <v>91</v>
      </c>
      <c r="D785" s="2" t="s">
        <v>92</v>
      </c>
      <c r="E785" s="2" t="s">
        <v>174</v>
      </c>
      <c r="F785" s="2">
        <v>10000</v>
      </c>
      <c r="G785" s="2">
        <v>3</v>
      </c>
      <c r="H785" s="2">
        <v>15</v>
      </c>
      <c r="I785">
        <f t="shared" si="60"/>
        <v>30000</v>
      </c>
      <c r="J785">
        <f t="shared" si="61"/>
        <v>4500</v>
      </c>
      <c r="K785" s="6">
        <f t="shared" si="62"/>
        <v>25500</v>
      </c>
      <c r="L785" s="2">
        <v>0</v>
      </c>
      <c r="M785" s="6">
        <f>Table1[[#This Row],[Total Sales]]+Table1[[#This Row],[Shipping Fee]]</f>
        <v>25500</v>
      </c>
      <c r="N785" s="2" t="s">
        <v>29</v>
      </c>
      <c r="O785" t="str">
        <f>VLOOKUP(Table1[[#This Row],[Order ID]],Status!A:B, 2,FALSE)</f>
        <v>Completed</v>
      </c>
      <c r="P785" s="2" t="s">
        <v>23</v>
      </c>
      <c r="Q785" s="2">
        <v>2</v>
      </c>
      <c r="R785" s="2" t="s">
        <v>24</v>
      </c>
      <c r="S785" s="11" t="str">
        <f t="shared" si="63"/>
        <v>Rendah</v>
      </c>
      <c r="T785" s="2" t="str">
        <f t="shared" si="64"/>
        <v>Sangat Rendah</v>
      </c>
    </row>
    <row r="786" spans="1:20" ht="15.75" customHeight="1" x14ac:dyDescent="0.3">
      <c r="A786" s="4" t="s">
        <v>1605</v>
      </c>
      <c r="B786" s="3">
        <v>45783.00677083333</v>
      </c>
      <c r="C786" s="2" t="s">
        <v>844</v>
      </c>
      <c r="D786" s="2" t="s">
        <v>119</v>
      </c>
      <c r="E786" s="2" t="s">
        <v>41</v>
      </c>
      <c r="F786" s="2">
        <v>4000</v>
      </c>
      <c r="G786" s="2">
        <v>4</v>
      </c>
      <c r="H786" s="2">
        <v>20</v>
      </c>
      <c r="I786">
        <f t="shared" si="60"/>
        <v>16000</v>
      </c>
      <c r="J786">
        <f t="shared" si="61"/>
        <v>3200</v>
      </c>
      <c r="K786" s="6">
        <f t="shared" si="62"/>
        <v>12800</v>
      </c>
      <c r="L786" s="2">
        <v>0</v>
      </c>
      <c r="M786" s="6">
        <f>Table1[[#This Row],[Total Sales]]+Table1[[#This Row],[Shipping Fee]]</f>
        <v>12800</v>
      </c>
      <c r="N786" s="2" t="s">
        <v>63</v>
      </c>
      <c r="O786" t="str">
        <f>VLOOKUP(Table1[[#This Row],[Order ID]],Status!A:B, 2,FALSE)</f>
        <v>Completed</v>
      </c>
      <c r="P786" s="2" t="s">
        <v>36</v>
      </c>
      <c r="Q786" s="2">
        <v>3</v>
      </c>
      <c r="R786" s="2" t="s">
        <v>24</v>
      </c>
      <c r="S786" s="11" t="str">
        <f t="shared" si="63"/>
        <v>Standar</v>
      </c>
      <c r="T786" s="2" t="str">
        <f t="shared" si="64"/>
        <v>Sangat Rendah</v>
      </c>
    </row>
    <row r="787" spans="1:20" ht="15.75" customHeight="1" x14ac:dyDescent="0.3">
      <c r="A787" s="4" t="s">
        <v>1604</v>
      </c>
      <c r="B787" s="3">
        <v>45782.730474537027</v>
      </c>
      <c r="C787" s="2" t="s">
        <v>1022</v>
      </c>
      <c r="D787" s="2" t="s">
        <v>177</v>
      </c>
      <c r="E787" s="2" t="s">
        <v>38</v>
      </c>
      <c r="F787" s="2">
        <v>28000</v>
      </c>
      <c r="G787" s="2">
        <v>5</v>
      </c>
      <c r="H787" s="2">
        <v>5</v>
      </c>
      <c r="I787">
        <f t="shared" si="60"/>
        <v>140000</v>
      </c>
      <c r="J787">
        <f t="shared" si="61"/>
        <v>7000</v>
      </c>
      <c r="K787" s="6">
        <f t="shared" si="62"/>
        <v>133000</v>
      </c>
      <c r="L787" s="2">
        <v>56000</v>
      </c>
      <c r="M787" s="6">
        <f>Table1[[#This Row],[Total Sales]]+Table1[[#This Row],[Shipping Fee]]</f>
        <v>189000</v>
      </c>
      <c r="N787" s="2" t="s">
        <v>22</v>
      </c>
      <c r="O787" t="str">
        <f>VLOOKUP(Table1[[#This Row],[Order ID]],Status!A:B, 2,FALSE)</f>
        <v>Completed</v>
      </c>
      <c r="P787" s="2" t="s">
        <v>36</v>
      </c>
      <c r="Q787" s="2">
        <v>2</v>
      </c>
      <c r="R787" s="2" t="s">
        <v>24</v>
      </c>
      <c r="S787" s="11" t="str">
        <f t="shared" si="63"/>
        <v>Rendah</v>
      </c>
      <c r="T787" s="2" t="str">
        <f t="shared" si="64"/>
        <v>Rendah</v>
      </c>
    </row>
    <row r="788" spans="1:20" ht="15.75" customHeight="1" x14ac:dyDescent="0.3">
      <c r="A788" s="4" t="s">
        <v>1603</v>
      </c>
      <c r="B788" s="3">
        <v>45782.594050925924</v>
      </c>
      <c r="C788" s="2" t="s">
        <v>681</v>
      </c>
      <c r="D788" s="2" t="s">
        <v>262</v>
      </c>
      <c r="E788" s="2" t="s">
        <v>110</v>
      </c>
      <c r="F788" s="2">
        <v>6000</v>
      </c>
      <c r="G788" s="2">
        <v>5</v>
      </c>
      <c r="H788" s="2">
        <v>20</v>
      </c>
      <c r="I788">
        <f t="shared" si="60"/>
        <v>30000</v>
      </c>
      <c r="J788">
        <f t="shared" si="61"/>
        <v>6000</v>
      </c>
      <c r="K788" s="6">
        <f t="shared" si="62"/>
        <v>24000</v>
      </c>
      <c r="L788" s="2">
        <v>18000</v>
      </c>
      <c r="M788" s="6">
        <f>Table1[[#This Row],[Total Sales]]+Table1[[#This Row],[Shipping Fee]]</f>
        <v>42000</v>
      </c>
      <c r="N788" s="2" t="s">
        <v>29</v>
      </c>
      <c r="O788" t="str">
        <f>VLOOKUP(Table1[[#This Row],[Order ID]],Status!A:B, 2,FALSE)</f>
        <v>Completed</v>
      </c>
      <c r="P788" s="2" t="s">
        <v>46</v>
      </c>
      <c r="Q788" s="2">
        <v>3</v>
      </c>
      <c r="R788" s="2" t="s">
        <v>24</v>
      </c>
      <c r="S788" s="11" t="str">
        <f t="shared" si="63"/>
        <v>Standar</v>
      </c>
      <c r="T788" s="2" t="str">
        <f t="shared" si="64"/>
        <v>Rendah</v>
      </c>
    </row>
    <row r="789" spans="1:20" ht="15.75" customHeight="1" x14ac:dyDescent="0.3">
      <c r="A789" s="4" t="s">
        <v>1602</v>
      </c>
      <c r="B789" s="3">
        <v>45782.513668981483</v>
      </c>
      <c r="C789" s="2" t="s">
        <v>429</v>
      </c>
      <c r="D789" s="2" t="s">
        <v>177</v>
      </c>
      <c r="E789" s="2" t="s">
        <v>104</v>
      </c>
      <c r="F789" s="2">
        <v>30000</v>
      </c>
      <c r="G789" s="2">
        <v>1</v>
      </c>
      <c r="H789" s="2">
        <v>15</v>
      </c>
      <c r="I789">
        <f t="shared" si="60"/>
        <v>30000</v>
      </c>
      <c r="J789">
        <f t="shared" si="61"/>
        <v>4500</v>
      </c>
      <c r="K789" s="6">
        <f t="shared" si="62"/>
        <v>25500</v>
      </c>
      <c r="L789" s="2">
        <v>56000</v>
      </c>
      <c r="M789" s="6">
        <f>Table1[[#This Row],[Total Sales]]+Table1[[#This Row],[Shipping Fee]]</f>
        <v>81500</v>
      </c>
      <c r="N789" s="2" t="s">
        <v>29</v>
      </c>
      <c r="O789" t="str">
        <f>VLOOKUP(Table1[[#This Row],[Order ID]],Status!A:B, 2,FALSE)</f>
        <v>Completed</v>
      </c>
      <c r="P789" s="2" t="s">
        <v>30</v>
      </c>
      <c r="Q789" s="2">
        <v>4</v>
      </c>
      <c r="R789" s="2" t="s">
        <v>37</v>
      </c>
      <c r="S789" s="11" t="str">
        <f t="shared" si="63"/>
        <v>Bagus</v>
      </c>
      <c r="T789" s="2" t="str">
        <f t="shared" si="64"/>
        <v>Sangat Rendah</v>
      </c>
    </row>
    <row r="790" spans="1:20" ht="15.75" customHeight="1" x14ac:dyDescent="0.3">
      <c r="A790" s="4" t="s">
        <v>1601</v>
      </c>
      <c r="B790" s="3">
        <v>45782.481724537043</v>
      </c>
      <c r="C790" s="2" t="s">
        <v>140</v>
      </c>
      <c r="D790" s="2" t="s">
        <v>92</v>
      </c>
      <c r="E790" s="2" t="s">
        <v>54</v>
      </c>
      <c r="F790" s="2">
        <v>16000</v>
      </c>
      <c r="G790" s="2">
        <v>2</v>
      </c>
      <c r="H790" s="2">
        <v>5</v>
      </c>
      <c r="I790">
        <f t="shared" si="60"/>
        <v>32000</v>
      </c>
      <c r="J790">
        <f t="shared" si="61"/>
        <v>1600</v>
      </c>
      <c r="K790" s="6">
        <f t="shared" si="62"/>
        <v>30400</v>
      </c>
      <c r="L790" s="2">
        <v>30000</v>
      </c>
      <c r="M790" s="6">
        <f>Table1[[#This Row],[Total Sales]]+Table1[[#This Row],[Shipping Fee]]</f>
        <v>60400</v>
      </c>
      <c r="N790" s="2" t="s">
        <v>35</v>
      </c>
      <c r="O790" t="str">
        <f>VLOOKUP(Table1[[#This Row],[Order ID]],Status!A:B, 2,FALSE)</f>
        <v>Completed</v>
      </c>
      <c r="P790" s="2" t="s">
        <v>23</v>
      </c>
      <c r="Q790" s="2">
        <v>1</v>
      </c>
      <c r="R790" s="2" t="s">
        <v>24</v>
      </c>
      <c r="S790" s="11" t="str">
        <f t="shared" si="63"/>
        <v>Rendah</v>
      </c>
      <c r="T790" s="2" t="str">
        <f t="shared" si="64"/>
        <v>Sangat Rendah</v>
      </c>
    </row>
    <row r="791" spans="1:20" ht="15.75" customHeight="1" x14ac:dyDescent="0.3">
      <c r="A791" s="4" t="s">
        <v>1600</v>
      </c>
      <c r="B791" s="3">
        <v>45782.472997685189</v>
      </c>
      <c r="C791" s="2" t="s">
        <v>570</v>
      </c>
      <c r="D791" s="2" t="s">
        <v>80</v>
      </c>
      <c r="E791" s="2" t="s">
        <v>88</v>
      </c>
      <c r="F791" s="2">
        <v>14000</v>
      </c>
      <c r="G791" s="2">
        <v>4</v>
      </c>
      <c r="H791" s="2">
        <v>5</v>
      </c>
      <c r="I791">
        <f t="shared" si="60"/>
        <v>56000</v>
      </c>
      <c r="J791">
        <f t="shared" si="61"/>
        <v>2800</v>
      </c>
      <c r="K791" s="6">
        <f t="shared" si="62"/>
        <v>53200</v>
      </c>
      <c r="L791" s="2">
        <v>74000</v>
      </c>
      <c r="M791" s="6">
        <f>Table1[[#This Row],[Total Sales]]+Table1[[#This Row],[Shipping Fee]]</f>
        <v>127200</v>
      </c>
      <c r="N791" s="2" t="s">
        <v>22</v>
      </c>
      <c r="O791" t="str">
        <f>VLOOKUP(Table1[[#This Row],[Order ID]],Status!A:B, 2,FALSE)</f>
        <v>Completed</v>
      </c>
      <c r="P791" s="2" t="s">
        <v>46</v>
      </c>
      <c r="Q791" s="2">
        <v>3</v>
      </c>
      <c r="R791" s="2" t="s">
        <v>24</v>
      </c>
      <c r="S791" s="11" t="str">
        <f t="shared" si="63"/>
        <v>Standar</v>
      </c>
      <c r="T791" s="2" t="str">
        <f t="shared" si="64"/>
        <v>Sangat Rendah</v>
      </c>
    </row>
    <row r="792" spans="1:20" ht="15.75" customHeight="1" x14ac:dyDescent="0.3">
      <c r="A792" s="4" t="s">
        <v>1599</v>
      </c>
      <c r="B792" s="3">
        <v>45782.263657407413</v>
      </c>
      <c r="C792" s="2" t="s">
        <v>900</v>
      </c>
      <c r="D792" s="2" t="s">
        <v>27</v>
      </c>
      <c r="E792" s="2" t="s">
        <v>28</v>
      </c>
      <c r="F792" s="2">
        <v>5000</v>
      </c>
      <c r="G792" s="2">
        <v>3</v>
      </c>
      <c r="H792" s="2">
        <v>15</v>
      </c>
      <c r="I792">
        <f t="shared" si="60"/>
        <v>15000</v>
      </c>
      <c r="J792">
        <f t="shared" si="61"/>
        <v>2250</v>
      </c>
      <c r="K792" s="6">
        <f t="shared" si="62"/>
        <v>12750</v>
      </c>
      <c r="L792" s="2">
        <v>17000</v>
      </c>
      <c r="M792" s="6">
        <f>Table1[[#This Row],[Total Sales]]+Table1[[#This Row],[Shipping Fee]]</f>
        <v>29750</v>
      </c>
      <c r="N792" s="2" t="s">
        <v>35</v>
      </c>
      <c r="O792" t="str">
        <f>VLOOKUP(Table1[[#This Row],[Order ID]],Status!A:B, 2,FALSE)</f>
        <v>Completed</v>
      </c>
      <c r="P792" s="2" t="s">
        <v>23</v>
      </c>
      <c r="Q792" s="2">
        <v>3</v>
      </c>
      <c r="R792" s="2" t="s">
        <v>24</v>
      </c>
      <c r="S792" s="11" t="str">
        <f t="shared" si="63"/>
        <v>Standar</v>
      </c>
      <c r="T792" s="2" t="str">
        <f t="shared" si="64"/>
        <v>Sangat Rendah</v>
      </c>
    </row>
    <row r="793" spans="1:20" ht="15.75" customHeight="1" x14ac:dyDescent="0.3">
      <c r="A793" s="4" t="s">
        <v>1598</v>
      </c>
      <c r="B793" s="3">
        <v>45781.945763888893</v>
      </c>
      <c r="C793" s="2" t="s">
        <v>269</v>
      </c>
      <c r="D793" s="2" t="s">
        <v>173</v>
      </c>
      <c r="E793" s="2" t="s">
        <v>250</v>
      </c>
      <c r="F793" s="2">
        <v>18000</v>
      </c>
      <c r="G793" s="2">
        <v>5</v>
      </c>
      <c r="H793" s="2">
        <v>20</v>
      </c>
      <c r="I793">
        <f t="shared" si="60"/>
        <v>90000</v>
      </c>
      <c r="J793">
        <f t="shared" si="61"/>
        <v>18000</v>
      </c>
      <c r="K793" s="6">
        <f t="shared" si="62"/>
        <v>72000</v>
      </c>
      <c r="L793" s="2">
        <v>49000</v>
      </c>
      <c r="M793" s="6">
        <f>Table1[[#This Row],[Total Sales]]+Table1[[#This Row],[Shipping Fee]]</f>
        <v>121000</v>
      </c>
      <c r="N793" s="2" t="s">
        <v>35</v>
      </c>
      <c r="O793" t="str">
        <f>VLOOKUP(Table1[[#This Row],[Order ID]],Status!A:B, 2,FALSE)</f>
        <v>Completed</v>
      </c>
      <c r="P793" s="2" t="s">
        <v>23</v>
      </c>
      <c r="Q793" s="2">
        <v>4</v>
      </c>
      <c r="R793" s="2" t="s">
        <v>37</v>
      </c>
      <c r="S793" s="11" t="str">
        <f t="shared" si="63"/>
        <v>Bagus</v>
      </c>
      <c r="T793" s="2" t="str">
        <f t="shared" si="64"/>
        <v>Normal</v>
      </c>
    </row>
    <row r="794" spans="1:20" ht="15.75" customHeight="1" x14ac:dyDescent="0.3">
      <c r="A794" s="4" t="s">
        <v>1597</v>
      </c>
      <c r="B794" s="3">
        <v>45781.657546296286</v>
      </c>
      <c r="C794" s="2" t="s">
        <v>763</v>
      </c>
      <c r="D794" s="2" t="s">
        <v>74</v>
      </c>
      <c r="E794" s="2" t="s">
        <v>104</v>
      </c>
      <c r="F794" s="2">
        <v>30000</v>
      </c>
      <c r="G794" s="2">
        <v>3</v>
      </c>
      <c r="H794" s="2">
        <v>20</v>
      </c>
      <c r="I794">
        <f t="shared" si="60"/>
        <v>90000</v>
      </c>
      <c r="J794">
        <f t="shared" si="61"/>
        <v>18000</v>
      </c>
      <c r="K794" s="6">
        <f t="shared" si="62"/>
        <v>72000</v>
      </c>
      <c r="L794" s="2">
        <v>87000</v>
      </c>
      <c r="M794" s="6">
        <f>Table1[[#This Row],[Total Sales]]+Table1[[#This Row],[Shipping Fee]]</f>
        <v>159000</v>
      </c>
      <c r="N794" s="2" t="s">
        <v>35</v>
      </c>
      <c r="O794" t="str">
        <f>VLOOKUP(Table1[[#This Row],[Order ID]],Status!A:B, 2,FALSE)</f>
        <v>Completed</v>
      </c>
      <c r="P794" s="2" t="s">
        <v>30</v>
      </c>
      <c r="Q794" s="2">
        <v>2</v>
      </c>
      <c r="R794" s="2" t="s">
        <v>24</v>
      </c>
      <c r="S794" s="11" t="str">
        <f t="shared" si="63"/>
        <v>Rendah</v>
      </c>
      <c r="T794" s="2" t="str">
        <f t="shared" si="64"/>
        <v>Normal</v>
      </c>
    </row>
    <row r="795" spans="1:20" ht="15.75" customHeight="1" x14ac:dyDescent="0.3">
      <c r="A795" s="4" t="s">
        <v>1596</v>
      </c>
      <c r="B795" s="3">
        <v>45781.498402777783</v>
      </c>
      <c r="C795" s="2" t="s">
        <v>176</v>
      </c>
      <c r="D795" s="2" t="s">
        <v>177</v>
      </c>
      <c r="E795" s="2" t="s">
        <v>21</v>
      </c>
      <c r="F795" s="2">
        <v>45000</v>
      </c>
      <c r="G795" s="2">
        <v>5</v>
      </c>
      <c r="H795" s="2">
        <v>5</v>
      </c>
      <c r="I795">
        <f t="shared" si="60"/>
        <v>225000</v>
      </c>
      <c r="J795">
        <f t="shared" si="61"/>
        <v>11250</v>
      </c>
      <c r="K795" s="6">
        <f t="shared" si="62"/>
        <v>213750</v>
      </c>
      <c r="L795" s="2">
        <v>56000</v>
      </c>
      <c r="M795" s="6">
        <f>Table1[[#This Row],[Total Sales]]+Table1[[#This Row],[Shipping Fee]]</f>
        <v>269750</v>
      </c>
      <c r="N795" s="2" t="s">
        <v>63</v>
      </c>
      <c r="O795" t="str">
        <f>VLOOKUP(Table1[[#This Row],[Order ID]],Status!A:B, 2,FALSE)</f>
        <v>Completed</v>
      </c>
      <c r="P795" s="2" t="s">
        <v>30</v>
      </c>
      <c r="Q795" s="2">
        <v>4</v>
      </c>
      <c r="R795" s="2" t="s">
        <v>24</v>
      </c>
      <c r="S795" s="11" t="str">
        <f t="shared" si="63"/>
        <v>Bagus</v>
      </c>
      <c r="T795" s="2" t="str">
        <f t="shared" si="64"/>
        <v>Normal</v>
      </c>
    </row>
    <row r="796" spans="1:20" ht="15.75" customHeight="1" x14ac:dyDescent="0.3">
      <c r="A796" s="4" t="s">
        <v>1595</v>
      </c>
      <c r="B796" s="3">
        <v>45781.320289351846</v>
      </c>
      <c r="C796" s="2" t="s">
        <v>729</v>
      </c>
      <c r="D796" s="2" t="s">
        <v>74</v>
      </c>
      <c r="E796" s="2" t="s">
        <v>136</v>
      </c>
      <c r="F796" s="2">
        <v>12000</v>
      </c>
      <c r="G796" s="2">
        <v>2</v>
      </c>
      <c r="H796" s="2">
        <v>20</v>
      </c>
      <c r="I796">
        <f t="shared" si="60"/>
        <v>24000</v>
      </c>
      <c r="J796">
        <f t="shared" si="61"/>
        <v>4800</v>
      </c>
      <c r="K796" s="6">
        <f t="shared" si="62"/>
        <v>19200</v>
      </c>
      <c r="L796" s="2">
        <v>87000</v>
      </c>
      <c r="M796" s="6">
        <f>Table1[[#This Row],[Total Sales]]+Table1[[#This Row],[Shipping Fee]]</f>
        <v>106200</v>
      </c>
      <c r="N796" s="2" t="s">
        <v>63</v>
      </c>
      <c r="O796" t="str">
        <f>VLOOKUP(Table1[[#This Row],[Order ID]],Status!A:B, 2,FALSE)</f>
        <v>Returned</v>
      </c>
      <c r="P796" s="2" t="s">
        <v>23</v>
      </c>
      <c r="Q796" s="2">
        <v>3</v>
      </c>
      <c r="R796" s="2" t="s">
        <v>24</v>
      </c>
      <c r="S796" s="11" t="str">
        <f t="shared" si="63"/>
        <v>Standar</v>
      </c>
      <c r="T796" s="2" t="str">
        <f t="shared" si="64"/>
        <v>Sangat Rendah</v>
      </c>
    </row>
    <row r="797" spans="1:20" ht="15.75" customHeight="1" x14ac:dyDescent="0.3">
      <c r="A797" s="4" t="s">
        <v>1594</v>
      </c>
      <c r="B797" s="3">
        <v>45781.263715277782</v>
      </c>
      <c r="C797" s="2" t="s">
        <v>1025</v>
      </c>
      <c r="D797" s="2" t="s">
        <v>119</v>
      </c>
      <c r="E797" s="2" t="s">
        <v>28</v>
      </c>
      <c r="F797" s="2">
        <v>5000</v>
      </c>
      <c r="G797" s="2">
        <v>2</v>
      </c>
      <c r="H797" s="2">
        <v>10</v>
      </c>
      <c r="I797">
        <f t="shared" si="60"/>
        <v>10000</v>
      </c>
      <c r="J797">
        <f t="shared" si="61"/>
        <v>1000</v>
      </c>
      <c r="K797" s="6">
        <f t="shared" si="62"/>
        <v>9000</v>
      </c>
      <c r="L797" s="2">
        <v>0</v>
      </c>
      <c r="M797" s="6">
        <f>Table1[[#This Row],[Total Sales]]+Table1[[#This Row],[Shipping Fee]]</f>
        <v>9000</v>
      </c>
      <c r="N797" s="2" t="s">
        <v>63</v>
      </c>
      <c r="O797" t="str">
        <f>VLOOKUP(Table1[[#This Row],[Order ID]],Status!A:B, 2,FALSE)</f>
        <v>Completed</v>
      </c>
      <c r="P797" s="2" t="s">
        <v>30</v>
      </c>
      <c r="Q797" s="2">
        <v>5</v>
      </c>
      <c r="R797" s="2" t="s">
        <v>24</v>
      </c>
      <c r="S797" s="11" t="str">
        <f t="shared" si="63"/>
        <v>Bagus</v>
      </c>
      <c r="T797" s="2" t="str">
        <f t="shared" si="64"/>
        <v>Sangat Rendah</v>
      </c>
    </row>
    <row r="798" spans="1:20" ht="15.75" customHeight="1" x14ac:dyDescent="0.3">
      <c r="A798" s="4" t="s">
        <v>1593</v>
      </c>
      <c r="B798" s="3">
        <v>45780.730775462973</v>
      </c>
      <c r="C798" s="2" t="s">
        <v>1348</v>
      </c>
      <c r="D798" s="2" t="s">
        <v>296</v>
      </c>
      <c r="E798" s="2" t="s">
        <v>138</v>
      </c>
      <c r="F798" s="2">
        <v>17000</v>
      </c>
      <c r="G798" s="2">
        <v>2</v>
      </c>
      <c r="H798" s="2">
        <v>0</v>
      </c>
      <c r="I798">
        <f t="shared" si="60"/>
        <v>34000</v>
      </c>
      <c r="J798">
        <f t="shared" si="61"/>
        <v>0</v>
      </c>
      <c r="K798" s="6">
        <f t="shared" si="62"/>
        <v>34000</v>
      </c>
      <c r="L798" s="2">
        <v>79000</v>
      </c>
      <c r="M798" s="6">
        <f>Table1[[#This Row],[Total Sales]]+Table1[[#This Row],[Shipping Fee]]</f>
        <v>113000</v>
      </c>
      <c r="N798" s="2" t="s">
        <v>22</v>
      </c>
      <c r="O798" t="str">
        <f>VLOOKUP(Table1[[#This Row],[Order ID]],Status!A:B, 2,FALSE)</f>
        <v>Completed</v>
      </c>
      <c r="P798" s="2" t="s">
        <v>30</v>
      </c>
      <c r="Q798" s="2">
        <v>4</v>
      </c>
      <c r="R798" s="2" t="s">
        <v>24</v>
      </c>
      <c r="S798" s="11" t="str">
        <f t="shared" si="63"/>
        <v>Bagus</v>
      </c>
      <c r="T798" s="2" t="str">
        <f t="shared" si="64"/>
        <v>Sangat Rendah</v>
      </c>
    </row>
    <row r="799" spans="1:20" ht="15.75" customHeight="1" x14ac:dyDescent="0.3">
      <c r="A799" s="4" t="s">
        <v>1592</v>
      </c>
      <c r="B799" s="3">
        <v>45779.547106481477</v>
      </c>
      <c r="C799" s="2" t="s">
        <v>924</v>
      </c>
      <c r="D799" s="2" t="s">
        <v>20</v>
      </c>
      <c r="E799" s="2" t="s">
        <v>34</v>
      </c>
      <c r="F799" s="2">
        <v>16000</v>
      </c>
      <c r="G799" s="2">
        <v>1</v>
      </c>
      <c r="H799" s="2">
        <v>0</v>
      </c>
      <c r="I799">
        <f t="shared" si="60"/>
        <v>16000</v>
      </c>
      <c r="J799">
        <f t="shared" si="61"/>
        <v>0</v>
      </c>
      <c r="K799" s="6">
        <f t="shared" si="62"/>
        <v>16000</v>
      </c>
      <c r="L799" s="2">
        <v>15000</v>
      </c>
      <c r="M799" s="6">
        <f>Table1[[#This Row],[Total Sales]]+Table1[[#This Row],[Shipping Fee]]</f>
        <v>31000</v>
      </c>
      <c r="N799" s="2" t="s">
        <v>22</v>
      </c>
      <c r="O799" t="str">
        <f>VLOOKUP(Table1[[#This Row],[Order ID]],Status!A:B, 2,FALSE)</f>
        <v>Completed</v>
      </c>
      <c r="P799" s="2" t="s">
        <v>46</v>
      </c>
      <c r="Q799" s="2">
        <v>4</v>
      </c>
      <c r="R799" s="2" t="s">
        <v>37</v>
      </c>
      <c r="S799" s="11" t="str">
        <f t="shared" si="63"/>
        <v>Bagus</v>
      </c>
      <c r="T799" s="2" t="str">
        <f t="shared" si="64"/>
        <v>Sangat Rendah</v>
      </c>
    </row>
    <row r="800" spans="1:20" ht="15.75" customHeight="1" x14ac:dyDescent="0.3">
      <c r="A800" s="4" t="s">
        <v>1592</v>
      </c>
      <c r="B800" s="3">
        <v>45779.547106481477</v>
      </c>
      <c r="C800" s="2" t="s">
        <v>924</v>
      </c>
      <c r="D800" s="2" t="s">
        <v>20</v>
      </c>
      <c r="E800" s="2" t="s">
        <v>71</v>
      </c>
      <c r="F800" s="2">
        <v>40000</v>
      </c>
      <c r="G800" s="2">
        <v>5</v>
      </c>
      <c r="H800" s="2">
        <v>20</v>
      </c>
      <c r="I800">
        <f t="shared" si="60"/>
        <v>200000</v>
      </c>
      <c r="J800">
        <f t="shared" si="61"/>
        <v>40000</v>
      </c>
      <c r="K800" s="6">
        <f t="shared" si="62"/>
        <v>160000</v>
      </c>
      <c r="L800" s="2">
        <v>0</v>
      </c>
      <c r="M800" s="6">
        <f>Table1[[#This Row],[Total Sales]]+Table1[[#This Row],[Shipping Fee]]</f>
        <v>160000</v>
      </c>
      <c r="N800" s="2" t="s">
        <v>22</v>
      </c>
      <c r="O800" t="str">
        <f>VLOOKUP(Table1[[#This Row],[Order ID]],Status!A:B, 2,FALSE)</f>
        <v>Completed</v>
      </c>
      <c r="P800" s="2" t="s">
        <v>46</v>
      </c>
      <c r="Q800" s="2">
        <v>4</v>
      </c>
      <c r="R800" s="2" t="s">
        <v>37</v>
      </c>
      <c r="S800" s="11" t="str">
        <f t="shared" si="63"/>
        <v>Bagus</v>
      </c>
      <c r="T800" s="2" t="str">
        <f t="shared" si="64"/>
        <v>Sangat Tinggi</v>
      </c>
    </row>
    <row r="801" spans="1:20" ht="15.75" customHeight="1" x14ac:dyDescent="0.3">
      <c r="A801" s="4" t="s">
        <v>1591</v>
      </c>
      <c r="B801" s="3">
        <v>45779.48777777778</v>
      </c>
      <c r="C801" s="2" t="s">
        <v>269</v>
      </c>
      <c r="D801" s="2" t="s">
        <v>173</v>
      </c>
      <c r="E801" s="2" t="s">
        <v>62</v>
      </c>
      <c r="F801" s="2">
        <v>50000</v>
      </c>
      <c r="G801" s="2">
        <v>4</v>
      </c>
      <c r="H801" s="2">
        <v>0</v>
      </c>
      <c r="I801">
        <f t="shared" si="60"/>
        <v>200000</v>
      </c>
      <c r="J801">
        <f t="shared" si="61"/>
        <v>0</v>
      </c>
      <c r="K801" s="6">
        <f t="shared" si="62"/>
        <v>200000</v>
      </c>
      <c r="L801" s="2">
        <v>49000</v>
      </c>
      <c r="M801" s="6">
        <f>Table1[[#This Row],[Total Sales]]+Table1[[#This Row],[Shipping Fee]]</f>
        <v>249000</v>
      </c>
      <c r="N801" s="2" t="s">
        <v>22</v>
      </c>
      <c r="O801" t="str">
        <f>VLOOKUP(Table1[[#This Row],[Order ID]],Status!A:B, 2,FALSE)</f>
        <v>Completed</v>
      </c>
      <c r="P801" s="2" t="s">
        <v>82</v>
      </c>
      <c r="Q801" s="2">
        <v>4</v>
      </c>
      <c r="R801" s="2" t="s">
        <v>37</v>
      </c>
      <c r="S801" s="11" t="str">
        <f t="shared" si="63"/>
        <v>Bagus</v>
      </c>
      <c r="T801" s="2" t="str">
        <f t="shared" si="64"/>
        <v>Sangat Rendah</v>
      </c>
    </row>
    <row r="802" spans="1:20" ht="15.75" customHeight="1" x14ac:dyDescent="0.3">
      <c r="A802" s="4" t="s">
        <v>1590</v>
      </c>
      <c r="B802" s="3">
        <v>45779.363807870373</v>
      </c>
      <c r="C802" s="2" t="s">
        <v>582</v>
      </c>
      <c r="D802" s="2" t="s">
        <v>435</v>
      </c>
      <c r="E802" s="2" t="s">
        <v>123</v>
      </c>
      <c r="F802" s="2">
        <v>22000</v>
      </c>
      <c r="G802" s="2">
        <v>2</v>
      </c>
      <c r="H802" s="2">
        <v>5</v>
      </c>
      <c r="I802">
        <f t="shared" si="60"/>
        <v>44000</v>
      </c>
      <c r="J802">
        <f t="shared" si="61"/>
        <v>2200</v>
      </c>
      <c r="K802" s="6">
        <f t="shared" si="62"/>
        <v>41800</v>
      </c>
      <c r="L802" s="2">
        <v>67000</v>
      </c>
      <c r="M802" s="6">
        <f>Table1[[#This Row],[Total Sales]]+Table1[[#This Row],[Shipping Fee]]</f>
        <v>108800</v>
      </c>
      <c r="N802" s="2" t="s">
        <v>22</v>
      </c>
      <c r="O802" t="str">
        <f>VLOOKUP(Table1[[#This Row],[Order ID]],Status!A:B, 2,FALSE)</f>
        <v>Completed</v>
      </c>
      <c r="P802" s="2" t="s">
        <v>23</v>
      </c>
      <c r="Q802" s="2">
        <v>3</v>
      </c>
      <c r="R802" s="2" t="s">
        <v>24</v>
      </c>
      <c r="S802" s="11" t="str">
        <f t="shared" si="63"/>
        <v>Standar</v>
      </c>
      <c r="T802" s="2" t="str">
        <f t="shared" si="64"/>
        <v>Sangat Rendah</v>
      </c>
    </row>
    <row r="803" spans="1:20" ht="15.75" customHeight="1" x14ac:dyDescent="0.3">
      <c r="A803" s="4" t="s">
        <v>1589</v>
      </c>
      <c r="B803" s="3">
        <v>45779.146724537037</v>
      </c>
      <c r="C803" s="2" t="s">
        <v>654</v>
      </c>
      <c r="D803" s="2" t="s">
        <v>375</v>
      </c>
      <c r="E803" s="2" t="s">
        <v>45</v>
      </c>
      <c r="F803" s="2">
        <v>40000</v>
      </c>
      <c r="G803" s="2">
        <v>5</v>
      </c>
      <c r="H803" s="2">
        <v>0</v>
      </c>
      <c r="I803">
        <f t="shared" si="60"/>
        <v>200000</v>
      </c>
      <c r="J803">
        <f t="shared" si="61"/>
        <v>0</v>
      </c>
      <c r="K803" s="6">
        <f t="shared" si="62"/>
        <v>200000</v>
      </c>
      <c r="L803" s="2">
        <v>21000</v>
      </c>
      <c r="M803" s="6">
        <f>Table1[[#This Row],[Total Sales]]+Table1[[#This Row],[Shipping Fee]]</f>
        <v>221000</v>
      </c>
      <c r="N803" s="2" t="s">
        <v>22</v>
      </c>
      <c r="O803" t="str">
        <f>VLOOKUP(Table1[[#This Row],[Order ID]],Status!A:B, 2,FALSE)</f>
        <v>Completed</v>
      </c>
      <c r="P803" s="2" t="s">
        <v>30</v>
      </c>
      <c r="Q803" s="2">
        <v>3</v>
      </c>
      <c r="R803" s="2" t="s">
        <v>24</v>
      </c>
      <c r="S803" s="11" t="str">
        <f t="shared" si="63"/>
        <v>Standar</v>
      </c>
      <c r="T803" s="2" t="str">
        <f t="shared" si="64"/>
        <v>Sangat Rendah</v>
      </c>
    </row>
    <row r="804" spans="1:20" ht="15.75" customHeight="1" x14ac:dyDescent="0.3">
      <c r="A804" s="4" t="s">
        <v>1588</v>
      </c>
      <c r="B804" s="3">
        <v>45779.01703703704</v>
      </c>
      <c r="C804" s="2" t="s">
        <v>218</v>
      </c>
      <c r="D804" s="2" t="s">
        <v>170</v>
      </c>
      <c r="E804" s="2" t="s">
        <v>50</v>
      </c>
      <c r="F804" s="2">
        <v>14000</v>
      </c>
      <c r="G804" s="2">
        <v>5</v>
      </c>
      <c r="H804" s="2">
        <v>0</v>
      </c>
      <c r="I804">
        <f t="shared" si="60"/>
        <v>70000</v>
      </c>
      <c r="J804">
        <f t="shared" si="61"/>
        <v>0</v>
      </c>
      <c r="K804" s="6">
        <f t="shared" si="62"/>
        <v>70000</v>
      </c>
      <c r="L804" s="2">
        <v>46000</v>
      </c>
      <c r="M804" s="6">
        <f>Table1[[#This Row],[Total Sales]]+Table1[[#This Row],[Shipping Fee]]</f>
        <v>116000</v>
      </c>
      <c r="N804" s="2" t="s">
        <v>63</v>
      </c>
      <c r="O804" t="str">
        <f>VLOOKUP(Table1[[#This Row],[Order ID]],Status!A:B, 2,FALSE)</f>
        <v>Completed</v>
      </c>
      <c r="P804" s="2" t="s">
        <v>36</v>
      </c>
      <c r="Q804" s="2">
        <v>1</v>
      </c>
      <c r="R804" s="2" t="s">
        <v>24</v>
      </c>
      <c r="S804" s="11" t="str">
        <f t="shared" si="63"/>
        <v>Rendah</v>
      </c>
      <c r="T804" s="2" t="str">
        <f t="shared" si="64"/>
        <v>Sangat Rendah</v>
      </c>
    </row>
    <row r="805" spans="1:20" ht="15.75" customHeight="1" x14ac:dyDescent="0.3">
      <c r="A805" s="4" t="s">
        <v>1587</v>
      </c>
      <c r="B805" s="3">
        <v>45778.814942129633</v>
      </c>
      <c r="C805" s="2" t="s">
        <v>1128</v>
      </c>
      <c r="D805" s="2" t="s">
        <v>113</v>
      </c>
      <c r="E805" s="2" t="s">
        <v>123</v>
      </c>
      <c r="F805" s="2">
        <v>22000</v>
      </c>
      <c r="G805" s="2">
        <v>1</v>
      </c>
      <c r="H805" s="2">
        <v>10</v>
      </c>
      <c r="I805">
        <f t="shared" si="60"/>
        <v>22000</v>
      </c>
      <c r="J805">
        <f t="shared" si="61"/>
        <v>2200</v>
      </c>
      <c r="K805" s="6">
        <f t="shared" si="62"/>
        <v>19800</v>
      </c>
      <c r="L805" s="2">
        <v>18000</v>
      </c>
      <c r="M805" s="6">
        <f>Table1[[#This Row],[Total Sales]]+Table1[[#This Row],[Shipping Fee]]</f>
        <v>37800</v>
      </c>
      <c r="N805" s="2" t="s">
        <v>35</v>
      </c>
      <c r="O805" t="str">
        <f>VLOOKUP(Table1[[#This Row],[Order ID]],Status!A:B, 2,FALSE)</f>
        <v>Completed</v>
      </c>
      <c r="P805" s="2" t="s">
        <v>30</v>
      </c>
      <c r="Q805" s="2">
        <v>2</v>
      </c>
      <c r="R805" s="2" t="s">
        <v>24</v>
      </c>
      <c r="S805" s="11" t="str">
        <f t="shared" si="63"/>
        <v>Rendah</v>
      </c>
      <c r="T805" s="2" t="str">
        <f t="shared" si="64"/>
        <v>Sangat Rendah</v>
      </c>
    </row>
    <row r="806" spans="1:20" ht="15.75" customHeight="1" x14ac:dyDescent="0.3">
      <c r="A806" s="4" t="s">
        <v>1587</v>
      </c>
      <c r="B806" s="3">
        <v>45778.814942129633</v>
      </c>
      <c r="C806" s="2" t="s">
        <v>1128</v>
      </c>
      <c r="D806" s="2" t="s">
        <v>113</v>
      </c>
      <c r="E806" s="2" t="s">
        <v>41</v>
      </c>
      <c r="F806" s="2">
        <v>4000</v>
      </c>
      <c r="G806" s="2">
        <v>1</v>
      </c>
      <c r="H806" s="2">
        <v>5</v>
      </c>
      <c r="I806">
        <f t="shared" si="60"/>
        <v>4000</v>
      </c>
      <c r="J806">
        <f t="shared" si="61"/>
        <v>200</v>
      </c>
      <c r="K806" s="6">
        <f t="shared" si="62"/>
        <v>3800</v>
      </c>
      <c r="L806" s="2">
        <v>0</v>
      </c>
      <c r="M806" s="6">
        <f>Table1[[#This Row],[Total Sales]]+Table1[[#This Row],[Shipping Fee]]</f>
        <v>3800</v>
      </c>
      <c r="N806" s="2" t="s">
        <v>35</v>
      </c>
      <c r="O806" t="str">
        <f>VLOOKUP(Table1[[#This Row],[Order ID]],Status!A:B, 2,FALSE)</f>
        <v>Completed</v>
      </c>
      <c r="P806" s="2" t="s">
        <v>30</v>
      </c>
      <c r="Q806" s="2">
        <v>2</v>
      </c>
      <c r="R806" s="2" t="s">
        <v>24</v>
      </c>
      <c r="S806" s="11" t="str">
        <f t="shared" si="63"/>
        <v>Rendah</v>
      </c>
      <c r="T806" s="2" t="str">
        <f t="shared" si="64"/>
        <v>Sangat Rendah</v>
      </c>
    </row>
    <row r="807" spans="1:20" ht="15.75" customHeight="1" x14ac:dyDescent="0.3">
      <c r="A807" s="4" t="s">
        <v>1586</v>
      </c>
      <c r="B807" s="3">
        <v>45778.748715277783</v>
      </c>
      <c r="C807" s="2" t="s">
        <v>1509</v>
      </c>
      <c r="D807" s="2" t="s">
        <v>122</v>
      </c>
      <c r="E807" s="2" t="s">
        <v>104</v>
      </c>
      <c r="F807" s="2">
        <v>30000</v>
      </c>
      <c r="G807" s="2">
        <v>1</v>
      </c>
      <c r="H807" s="2">
        <v>0</v>
      </c>
      <c r="I807">
        <f t="shared" si="60"/>
        <v>30000</v>
      </c>
      <c r="J807">
        <f t="shared" si="61"/>
        <v>0</v>
      </c>
      <c r="K807" s="6">
        <f t="shared" si="62"/>
        <v>30000</v>
      </c>
      <c r="L807" s="2">
        <v>78000</v>
      </c>
      <c r="M807" s="6">
        <f>Table1[[#This Row],[Total Sales]]+Table1[[#This Row],[Shipping Fee]]</f>
        <v>108000</v>
      </c>
      <c r="N807" s="2" t="s">
        <v>63</v>
      </c>
      <c r="O807" t="str">
        <f>VLOOKUP(Table1[[#This Row],[Order ID]],Status!A:B, 2,FALSE)</f>
        <v>Completed</v>
      </c>
      <c r="P807" s="2" t="s">
        <v>46</v>
      </c>
      <c r="Q807" s="2">
        <v>5</v>
      </c>
      <c r="R807" s="2" t="s">
        <v>24</v>
      </c>
      <c r="S807" s="11" t="str">
        <f t="shared" si="63"/>
        <v>Bagus</v>
      </c>
      <c r="T807" s="2" t="str">
        <f t="shared" si="64"/>
        <v>Sangat Rendah</v>
      </c>
    </row>
    <row r="808" spans="1:20" ht="15.75" customHeight="1" x14ac:dyDescent="0.3">
      <c r="A808" s="4" t="s">
        <v>1585</v>
      </c>
      <c r="B808" s="3">
        <v>45778.390381944453</v>
      </c>
      <c r="C808" s="2" t="s">
        <v>695</v>
      </c>
      <c r="D808" s="2" t="s">
        <v>119</v>
      </c>
      <c r="E808" s="2" t="s">
        <v>38</v>
      </c>
      <c r="F808" s="2">
        <v>28000</v>
      </c>
      <c r="G808" s="2">
        <v>3</v>
      </c>
      <c r="H808" s="2">
        <v>15</v>
      </c>
      <c r="I808">
        <f t="shared" si="60"/>
        <v>84000</v>
      </c>
      <c r="J808">
        <f t="shared" si="61"/>
        <v>12600</v>
      </c>
      <c r="K808" s="6">
        <f t="shared" si="62"/>
        <v>71400</v>
      </c>
      <c r="L808" s="2">
        <v>0</v>
      </c>
      <c r="M808" s="6">
        <f>Table1[[#This Row],[Total Sales]]+Table1[[#This Row],[Shipping Fee]]</f>
        <v>71400</v>
      </c>
      <c r="N808" s="2" t="s">
        <v>35</v>
      </c>
      <c r="O808" t="str">
        <f>VLOOKUP(Table1[[#This Row],[Order ID]],Status!A:B, 2,FALSE)</f>
        <v>Completed</v>
      </c>
      <c r="P808" s="2" t="s">
        <v>82</v>
      </c>
      <c r="Q808" s="2">
        <v>4</v>
      </c>
      <c r="R808" s="2" t="s">
        <v>24</v>
      </c>
      <c r="S808" s="11" t="str">
        <f t="shared" si="63"/>
        <v>Bagus</v>
      </c>
      <c r="T808" s="2" t="str">
        <f t="shared" si="64"/>
        <v>Normal</v>
      </c>
    </row>
    <row r="809" spans="1:20" ht="15.75" customHeight="1" x14ac:dyDescent="0.3">
      <c r="A809" s="4" t="s">
        <v>1585</v>
      </c>
      <c r="B809" s="3">
        <v>45778.390381944453</v>
      </c>
      <c r="C809" s="2" t="s">
        <v>695</v>
      </c>
      <c r="D809" s="2" t="s">
        <v>119</v>
      </c>
      <c r="E809" s="2" t="s">
        <v>138</v>
      </c>
      <c r="F809" s="2">
        <v>17000</v>
      </c>
      <c r="G809" s="2">
        <v>4</v>
      </c>
      <c r="H809" s="2">
        <v>20</v>
      </c>
      <c r="I809">
        <f t="shared" si="60"/>
        <v>68000</v>
      </c>
      <c r="J809">
        <f t="shared" si="61"/>
        <v>13600</v>
      </c>
      <c r="K809" s="6">
        <f t="shared" si="62"/>
        <v>54400</v>
      </c>
      <c r="L809" s="2">
        <v>0</v>
      </c>
      <c r="M809" s="6">
        <f>Table1[[#This Row],[Total Sales]]+Table1[[#This Row],[Shipping Fee]]</f>
        <v>54400</v>
      </c>
      <c r="N809" s="2" t="s">
        <v>35</v>
      </c>
      <c r="O809" t="str">
        <f>VLOOKUP(Table1[[#This Row],[Order ID]],Status!A:B, 2,FALSE)</f>
        <v>Completed</v>
      </c>
      <c r="P809" s="2" t="s">
        <v>82</v>
      </c>
      <c r="Q809" s="2">
        <v>4</v>
      </c>
      <c r="R809" s="2" t="s">
        <v>24</v>
      </c>
      <c r="S809" s="11" t="str">
        <f t="shared" si="63"/>
        <v>Bagus</v>
      </c>
      <c r="T809" s="2" t="str">
        <f t="shared" si="64"/>
        <v>Normal</v>
      </c>
    </row>
    <row r="810" spans="1:20" ht="15.75" customHeight="1" x14ac:dyDescent="0.3">
      <c r="A810" s="4" t="s">
        <v>1584</v>
      </c>
      <c r="B810" s="3">
        <v>45778.036087962973</v>
      </c>
      <c r="C810" s="2" t="s">
        <v>214</v>
      </c>
      <c r="D810" s="2" t="s">
        <v>131</v>
      </c>
      <c r="E810" s="2" t="s">
        <v>71</v>
      </c>
      <c r="F810" s="2">
        <v>40000</v>
      </c>
      <c r="G810" s="2">
        <v>3</v>
      </c>
      <c r="H810" s="2">
        <v>10</v>
      </c>
      <c r="I810">
        <f t="shared" si="60"/>
        <v>120000</v>
      </c>
      <c r="J810">
        <f t="shared" si="61"/>
        <v>12000</v>
      </c>
      <c r="K810" s="6">
        <f t="shared" si="62"/>
        <v>108000</v>
      </c>
      <c r="L810" s="2">
        <v>59000</v>
      </c>
      <c r="M810" s="6">
        <f>Table1[[#This Row],[Total Sales]]+Table1[[#This Row],[Shipping Fee]]</f>
        <v>167000</v>
      </c>
      <c r="N810" s="2" t="s">
        <v>35</v>
      </c>
      <c r="O810" t="str">
        <f>VLOOKUP(Table1[[#This Row],[Order ID]],Status!A:B, 2,FALSE)</f>
        <v>Completed</v>
      </c>
      <c r="P810" s="2" t="s">
        <v>82</v>
      </c>
      <c r="Q810" s="2">
        <v>1</v>
      </c>
      <c r="R810" s="2" t="s">
        <v>24</v>
      </c>
      <c r="S810" s="11" t="str">
        <f t="shared" si="63"/>
        <v>Rendah</v>
      </c>
      <c r="T810" s="2" t="str">
        <f t="shared" si="64"/>
        <v>Normal</v>
      </c>
    </row>
    <row r="811" spans="1:20" ht="15.75" customHeight="1" x14ac:dyDescent="0.3">
      <c r="A811" s="4" t="s">
        <v>1583</v>
      </c>
      <c r="B811" s="3">
        <v>45777.205011574071</v>
      </c>
      <c r="C811" s="2" t="s">
        <v>167</v>
      </c>
      <c r="D811" s="2" t="s">
        <v>44</v>
      </c>
      <c r="E811" s="2" t="s">
        <v>186</v>
      </c>
      <c r="F811" s="2">
        <v>45000</v>
      </c>
      <c r="G811" s="2">
        <v>3</v>
      </c>
      <c r="H811" s="2">
        <v>15</v>
      </c>
      <c r="I811">
        <f t="shared" si="60"/>
        <v>135000</v>
      </c>
      <c r="J811">
        <f t="shared" si="61"/>
        <v>20250</v>
      </c>
      <c r="K811" s="6">
        <f t="shared" si="62"/>
        <v>114750</v>
      </c>
      <c r="L811" s="2">
        <v>93000</v>
      </c>
      <c r="M811" s="6">
        <f>Table1[[#This Row],[Total Sales]]+Table1[[#This Row],[Shipping Fee]]</f>
        <v>207750</v>
      </c>
      <c r="N811" s="2" t="s">
        <v>29</v>
      </c>
      <c r="O811" t="str">
        <f>VLOOKUP(Table1[[#This Row],[Order ID]],Status!A:B, 2,FALSE)</f>
        <v>Completed</v>
      </c>
      <c r="P811" s="2" t="s">
        <v>23</v>
      </c>
      <c r="Q811" s="2">
        <v>5</v>
      </c>
      <c r="R811" s="2" t="s">
        <v>24</v>
      </c>
      <c r="S811" s="11" t="str">
        <f t="shared" si="63"/>
        <v>Bagus</v>
      </c>
      <c r="T811" s="2" t="str">
        <f t="shared" si="64"/>
        <v>Tinggi</v>
      </c>
    </row>
    <row r="812" spans="1:20" ht="15.75" customHeight="1" x14ac:dyDescent="0.3">
      <c r="A812" s="4" t="s">
        <v>1581</v>
      </c>
      <c r="B812" s="3">
        <v>45776.924502314818</v>
      </c>
      <c r="C812" s="2" t="s">
        <v>1582</v>
      </c>
      <c r="D812" s="2" t="s">
        <v>80</v>
      </c>
      <c r="E812" s="2" t="s">
        <v>41</v>
      </c>
      <c r="F812" s="2">
        <v>4000</v>
      </c>
      <c r="G812" s="2">
        <v>2</v>
      </c>
      <c r="H812" s="2">
        <v>20</v>
      </c>
      <c r="I812">
        <f t="shared" si="60"/>
        <v>8000</v>
      </c>
      <c r="J812">
        <f t="shared" si="61"/>
        <v>1600</v>
      </c>
      <c r="K812" s="6">
        <f t="shared" si="62"/>
        <v>6400</v>
      </c>
      <c r="L812" s="2">
        <v>74000</v>
      </c>
      <c r="M812" s="6">
        <f>Table1[[#This Row],[Total Sales]]+Table1[[#This Row],[Shipping Fee]]</f>
        <v>80400</v>
      </c>
      <c r="N812" s="2" t="s">
        <v>63</v>
      </c>
      <c r="O812" t="str">
        <f>VLOOKUP(Table1[[#This Row],[Order ID]],Status!A:B, 2,FALSE)</f>
        <v>Cancelled</v>
      </c>
      <c r="P812" s="2" t="s">
        <v>36</v>
      </c>
      <c r="Q812" s="2">
        <v>5</v>
      </c>
      <c r="R812" s="2" t="s">
        <v>24</v>
      </c>
      <c r="S812" s="11" t="str">
        <f t="shared" si="63"/>
        <v>Bagus</v>
      </c>
      <c r="T812" s="2" t="str">
        <f t="shared" si="64"/>
        <v>Sangat Rendah</v>
      </c>
    </row>
    <row r="813" spans="1:20" ht="15.75" customHeight="1" x14ac:dyDescent="0.3">
      <c r="A813" s="4" t="s">
        <v>1580</v>
      </c>
      <c r="B813" s="3">
        <v>45776.844780092593</v>
      </c>
      <c r="C813" s="2" t="s">
        <v>211</v>
      </c>
      <c r="D813" s="2" t="s">
        <v>49</v>
      </c>
      <c r="E813" s="2" t="s">
        <v>34</v>
      </c>
      <c r="F813" s="2">
        <v>16000</v>
      </c>
      <c r="G813" s="2">
        <v>5</v>
      </c>
      <c r="H813" s="2">
        <v>20</v>
      </c>
      <c r="I813">
        <f t="shared" si="60"/>
        <v>80000</v>
      </c>
      <c r="J813">
        <f t="shared" si="61"/>
        <v>16000</v>
      </c>
      <c r="K813" s="6">
        <f t="shared" si="62"/>
        <v>64000</v>
      </c>
      <c r="L813" s="2">
        <v>43000</v>
      </c>
      <c r="M813" s="6">
        <f>Table1[[#This Row],[Total Sales]]+Table1[[#This Row],[Shipping Fee]]</f>
        <v>107000</v>
      </c>
      <c r="N813" s="2" t="s">
        <v>22</v>
      </c>
      <c r="O813" t="str">
        <f>VLOOKUP(Table1[[#This Row],[Order ID]],Status!A:B, 2,FALSE)</f>
        <v>Completed</v>
      </c>
      <c r="P813" s="2" t="s">
        <v>82</v>
      </c>
      <c r="Q813" s="2">
        <v>2</v>
      </c>
      <c r="R813" s="2" t="s">
        <v>24</v>
      </c>
      <c r="S813" s="11" t="str">
        <f t="shared" si="63"/>
        <v>Rendah</v>
      </c>
      <c r="T813" s="2" t="str">
        <f t="shared" si="64"/>
        <v>Normal</v>
      </c>
    </row>
    <row r="814" spans="1:20" ht="15.75" customHeight="1" x14ac:dyDescent="0.3">
      <c r="A814" s="4" t="s">
        <v>1579</v>
      </c>
      <c r="B814" s="3">
        <v>45776.3515162037</v>
      </c>
      <c r="C814" s="2" t="s">
        <v>904</v>
      </c>
      <c r="D814" s="2" t="s">
        <v>296</v>
      </c>
      <c r="E814" s="2" t="s">
        <v>21</v>
      </c>
      <c r="F814" s="2">
        <v>45000</v>
      </c>
      <c r="G814" s="2">
        <v>5</v>
      </c>
      <c r="H814" s="2">
        <v>15</v>
      </c>
      <c r="I814">
        <f t="shared" si="60"/>
        <v>225000</v>
      </c>
      <c r="J814">
        <f t="shared" si="61"/>
        <v>33750</v>
      </c>
      <c r="K814" s="6">
        <f t="shared" si="62"/>
        <v>191250</v>
      </c>
      <c r="L814" s="2">
        <v>79000</v>
      </c>
      <c r="M814" s="6">
        <f>Table1[[#This Row],[Total Sales]]+Table1[[#This Row],[Shipping Fee]]</f>
        <v>270250</v>
      </c>
      <c r="N814" s="2" t="s">
        <v>22</v>
      </c>
      <c r="O814" t="str">
        <f>VLOOKUP(Table1[[#This Row],[Order ID]],Status!A:B, 2,FALSE)</f>
        <v>Completed</v>
      </c>
      <c r="P814" s="2" t="s">
        <v>23</v>
      </c>
      <c r="Q814" s="2">
        <v>3</v>
      </c>
      <c r="R814" s="2" t="s">
        <v>37</v>
      </c>
      <c r="S814" s="11" t="str">
        <f t="shared" si="63"/>
        <v>Standar</v>
      </c>
      <c r="T814" s="2" t="str">
        <f t="shared" si="64"/>
        <v>Tinggi</v>
      </c>
    </row>
    <row r="815" spans="1:20" ht="15.75" customHeight="1" x14ac:dyDescent="0.3">
      <c r="A815" s="4" t="s">
        <v>1578</v>
      </c>
      <c r="B815" s="3">
        <v>45776.06050925926</v>
      </c>
      <c r="C815" s="2" t="s">
        <v>323</v>
      </c>
      <c r="D815" s="2" t="s">
        <v>103</v>
      </c>
      <c r="E815" s="2" t="s">
        <v>81</v>
      </c>
      <c r="F815" s="2">
        <v>17000</v>
      </c>
      <c r="G815" s="2">
        <v>5</v>
      </c>
      <c r="H815" s="2">
        <v>5</v>
      </c>
      <c r="I815">
        <f t="shared" si="60"/>
        <v>85000</v>
      </c>
      <c r="J815">
        <f t="shared" si="61"/>
        <v>4250</v>
      </c>
      <c r="K815" s="6">
        <f t="shared" si="62"/>
        <v>80750</v>
      </c>
      <c r="L815" s="2">
        <v>85000</v>
      </c>
      <c r="M815" s="6">
        <f>Table1[[#This Row],[Total Sales]]+Table1[[#This Row],[Shipping Fee]]</f>
        <v>165750</v>
      </c>
      <c r="N815" s="2" t="s">
        <v>63</v>
      </c>
      <c r="O815" t="str">
        <f>VLOOKUP(Table1[[#This Row],[Order ID]],Status!A:B, 2,FALSE)</f>
        <v>Completed</v>
      </c>
      <c r="P815" s="2" t="s">
        <v>30</v>
      </c>
      <c r="Q815" s="2">
        <v>4</v>
      </c>
      <c r="R815" s="2" t="s">
        <v>24</v>
      </c>
      <c r="S815" s="11" t="str">
        <f t="shared" si="63"/>
        <v>Bagus</v>
      </c>
      <c r="T815" s="2" t="str">
        <f t="shared" si="64"/>
        <v>Sangat Rendah</v>
      </c>
    </row>
    <row r="816" spans="1:20" ht="15.75" customHeight="1" x14ac:dyDescent="0.3">
      <c r="A816" s="4" t="s">
        <v>1577</v>
      </c>
      <c r="B816" s="3">
        <v>45775.777465277781</v>
      </c>
      <c r="C816" s="2" t="s">
        <v>651</v>
      </c>
      <c r="D816" s="2" t="s">
        <v>182</v>
      </c>
      <c r="E816" s="2" t="s">
        <v>62</v>
      </c>
      <c r="F816" s="2">
        <v>50000</v>
      </c>
      <c r="G816" s="2">
        <v>2</v>
      </c>
      <c r="H816" s="2">
        <v>0</v>
      </c>
      <c r="I816">
        <f t="shared" si="60"/>
        <v>100000</v>
      </c>
      <c r="J816">
        <f t="shared" si="61"/>
        <v>0</v>
      </c>
      <c r="K816" s="6">
        <f t="shared" si="62"/>
        <v>100000</v>
      </c>
      <c r="L816" s="2">
        <v>48000</v>
      </c>
      <c r="M816" s="6">
        <f>Table1[[#This Row],[Total Sales]]+Table1[[#This Row],[Shipping Fee]]</f>
        <v>148000</v>
      </c>
      <c r="N816" s="2" t="s">
        <v>35</v>
      </c>
      <c r="O816" t="str">
        <f>VLOOKUP(Table1[[#This Row],[Order ID]],Status!A:B, 2,FALSE)</f>
        <v>Completed</v>
      </c>
      <c r="P816" s="2" t="s">
        <v>36</v>
      </c>
      <c r="Q816" s="2">
        <v>4</v>
      </c>
      <c r="R816" s="2" t="s">
        <v>37</v>
      </c>
      <c r="S816" s="11" t="str">
        <f t="shared" si="63"/>
        <v>Bagus</v>
      </c>
      <c r="T816" s="2" t="str">
        <f t="shared" si="64"/>
        <v>Sangat Rendah</v>
      </c>
    </row>
    <row r="817" spans="1:20" ht="15.75" customHeight="1" x14ac:dyDescent="0.3">
      <c r="A817" s="4" t="s">
        <v>1576</v>
      </c>
      <c r="B817" s="3">
        <v>45775.69017361111</v>
      </c>
      <c r="C817" s="2" t="s">
        <v>1228</v>
      </c>
      <c r="D817" s="2" t="s">
        <v>33</v>
      </c>
      <c r="E817" s="2" t="s">
        <v>38</v>
      </c>
      <c r="F817" s="2">
        <v>28000</v>
      </c>
      <c r="G817" s="2">
        <v>1</v>
      </c>
      <c r="H817" s="2">
        <v>0</v>
      </c>
      <c r="I817">
        <f t="shared" si="60"/>
        <v>28000</v>
      </c>
      <c r="J817">
        <f t="shared" si="61"/>
        <v>0</v>
      </c>
      <c r="K817" s="6">
        <f t="shared" si="62"/>
        <v>28000</v>
      </c>
      <c r="L817" s="2">
        <v>76000</v>
      </c>
      <c r="M817" s="6">
        <f>Table1[[#This Row],[Total Sales]]+Table1[[#This Row],[Shipping Fee]]</f>
        <v>104000</v>
      </c>
      <c r="N817" s="2" t="s">
        <v>29</v>
      </c>
      <c r="O817" t="str">
        <f>VLOOKUP(Table1[[#This Row],[Order ID]],Status!A:B, 2,FALSE)</f>
        <v>Completed</v>
      </c>
      <c r="P817" s="2" t="s">
        <v>23</v>
      </c>
      <c r="Q817" s="2">
        <v>2</v>
      </c>
      <c r="R817" s="2" t="s">
        <v>24</v>
      </c>
      <c r="S817" s="11" t="str">
        <f t="shared" si="63"/>
        <v>Rendah</v>
      </c>
      <c r="T817" s="2" t="str">
        <f t="shared" si="64"/>
        <v>Sangat Rendah</v>
      </c>
    </row>
    <row r="818" spans="1:20" ht="15.75" customHeight="1" x14ac:dyDescent="0.3">
      <c r="A818" s="4" t="s">
        <v>1575</v>
      </c>
      <c r="B818" s="3">
        <v>45775.59988425926</v>
      </c>
      <c r="C818" s="2" t="s">
        <v>77</v>
      </c>
      <c r="D818" s="2" t="s">
        <v>61</v>
      </c>
      <c r="E818" s="2" t="s">
        <v>138</v>
      </c>
      <c r="F818" s="2">
        <v>17000</v>
      </c>
      <c r="G818" s="2">
        <v>1</v>
      </c>
      <c r="H818" s="2">
        <v>15</v>
      </c>
      <c r="I818">
        <f t="shared" si="60"/>
        <v>17000</v>
      </c>
      <c r="J818">
        <f t="shared" si="61"/>
        <v>2550</v>
      </c>
      <c r="K818" s="6">
        <f t="shared" si="62"/>
        <v>14450</v>
      </c>
      <c r="L818" s="2">
        <v>26000</v>
      </c>
      <c r="M818" s="6">
        <f>Table1[[#This Row],[Total Sales]]+Table1[[#This Row],[Shipping Fee]]</f>
        <v>40450</v>
      </c>
      <c r="N818" s="2" t="s">
        <v>35</v>
      </c>
      <c r="O818" t="str">
        <f>VLOOKUP(Table1[[#This Row],[Order ID]],Status!A:B, 2,FALSE)</f>
        <v>Completed</v>
      </c>
      <c r="P818" s="2" t="s">
        <v>46</v>
      </c>
      <c r="Q818" s="2">
        <v>3</v>
      </c>
      <c r="R818" s="2" t="s">
        <v>24</v>
      </c>
      <c r="S818" s="11" t="str">
        <f t="shared" si="63"/>
        <v>Standar</v>
      </c>
      <c r="T818" s="2" t="str">
        <f t="shared" si="64"/>
        <v>Sangat Rendah</v>
      </c>
    </row>
    <row r="819" spans="1:20" ht="15.75" customHeight="1" x14ac:dyDescent="0.3">
      <c r="A819" s="4" t="s">
        <v>1575</v>
      </c>
      <c r="B819" s="3">
        <v>45775.59988425926</v>
      </c>
      <c r="C819" s="2" t="s">
        <v>77</v>
      </c>
      <c r="D819" s="2" t="s">
        <v>61</v>
      </c>
      <c r="E819" s="2" t="s">
        <v>88</v>
      </c>
      <c r="F819" s="2">
        <v>14000</v>
      </c>
      <c r="G819" s="2">
        <v>1</v>
      </c>
      <c r="H819" s="2">
        <v>15</v>
      </c>
      <c r="I819">
        <f t="shared" si="60"/>
        <v>14000</v>
      </c>
      <c r="J819">
        <f t="shared" si="61"/>
        <v>2100</v>
      </c>
      <c r="K819" s="6">
        <f t="shared" si="62"/>
        <v>11900</v>
      </c>
      <c r="L819" s="2">
        <v>0</v>
      </c>
      <c r="M819" s="6">
        <f>Table1[[#This Row],[Total Sales]]+Table1[[#This Row],[Shipping Fee]]</f>
        <v>11900</v>
      </c>
      <c r="N819" s="2" t="s">
        <v>35</v>
      </c>
      <c r="O819" t="str">
        <f>VLOOKUP(Table1[[#This Row],[Order ID]],Status!A:B, 2,FALSE)</f>
        <v>Completed</v>
      </c>
      <c r="P819" s="2" t="s">
        <v>46</v>
      </c>
      <c r="Q819" s="2">
        <v>3</v>
      </c>
      <c r="R819" s="2" t="s">
        <v>24</v>
      </c>
      <c r="S819" s="11" t="str">
        <f t="shared" si="63"/>
        <v>Standar</v>
      </c>
      <c r="T819" s="2" t="str">
        <f t="shared" si="64"/>
        <v>Sangat Rendah</v>
      </c>
    </row>
    <row r="820" spans="1:20" ht="15.75" customHeight="1" x14ac:dyDescent="0.3">
      <c r="A820" s="4" t="s">
        <v>1573</v>
      </c>
      <c r="B820" s="3">
        <v>45775.459733796299</v>
      </c>
      <c r="C820" s="2" t="s">
        <v>1574</v>
      </c>
      <c r="D820" s="2" t="s">
        <v>33</v>
      </c>
      <c r="E820" s="2" t="s">
        <v>34</v>
      </c>
      <c r="F820" s="2">
        <v>16000</v>
      </c>
      <c r="G820" s="2">
        <v>2</v>
      </c>
      <c r="H820" s="2">
        <v>20</v>
      </c>
      <c r="I820">
        <f t="shared" si="60"/>
        <v>32000</v>
      </c>
      <c r="J820">
        <f t="shared" si="61"/>
        <v>6400</v>
      </c>
      <c r="K820" s="6">
        <f t="shared" si="62"/>
        <v>25600</v>
      </c>
      <c r="L820" s="2">
        <v>76000</v>
      </c>
      <c r="M820" s="6">
        <f>Table1[[#This Row],[Total Sales]]+Table1[[#This Row],[Shipping Fee]]</f>
        <v>101600</v>
      </c>
      <c r="N820" s="2" t="s">
        <v>35</v>
      </c>
      <c r="O820" t="str">
        <f>VLOOKUP(Table1[[#This Row],[Order ID]],Status!A:B, 2,FALSE)</f>
        <v>Completed</v>
      </c>
      <c r="P820" s="2" t="s">
        <v>36</v>
      </c>
      <c r="Q820" s="2">
        <v>3</v>
      </c>
      <c r="R820" s="2" t="s">
        <v>24</v>
      </c>
      <c r="S820" s="11" t="str">
        <f t="shared" si="63"/>
        <v>Standar</v>
      </c>
      <c r="T820" s="2" t="str">
        <f t="shared" si="64"/>
        <v>Rendah</v>
      </c>
    </row>
    <row r="821" spans="1:20" ht="15.75" customHeight="1" x14ac:dyDescent="0.3">
      <c r="A821" s="4" t="s">
        <v>1572</v>
      </c>
      <c r="B821" s="3">
        <v>45775.306168981479</v>
      </c>
      <c r="C821" s="2" t="s">
        <v>549</v>
      </c>
      <c r="D821" s="2" t="s">
        <v>107</v>
      </c>
      <c r="E821" s="2" t="s">
        <v>34</v>
      </c>
      <c r="F821" s="2">
        <v>16000</v>
      </c>
      <c r="G821" s="2">
        <v>5</v>
      </c>
      <c r="H821" s="2">
        <v>10</v>
      </c>
      <c r="I821">
        <f t="shared" si="60"/>
        <v>80000</v>
      </c>
      <c r="J821">
        <f t="shared" si="61"/>
        <v>8000</v>
      </c>
      <c r="K821" s="6">
        <f t="shared" si="62"/>
        <v>72000</v>
      </c>
      <c r="L821" s="2">
        <v>97000</v>
      </c>
      <c r="M821" s="6">
        <f>Table1[[#This Row],[Total Sales]]+Table1[[#This Row],[Shipping Fee]]</f>
        <v>169000</v>
      </c>
      <c r="N821" s="2" t="s">
        <v>22</v>
      </c>
      <c r="O821" t="str">
        <f>VLOOKUP(Table1[[#This Row],[Order ID]],Status!A:B, 2,FALSE)</f>
        <v>Completed</v>
      </c>
      <c r="P821" s="2" t="s">
        <v>23</v>
      </c>
      <c r="Q821" s="2">
        <v>4</v>
      </c>
      <c r="R821" s="2" t="s">
        <v>24</v>
      </c>
      <c r="S821" s="11" t="str">
        <f t="shared" si="63"/>
        <v>Bagus</v>
      </c>
      <c r="T821" s="2" t="str">
        <f t="shared" si="64"/>
        <v>Rendah</v>
      </c>
    </row>
    <row r="822" spans="1:20" ht="15.75" customHeight="1" x14ac:dyDescent="0.3">
      <c r="A822" s="4" t="s">
        <v>1571</v>
      </c>
      <c r="B822" s="3">
        <v>45775.093043981477</v>
      </c>
      <c r="C822" s="2" t="s">
        <v>488</v>
      </c>
      <c r="D822" s="2" t="s">
        <v>49</v>
      </c>
      <c r="E822" s="2" t="s">
        <v>21</v>
      </c>
      <c r="F822" s="2">
        <v>45000</v>
      </c>
      <c r="G822" s="2">
        <v>1</v>
      </c>
      <c r="H822" s="2">
        <v>15</v>
      </c>
      <c r="I822">
        <f t="shared" si="60"/>
        <v>45000</v>
      </c>
      <c r="J822">
        <f t="shared" si="61"/>
        <v>6750</v>
      </c>
      <c r="K822" s="6">
        <f t="shared" si="62"/>
        <v>38250</v>
      </c>
      <c r="L822" s="2">
        <v>43000</v>
      </c>
      <c r="M822" s="6">
        <f>Table1[[#This Row],[Total Sales]]+Table1[[#This Row],[Shipping Fee]]</f>
        <v>81250</v>
      </c>
      <c r="N822" s="2" t="s">
        <v>22</v>
      </c>
      <c r="O822" t="str">
        <f>VLOOKUP(Table1[[#This Row],[Order ID]],Status!A:B, 2,FALSE)</f>
        <v>Completed</v>
      </c>
      <c r="P822" s="2" t="s">
        <v>46</v>
      </c>
      <c r="Q822" s="2">
        <v>2</v>
      </c>
      <c r="R822" s="2" t="s">
        <v>24</v>
      </c>
      <c r="S822" s="11" t="str">
        <f t="shared" si="63"/>
        <v>Rendah</v>
      </c>
      <c r="T822" s="2" t="str">
        <f t="shared" si="64"/>
        <v>Rendah</v>
      </c>
    </row>
    <row r="823" spans="1:20" ht="15.75" customHeight="1" x14ac:dyDescent="0.3">
      <c r="A823" s="4" t="s">
        <v>1570</v>
      </c>
      <c r="B823" s="3">
        <v>45775.081689814811</v>
      </c>
      <c r="C823" s="2" t="s">
        <v>1424</v>
      </c>
      <c r="D823" s="2" t="s">
        <v>296</v>
      </c>
      <c r="E823" s="2" t="s">
        <v>81</v>
      </c>
      <c r="F823" s="2">
        <v>17000</v>
      </c>
      <c r="G823" s="2">
        <v>1</v>
      </c>
      <c r="H823" s="2">
        <v>20</v>
      </c>
      <c r="I823">
        <f t="shared" si="60"/>
        <v>17000</v>
      </c>
      <c r="J823">
        <f t="shared" si="61"/>
        <v>3400</v>
      </c>
      <c r="K823" s="6">
        <f t="shared" si="62"/>
        <v>13600</v>
      </c>
      <c r="L823" s="2">
        <v>79000</v>
      </c>
      <c r="M823" s="6">
        <f>Table1[[#This Row],[Total Sales]]+Table1[[#This Row],[Shipping Fee]]</f>
        <v>92600</v>
      </c>
      <c r="N823" s="2" t="s">
        <v>63</v>
      </c>
      <c r="O823" t="str">
        <f>VLOOKUP(Table1[[#This Row],[Order ID]],Status!A:B, 2,FALSE)</f>
        <v>Completed</v>
      </c>
      <c r="P823" s="2" t="s">
        <v>82</v>
      </c>
      <c r="Q823" s="2">
        <v>4</v>
      </c>
      <c r="R823" s="2" t="s">
        <v>24</v>
      </c>
      <c r="S823" s="11" t="str">
        <f t="shared" si="63"/>
        <v>Bagus</v>
      </c>
      <c r="T823" s="2" t="str">
        <f t="shared" si="64"/>
        <v>Sangat Rendah</v>
      </c>
    </row>
    <row r="824" spans="1:20" ht="15.75" customHeight="1" x14ac:dyDescent="0.3">
      <c r="A824" s="4" t="s">
        <v>1569</v>
      </c>
      <c r="B824" s="3">
        <v>45774.959687499999</v>
      </c>
      <c r="C824" s="2" t="s">
        <v>214</v>
      </c>
      <c r="D824" s="2" t="s">
        <v>131</v>
      </c>
      <c r="E824" s="2" t="s">
        <v>190</v>
      </c>
      <c r="F824" s="2">
        <v>35000</v>
      </c>
      <c r="G824" s="2">
        <v>2</v>
      </c>
      <c r="H824" s="2">
        <v>15</v>
      </c>
      <c r="I824">
        <f t="shared" si="60"/>
        <v>70000</v>
      </c>
      <c r="J824">
        <f t="shared" si="61"/>
        <v>10500</v>
      </c>
      <c r="K824" s="6">
        <f t="shared" si="62"/>
        <v>59500</v>
      </c>
      <c r="L824" s="2">
        <v>59000</v>
      </c>
      <c r="M824" s="6">
        <f>Table1[[#This Row],[Total Sales]]+Table1[[#This Row],[Shipping Fee]]</f>
        <v>118500</v>
      </c>
      <c r="N824" s="2" t="s">
        <v>35</v>
      </c>
      <c r="O824" t="str">
        <f>VLOOKUP(Table1[[#This Row],[Order ID]],Status!A:B, 2,FALSE)</f>
        <v>Cancelled</v>
      </c>
      <c r="P824" s="2" t="s">
        <v>36</v>
      </c>
      <c r="Q824" s="2">
        <v>3</v>
      </c>
      <c r="R824" s="2" t="s">
        <v>24</v>
      </c>
      <c r="S824" s="11" t="str">
        <f t="shared" si="63"/>
        <v>Standar</v>
      </c>
      <c r="T824" s="2" t="str">
        <f t="shared" si="64"/>
        <v>Normal</v>
      </c>
    </row>
    <row r="825" spans="1:20" ht="15.75" customHeight="1" x14ac:dyDescent="0.3">
      <c r="A825" s="4" t="s">
        <v>1568</v>
      </c>
      <c r="B825" s="3">
        <v>45774.540324074071</v>
      </c>
      <c r="C825" s="2" t="s">
        <v>333</v>
      </c>
      <c r="D825" s="2" t="s">
        <v>107</v>
      </c>
      <c r="E825" s="2" t="s">
        <v>138</v>
      </c>
      <c r="F825" s="2">
        <v>17000</v>
      </c>
      <c r="G825" s="2">
        <v>1</v>
      </c>
      <c r="H825" s="2">
        <v>20</v>
      </c>
      <c r="I825">
        <f t="shared" si="60"/>
        <v>17000</v>
      </c>
      <c r="J825">
        <f t="shared" si="61"/>
        <v>3400</v>
      </c>
      <c r="K825" s="6">
        <f t="shared" si="62"/>
        <v>13600</v>
      </c>
      <c r="L825" s="2">
        <v>97000</v>
      </c>
      <c r="M825" s="6">
        <f>Table1[[#This Row],[Total Sales]]+Table1[[#This Row],[Shipping Fee]]</f>
        <v>110600</v>
      </c>
      <c r="N825" s="2" t="s">
        <v>63</v>
      </c>
      <c r="O825" t="str">
        <f>VLOOKUP(Table1[[#This Row],[Order ID]],Status!A:B, 2,FALSE)</f>
        <v>Completed</v>
      </c>
      <c r="P825" s="2" t="s">
        <v>36</v>
      </c>
      <c r="Q825" s="2">
        <v>3</v>
      </c>
      <c r="R825" s="2" t="s">
        <v>37</v>
      </c>
      <c r="S825" s="11" t="str">
        <f t="shared" si="63"/>
        <v>Standar</v>
      </c>
      <c r="T825" s="2" t="str">
        <f t="shared" si="64"/>
        <v>Sangat Rendah</v>
      </c>
    </row>
    <row r="826" spans="1:20" ht="15.75" customHeight="1" x14ac:dyDescent="0.3">
      <c r="A826" s="4" t="s">
        <v>1567</v>
      </c>
      <c r="B826" s="3">
        <v>45774.371990740743</v>
      </c>
      <c r="C826" s="2" t="s">
        <v>459</v>
      </c>
      <c r="D826" s="2" t="s">
        <v>61</v>
      </c>
      <c r="E826" s="2" t="s">
        <v>138</v>
      </c>
      <c r="F826" s="2">
        <v>17000</v>
      </c>
      <c r="G826" s="2">
        <v>1</v>
      </c>
      <c r="H826" s="2">
        <v>20</v>
      </c>
      <c r="I826">
        <f t="shared" si="60"/>
        <v>17000</v>
      </c>
      <c r="J826">
        <f t="shared" si="61"/>
        <v>3400</v>
      </c>
      <c r="K826" s="6">
        <f t="shared" si="62"/>
        <v>13600</v>
      </c>
      <c r="L826" s="2">
        <v>26000</v>
      </c>
      <c r="M826" s="6">
        <f>Table1[[#This Row],[Total Sales]]+Table1[[#This Row],[Shipping Fee]]</f>
        <v>39600</v>
      </c>
      <c r="N826" s="2" t="s">
        <v>63</v>
      </c>
      <c r="O826" t="str">
        <f>VLOOKUP(Table1[[#This Row],[Order ID]],Status!A:B, 2,FALSE)</f>
        <v>Completed</v>
      </c>
      <c r="P826" s="2" t="s">
        <v>46</v>
      </c>
      <c r="Q826" s="2">
        <v>5</v>
      </c>
      <c r="R826" s="2" t="s">
        <v>24</v>
      </c>
      <c r="S826" s="11" t="str">
        <f t="shared" si="63"/>
        <v>Bagus</v>
      </c>
      <c r="T826" s="2" t="str">
        <f t="shared" si="64"/>
        <v>Sangat Rendah</v>
      </c>
    </row>
    <row r="827" spans="1:20" ht="15.75" customHeight="1" x14ac:dyDescent="0.3">
      <c r="A827" s="4" t="s">
        <v>1566</v>
      </c>
      <c r="B827" s="3">
        <v>45774.329456018517</v>
      </c>
      <c r="C827" s="2" t="s">
        <v>77</v>
      </c>
      <c r="D827" s="2" t="s">
        <v>61</v>
      </c>
      <c r="E827" s="2" t="s">
        <v>190</v>
      </c>
      <c r="F827" s="2">
        <v>35000</v>
      </c>
      <c r="G827" s="2">
        <v>1</v>
      </c>
      <c r="H827" s="2">
        <v>5</v>
      </c>
      <c r="I827">
        <f t="shared" si="60"/>
        <v>35000</v>
      </c>
      <c r="J827">
        <f t="shared" si="61"/>
        <v>1750</v>
      </c>
      <c r="K827" s="6">
        <f t="shared" si="62"/>
        <v>33250</v>
      </c>
      <c r="L827" s="2">
        <v>26000</v>
      </c>
      <c r="M827" s="6">
        <f>Table1[[#This Row],[Total Sales]]+Table1[[#This Row],[Shipping Fee]]</f>
        <v>59250</v>
      </c>
      <c r="N827" s="2" t="s">
        <v>29</v>
      </c>
      <c r="O827" t="str">
        <f>VLOOKUP(Table1[[#This Row],[Order ID]],Status!A:B, 2,FALSE)</f>
        <v>Completed</v>
      </c>
      <c r="P827" s="2" t="s">
        <v>46</v>
      </c>
      <c r="Q827" s="2">
        <v>1</v>
      </c>
      <c r="R827" s="2" t="s">
        <v>24</v>
      </c>
      <c r="S827" s="11" t="str">
        <f t="shared" si="63"/>
        <v>Rendah</v>
      </c>
      <c r="T827" s="2" t="str">
        <f t="shared" si="64"/>
        <v>Sangat Rendah</v>
      </c>
    </row>
    <row r="828" spans="1:20" ht="15.75" customHeight="1" x14ac:dyDescent="0.3">
      <c r="A828" s="4" t="s">
        <v>1566</v>
      </c>
      <c r="B828" s="3">
        <v>45774.329456018517</v>
      </c>
      <c r="C828" s="2" t="s">
        <v>77</v>
      </c>
      <c r="D828" s="2" t="s">
        <v>61</v>
      </c>
      <c r="E828" s="2" t="s">
        <v>21</v>
      </c>
      <c r="F828" s="2">
        <v>45000</v>
      </c>
      <c r="G828" s="2">
        <v>4</v>
      </c>
      <c r="H828" s="2">
        <v>5</v>
      </c>
      <c r="I828">
        <f t="shared" si="60"/>
        <v>180000</v>
      </c>
      <c r="J828">
        <f t="shared" si="61"/>
        <v>9000</v>
      </c>
      <c r="K828" s="6">
        <f t="shared" si="62"/>
        <v>171000</v>
      </c>
      <c r="L828" s="2">
        <v>0</v>
      </c>
      <c r="M828" s="6">
        <f>Table1[[#This Row],[Total Sales]]+Table1[[#This Row],[Shipping Fee]]</f>
        <v>171000</v>
      </c>
      <c r="N828" s="2" t="s">
        <v>29</v>
      </c>
      <c r="O828" t="str">
        <f>VLOOKUP(Table1[[#This Row],[Order ID]],Status!A:B, 2,FALSE)</f>
        <v>Completed</v>
      </c>
      <c r="P828" s="2" t="s">
        <v>46</v>
      </c>
      <c r="Q828" s="2">
        <v>1</v>
      </c>
      <c r="R828" s="2" t="s">
        <v>24</v>
      </c>
      <c r="S828" s="11" t="str">
        <f t="shared" si="63"/>
        <v>Rendah</v>
      </c>
      <c r="T828" s="2" t="str">
        <f t="shared" si="64"/>
        <v>Rendah</v>
      </c>
    </row>
    <row r="829" spans="1:20" ht="15.75" customHeight="1" x14ac:dyDescent="0.3">
      <c r="A829" s="4" t="s">
        <v>1565</v>
      </c>
      <c r="B829" s="3">
        <v>45774.265497685177</v>
      </c>
      <c r="C829" s="2" t="s">
        <v>273</v>
      </c>
      <c r="D829" s="2" t="s">
        <v>195</v>
      </c>
      <c r="E829" s="2" t="s">
        <v>85</v>
      </c>
      <c r="F829" s="2">
        <v>35000</v>
      </c>
      <c r="G829" s="2">
        <v>2</v>
      </c>
      <c r="H829" s="2">
        <v>0</v>
      </c>
      <c r="I829">
        <f t="shared" si="60"/>
        <v>70000</v>
      </c>
      <c r="J829">
        <f t="shared" si="61"/>
        <v>0</v>
      </c>
      <c r="K829" s="6">
        <f t="shared" si="62"/>
        <v>70000</v>
      </c>
      <c r="L829" s="2">
        <v>87000</v>
      </c>
      <c r="M829" s="6">
        <f>Table1[[#This Row],[Total Sales]]+Table1[[#This Row],[Shipping Fee]]</f>
        <v>157000</v>
      </c>
      <c r="N829" s="2" t="s">
        <v>22</v>
      </c>
      <c r="O829" t="str">
        <f>VLOOKUP(Table1[[#This Row],[Order ID]],Status!A:B, 2,FALSE)</f>
        <v>Completed</v>
      </c>
      <c r="P829" s="2" t="s">
        <v>82</v>
      </c>
      <c r="Q829" s="2">
        <v>5</v>
      </c>
      <c r="R829" s="2" t="s">
        <v>24</v>
      </c>
      <c r="S829" s="11" t="str">
        <f t="shared" si="63"/>
        <v>Bagus</v>
      </c>
      <c r="T829" s="2" t="str">
        <f t="shared" si="64"/>
        <v>Sangat Rendah</v>
      </c>
    </row>
    <row r="830" spans="1:20" ht="15.75" customHeight="1" x14ac:dyDescent="0.3">
      <c r="A830" s="4" t="s">
        <v>1564</v>
      </c>
      <c r="B830" s="3">
        <v>45774.19327546296</v>
      </c>
      <c r="C830" s="2" t="s">
        <v>990</v>
      </c>
      <c r="D830" s="2" t="s">
        <v>173</v>
      </c>
      <c r="E830" s="2" t="s">
        <v>81</v>
      </c>
      <c r="F830" s="2">
        <v>17000</v>
      </c>
      <c r="G830" s="2">
        <v>3</v>
      </c>
      <c r="H830" s="2">
        <v>15</v>
      </c>
      <c r="I830">
        <f t="shared" si="60"/>
        <v>51000</v>
      </c>
      <c r="J830">
        <f t="shared" si="61"/>
        <v>7650</v>
      </c>
      <c r="K830" s="6">
        <f t="shared" si="62"/>
        <v>43350</v>
      </c>
      <c r="L830" s="2">
        <v>49000</v>
      </c>
      <c r="M830" s="6">
        <f>Table1[[#This Row],[Total Sales]]+Table1[[#This Row],[Shipping Fee]]</f>
        <v>92350</v>
      </c>
      <c r="N830" s="2" t="s">
        <v>22</v>
      </c>
      <c r="O830" t="str">
        <f>VLOOKUP(Table1[[#This Row],[Order ID]],Status!A:B, 2,FALSE)</f>
        <v>Completed</v>
      </c>
      <c r="P830" s="2" t="s">
        <v>30</v>
      </c>
      <c r="Q830" s="2">
        <v>1</v>
      </c>
      <c r="R830" s="2" t="s">
        <v>24</v>
      </c>
      <c r="S830" s="11" t="str">
        <f t="shared" si="63"/>
        <v>Rendah</v>
      </c>
      <c r="T830" s="2" t="str">
        <f t="shared" si="64"/>
        <v>Rendah</v>
      </c>
    </row>
    <row r="831" spans="1:20" ht="15.75" customHeight="1" x14ac:dyDescent="0.3">
      <c r="A831" s="4" t="s">
        <v>1563</v>
      </c>
      <c r="B831" s="3">
        <v>45774.154432870368</v>
      </c>
      <c r="C831" s="2" t="s">
        <v>504</v>
      </c>
      <c r="D831" s="2" t="s">
        <v>195</v>
      </c>
      <c r="E831" s="2" t="s">
        <v>144</v>
      </c>
      <c r="F831" s="2">
        <v>18000</v>
      </c>
      <c r="G831" s="2">
        <v>2</v>
      </c>
      <c r="H831" s="2">
        <v>0</v>
      </c>
      <c r="I831">
        <f t="shared" si="60"/>
        <v>36000</v>
      </c>
      <c r="J831">
        <f t="shared" si="61"/>
        <v>0</v>
      </c>
      <c r="K831" s="6">
        <f t="shared" si="62"/>
        <v>36000</v>
      </c>
      <c r="L831" s="2">
        <v>87000</v>
      </c>
      <c r="M831" s="6">
        <f>Table1[[#This Row],[Total Sales]]+Table1[[#This Row],[Shipping Fee]]</f>
        <v>123000</v>
      </c>
      <c r="N831" s="2" t="s">
        <v>22</v>
      </c>
      <c r="O831" t="str">
        <f>VLOOKUP(Table1[[#This Row],[Order ID]],Status!A:B, 2,FALSE)</f>
        <v>Completed</v>
      </c>
      <c r="P831" s="2" t="s">
        <v>23</v>
      </c>
      <c r="Q831" s="2">
        <v>3</v>
      </c>
      <c r="R831" s="2" t="s">
        <v>24</v>
      </c>
      <c r="S831" s="11" t="str">
        <f t="shared" si="63"/>
        <v>Standar</v>
      </c>
      <c r="T831" s="2" t="str">
        <f t="shared" si="64"/>
        <v>Sangat Rendah</v>
      </c>
    </row>
    <row r="832" spans="1:20" ht="15.75" customHeight="1" x14ac:dyDescent="0.3">
      <c r="A832" s="4" t="s">
        <v>1562</v>
      </c>
      <c r="B832" s="3">
        <v>45774.049467592587</v>
      </c>
      <c r="C832" s="2" t="s">
        <v>231</v>
      </c>
      <c r="D832" s="2" t="s">
        <v>66</v>
      </c>
      <c r="E832" s="2" t="s">
        <v>71</v>
      </c>
      <c r="F832" s="2">
        <v>40000</v>
      </c>
      <c r="G832" s="2">
        <v>2</v>
      </c>
      <c r="H832" s="2">
        <v>5</v>
      </c>
      <c r="I832">
        <f t="shared" si="60"/>
        <v>80000</v>
      </c>
      <c r="J832">
        <f t="shared" si="61"/>
        <v>4000</v>
      </c>
      <c r="K832" s="6">
        <f t="shared" si="62"/>
        <v>76000</v>
      </c>
      <c r="L832" s="2">
        <v>59000</v>
      </c>
      <c r="M832" s="6">
        <f>Table1[[#This Row],[Total Sales]]+Table1[[#This Row],[Shipping Fee]]</f>
        <v>135000</v>
      </c>
      <c r="N832" s="2" t="s">
        <v>35</v>
      </c>
      <c r="O832" t="str">
        <f>VLOOKUP(Table1[[#This Row],[Order ID]],Status!A:B, 2,FALSE)</f>
        <v>Completed</v>
      </c>
      <c r="P832" s="2" t="s">
        <v>46</v>
      </c>
      <c r="Q832" s="2">
        <v>4</v>
      </c>
      <c r="R832" s="2" t="s">
        <v>24</v>
      </c>
      <c r="S832" s="11" t="str">
        <f t="shared" si="63"/>
        <v>Bagus</v>
      </c>
      <c r="T832" s="2" t="str">
        <f t="shared" si="64"/>
        <v>Sangat Rendah</v>
      </c>
    </row>
    <row r="833" spans="1:20" ht="15.75" customHeight="1" x14ac:dyDescent="0.3">
      <c r="A833" s="4" t="s">
        <v>1562</v>
      </c>
      <c r="B833" s="3">
        <v>45774.049467592587</v>
      </c>
      <c r="C833" s="2" t="s">
        <v>231</v>
      </c>
      <c r="D833" s="2" t="s">
        <v>66</v>
      </c>
      <c r="E833" s="2" t="s">
        <v>190</v>
      </c>
      <c r="F833" s="2">
        <v>35000</v>
      </c>
      <c r="G833" s="2">
        <v>2</v>
      </c>
      <c r="H833" s="2">
        <v>15</v>
      </c>
      <c r="I833">
        <f t="shared" si="60"/>
        <v>70000</v>
      </c>
      <c r="J833">
        <f t="shared" si="61"/>
        <v>10500</v>
      </c>
      <c r="K833" s="6">
        <f t="shared" si="62"/>
        <v>59500</v>
      </c>
      <c r="L833" s="2">
        <v>0</v>
      </c>
      <c r="M833" s="6">
        <f>Table1[[#This Row],[Total Sales]]+Table1[[#This Row],[Shipping Fee]]</f>
        <v>59500</v>
      </c>
      <c r="N833" s="2" t="s">
        <v>35</v>
      </c>
      <c r="O833" t="str">
        <f>VLOOKUP(Table1[[#This Row],[Order ID]],Status!A:B, 2,FALSE)</f>
        <v>Completed</v>
      </c>
      <c r="P833" s="2" t="s">
        <v>46</v>
      </c>
      <c r="Q833" s="2">
        <v>4</v>
      </c>
      <c r="R833" s="2" t="s">
        <v>24</v>
      </c>
      <c r="S833" s="11" t="str">
        <f t="shared" si="63"/>
        <v>Bagus</v>
      </c>
      <c r="T833" s="2" t="str">
        <f t="shared" si="64"/>
        <v>Normal</v>
      </c>
    </row>
    <row r="834" spans="1:20" ht="15.75" customHeight="1" x14ac:dyDescent="0.3">
      <c r="A834" s="4" t="s">
        <v>1560</v>
      </c>
      <c r="B834" s="3">
        <v>45773.874652777777</v>
      </c>
      <c r="C834" s="2" t="s">
        <v>1561</v>
      </c>
      <c r="D834" s="2" t="s">
        <v>160</v>
      </c>
      <c r="E834" s="2" t="s">
        <v>93</v>
      </c>
      <c r="F834" s="2">
        <v>25000</v>
      </c>
      <c r="G834" s="2">
        <v>4</v>
      </c>
      <c r="H834" s="2">
        <v>20</v>
      </c>
      <c r="I834">
        <f t="shared" ref="I834:I897" si="65">F834*G834</f>
        <v>100000</v>
      </c>
      <c r="J834">
        <f t="shared" ref="J834:J897" si="66">I834*H834/100</f>
        <v>20000</v>
      </c>
      <c r="K834" s="6">
        <f t="shared" ref="K834:K897" si="67">I834-J834</f>
        <v>80000</v>
      </c>
      <c r="L834" s="2">
        <v>68000</v>
      </c>
      <c r="M834" s="6">
        <f>Table1[[#This Row],[Total Sales]]+Table1[[#This Row],[Shipping Fee]]</f>
        <v>148000</v>
      </c>
      <c r="N834" s="2" t="s">
        <v>63</v>
      </c>
      <c r="O834" t="str">
        <f>VLOOKUP(Table1[[#This Row],[Order ID]],Status!A:B, 2,FALSE)</f>
        <v>Completed</v>
      </c>
      <c r="P834" s="2" t="s">
        <v>30</v>
      </c>
      <c r="Q834" s="2">
        <v>4</v>
      </c>
      <c r="R834" s="2" t="s">
        <v>24</v>
      </c>
      <c r="S834" s="11" t="str">
        <f t="shared" ref="S834:S897" si="68">_xlfn.IFS(Q834&gt;3,"Bagus",Q834=3,"Standar",Q834&lt;3,"Rendah")</f>
        <v>Bagus</v>
      </c>
      <c r="T834" s="2" t="str">
        <f t="shared" ref="T834:T897" si="69">_xlfn.IFS(J834&lt;=5000,"Sangat Rendah", J834&lt;=10000,"Rendah", J834&lt;=20000, "Normal", J834&lt;=35000, "Tinggi", J834&lt;= 50000, "Sangat Tinggi", J834&gt;50000, "Clearance")</f>
        <v>Normal</v>
      </c>
    </row>
    <row r="835" spans="1:20" ht="15.75" customHeight="1" x14ac:dyDescent="0.3">
      <c r="A835" s="4" t="s">
        <v>1559</v>
      </c>
      <c r="B835" s="3">
        <v>45773.655370370368</v>
      </c>
      <c r="C835" s="2" t="s">
        <v>383</v>
      </c>
      <c r="D835" s="2" t="s">
        <v>122</v>
      </c>
      <c r="E835" s="2" t="s">
        <v>58</v>
      </c>
      <c r="F835" s="2">
        <v>16000</v>
      </c>
      <c r="G835" s="2">
        <v>4</v>
      </c>
      <c r="H835" s="2">
        <v>10</v>
      </c>
      <c r="I835">
        <f t="shared" si="65"/>
        <v>64000</v>
      </c>
      <c r="J835">
        <f t="shared" si="66"/>
        <v>6400</v>
      </c>
      <c r="K835" s="6">
        <f t="shared" si="67"/>
        <v>57600</v>
      </c>
      <c r="L835" s="2">
        <v>78000</v>
      </c>
      <c r="M835" s="6">
        <f>Table1[[#This Row],[Total Sales]]+Table1[[#This Row],[Shipping Fee]]</f>
        <v>135600</v>
      </c>
      <c r="N835" s="2" t="s">
        <v>63</v>
      </c>
      <c r="O835" t="str">
        <f>VLOOKUP(Table1[[#This Row],[Order ID]],Status!A:B, 2,FALSE)</f>
        <v>Completed</v>
      </c>
      <c r="P835" s="2" t="s">
        <v>36</v>
      </c>
      <c r="Q835" s="2">
        <v>2</v>
      </c>
      <c r="R835" s="2" t="s">
        <v>24</v>
      </c>
      <c r="S835" s="11" t="str">
        <f t="shared" si="68"/>
        <v>Rendah</v>
      </c>
      <c r="T835" s="2" t="str">
        <f t="shared" si="69"/>
        <v>Rendah</v>
      </c>
    </row>
    <row r="836" spans="1:20" ht="15.75" customHeight="1" x14ac:dyDescent="0.3">
      <c r="A836" s="4" t="s">
        <v>1558</v>
      </c>
      <c r="B836" s="3">
        <v>45773.462199074071</v>
      </c>
      <c r="C836" s="2" t="s">
        <v>1146</v>
      </c>
      <c r="D836" s="2" t="s">
        <v>116</v>
      </c>
      <c r="E836" s="2" t="s">
        <v>144</v>
      </c>
      <c r="F836" s="2">
        <v>18000</v>
      </c>
      <c r="G836" s="2">
        <v>3</v>
      </c>
      <c r="H836" s="2">
        <v>0</v>
      </c>
      <c r="I836">
        <f t="shared" si="65"/>
        <v>54000</v>
      </c>
      <c r="J836">
        <f t="shared" si="66"/>
        <v>0</v>
      </c>
      <c r="K836" s="6">
        <f t="shared" si="67"/>
        <v>54000</v>
      </c>
      <c r="L836" s="2">
        <v>72000</v>
      </c>
      <c r="M836" s="6">
        <f>Table1[[#This Row],[Total Sales]]+Table1[[#This Row],[Shipping Fee]]</f>
        <v>126000</v>
      </c>
      <c r="N836" s="2" t="s">
        <v>35</v>
      </c>
      <c r="O836" t="str">
        <f>VLOOKUP(Table1[[#This Row],[Order ID]],Status!A:B, 2,FALSE)</f>
        <v>Completed</v>
      </c>
      <c r="P836" s="2" t="s">
        <v>46</v>
      </c>
      <c r="Q836" s="2">
        <v>5</v>
      </c>
      <c r="R836" s="2" t="s">
        <v>24</v>
      </c>
      <c r="S836" s="11" t="str">
        <f t="shared" si="68"/>
        <v>Bagus</v>
      </c>
      <c r="T836" s="2" t="str">
        <f t="shared" si="69"/>
        <v>Sangat Rendah</v>
      </c>
    </row>
    <row r="837" spans="1:20" ht="15.75" customHeight="1" x14ac:dyDescent="0.3">
      <c r="A837" s="4" t="s">
        <v>1557</v>
      </c>
      <c r="B837" s="3">
        <v>45773.45144675926</v>
      </c>
      <c r="C837" s="2" t="s">
        <v>739</v>
      </c>
      <c r="D837" s="2" t="s">
        <v>177</v>
      </c>
      <c r="E837" s="2" t="s">
        <v>110</v>
      </c>
      <c r="F837" s="2">
        <v>6000</v>
      </c>
      <c r="G837" s="2">
        <v>2</v>
      </c>
      <c r="H837" s="2">
        <v>5</v>
      </c>
      <c r="I837">
        <f t="shared" si="65"/>
        <v>12000</v>
      </c>
      <c r="J837">
        <f t="shared" si="66"/>
        <v>600</v>
      </c>
      <c r="K837" s="6">
        <f t="shared" si="67"/>
        <v>11400</v>
      </c>
      <c r="L837" s="2">
        <v>56000</v>
      </c>
      <c r="M837" s="6">
        <f>Table1[[#This Row],[Total Sales]]+Table1[[#This Row],[Shipping Fee]]</f>
        <v>67400</v>
      </c>
      <c r="N837" s="2" t="s">
        <v>35</v>
      </c>
      <c r="O837" t="str">
        <f>VLOOKUP(Table1[[#This Row],[Order ID]],Status!A:B, 2,FALSE)</f>
        <v>Completed</v>
      </c>
      <c r="P837" s="2" t="s">
        <v>36</v>
      </c>
      <c r="Q837" s="2">
        <v>3</v>
      </c>
      <c r="R837" s="2" t="s">
        <v>24</v>
      </c>
      <c r="S837" s="11" t="str">
        <f t="shared" si="68"/>
        <v>Standar</v>
      </c>
      <c r="T837" s="2" t="str">
        <f t="shared" si="69"/>
        <v>Sangat Rendah</v>
      </c>
    </row>
    <row r="838" spans="1:20" ht="15.75" customHeight="1" x14ac:dyDescent="0.3">
      <c r="A838" s="4" t="s">
        <v>1556</v>
      </c>
      <c r="B838" s="3">
        <v>45773.302499999998</v>
      </c>
      <c r="C838" s="2" t="s">
        <v>249</v>
      </c>
      <c r="D838" s="2" t="s">
        <v>49</v>
      </c>
      <c r="E838" s="2" t="s">
        <v>50</v>
      </c>
      <c r="F838" s="2">
        <v>14000</v>
      </c>
      <c r="G838" s="2">
        <v>5</v>
      </c>
      <c r="H838" s="2">
        <v>0</v>
      </c>
      <c r="I838">
        <f t="shared" si="65"/>
        <v>70000</v>
      </c>
      <c r="J838">
        <f t="shared" si="66"/>
        <v>0</v>
      </c>
      <c r="K838" s="6">
        <f t="shared" si="67"/>
        <v>70000</v>
      </c>
      <c r="L838" s="2">
        <v>43000</v>
      </c>
      <c r="M838" s="6">
        <f>Table1[[#This Row],[Total Sales]]+Table1[[#This Row],[Shipping Fee]]</f>
        <v>113000</v>
      </c>
      <c r="N838" s="2" t="s">
        <v>35</v>
      </c>
      <c r="O838" t="str">
        <f>VLOOKUP(Table1[[#This Row],[Order ID]],Status!A:B, 2,FALSE)</f>
        <v>Completed</v>
      </c>
      <c r="P838" s="2" t="s">
        <v>46</v>
      </c>
      <c r="Q838" s="2">
        <v>3</v>
      </c>
      <c r="R838" s="2" t="s">
        <v>24</v>
      </c>
      <c r="S838" s="11" t="str">
        <f t="shared" si="68"/>
        <v>Standar</v>
      </c>
      <c r="T838" s="2" t="str">
        <f t="shared" si="69"/>
        <v>Sangat Rendah</v>
      </c>
    </row>
    <row r="839" spans="1:20" ht="15.75" customHeight="1" x14ac:dyDescent="0.3">
      <c r="A839" s="4" t="s">
        <v>1555</v>
      </c>
      <c r="B839" s="3">
        <v>45773.230671296304</v>
      </c>
      <c r="C839" s="2" t="s">
        <v>429</v>
      </c>
      <c r="D839" s="2" t="s">
        <v>177</v>
      </c>
      <c r="E839" s="2" t="s">
        <v>67</v>
      </c>
      <c r="F839" s="2">
        <v>15000</v>
      </c>
      <c r="G839" s="2">
        <v>2</v>
      </c>
      <c r="H839" s="2">
        <v>0</v>
      </c>
      <c r="I839">
        <f t="shared" si="65"/>
        <v>30000</v>
      </c>
      <c r="J839">
        <f t="shared" si="66"/>
        <v>0</v>
      </c>
      <c r="K839" s="6">
        <f t="shared" si="67"/>
        <v>30000</v>
      </c>
      <c r="L839" s="2">
        <v>56000</v>
      </c>
      <c r="M839" s="6">
        <f>Table1[[#This Row],[Total Sales]]+Table1[[#This Row],[Shipping Fee]]</f>
        <v>86000</v>
      </c>
      <c r="N839" s="2" t="s">
        <v>35</v>
      </c>
      <c r="O839" t="str">
        <f>VLOOKUP(Table1[[#This Row],[Order ID]],Status!A:B, 2,FALSE)</f>
        <v>Completed</v>
      </c>
      <c r="P839" s="2" t="s">
        <v>36</v>
      </c>
      <c r="Q839" s="2">
        <v>3</v>
      </c>
      <c r="R839" s="2" t="s">
        <v>37</v>
      </c>
      <c r="S839" s="11" t="str">
        <f t="shared" si="68"/>
        <v>Standar</v>
      </c>
      <c r="T839" s="2" t="str">
        <f t="shared" si="69"/>
        <v>Sangat Rendah</v>
      </c>
    </row>
    <row r="840" spans="1:20" ht="15.75" customHeight="1" x14ac:dyDescent="0.3">
      <c r="A840" s="4" t="s">
        <v>1554</v>
      </c>
      <c r="B840" s="3">
        <v>45772.681875000002</v>
      </c>
      <c r="C840" s="2" t="s">
        <v>184</v>
      </c>
      <c r="D840" s="2" t="s">
        <v>103</v>
      </c>
      <c r="E840" s="2" t="s">
        <v>138</v>
      </c>
      <c r="F840" s="2">
        <v>17000</v>
      </c>
      <c r="G840" s="2">
        <v>1</v>
      </c>
      <c r="H840" s="2">
        <v>0</v>
      </c>
      <c r="I840">
        <f t="shared" si="65"/>
        <v>17000</v>
      </c>
      <c r="J840">
        <f t="shared" si="66"/>
        <v>0</v>
      </c>
      <c r="K840" s="6">
        <f t="shared" si="67"/>
        <v>17000</v>
      </c>
      <c r="L840" s="2">
        <v>85000</v>
      </c>
      <c r="M840" s="6">
        <f>Table1[[#This Row],[Total Sales]]+Table1[[#This Row],[Shipping Fee]]</f>
        <v>102000</v>
      </c>
      <c r="N840" s="2" t="s">
        <v>22</v>
      </c>
      <c r="O840" t="str">
        <f>VLOOKUP(Table1[[#This Row],[Order ID]],Status!A:B, 2,FALSE)</f>
        <v>Returned</v>
      </c>
      <c r="P840" s="2" t="s">
        <v>30</v>
      </c>
      <c r="Q840" s="2">
        <v>5</v>
      </c>
      <c r="R840" s="2" t="s">
        <v>24</v>
      </c>
      <c r="S840" s="11" t="str">
        <f t="shared" si="68"/>
        <v>Bagus</v>
      </c>
      <c r="T840" s="2" t="str">
        <f t="shared" si="69"/>
        <v>Sangat Rendah</v>
      </c>
    </row>
    <row r="841" spans="1:20" ht="15.75" customHeight="1" x14ac:dyDescent="0.3">
      <c r="A841" s="4" t="s">
        <v>1553</v>
      </c>
      <c r="B841" s="3">
        <v>45772.678842592592</v>
      </c>
      <c r="C841" s="2" t="s">
        <v>333</v>
      </c>
      <c r="D841" s="2" t="s">
        <v>107</v>
      </c>
      <c r="E841" s="2" t="s">
        <v>190</v>
      </c>
      <c r="F841" s="2">
        <v>35000</v>
      </c>
      <c r="G841" s="2">
        <v>3</v>
      </c>
      <c r="H841" s="2">
        <v>0</v>
      </c>
      <c r="I841">
        <f t="shared" si="65"/>
        <v>105000</v>
      </c>
      <c r="J841">
        <f t="shared" si="66"/>
        <v>0</v>
      </c>
      <c r="K841" s="6">
        <f t="shared" si="67"/>
        <v>105000</v>
      </c>
      <c r="L841" s="2">
        <v>97000</v>
      </c>
      <c r="M841" s="6">
        <f>Table1[[#This Row],[Total Sales]]+Table1[[#This Row],[Shipping Fee]]</f>
        <v>202000</v>
      </c>
      <c r="N841" s="2" t="s">
        <v>35</v>
      </c>
      <c r="O841" t="str">
        <f>VLOOKUP(Table1[[#This Row],[Order ID]],Status!A:B, 2,FALSE)</f>
        <v>Returned</v>
      </c>
      <c r="P841" s="2" t="s">
        <v>36</v>
      </c>
      <c r="Q841" s="2">
        <v>3</v>
      </c>
      <c r="R841" s="2" t="s">
        <v>37</v>
      </c>
      <c r="S841" s="11" t="str">
        <f t="shared" si="68"/>
        <v>Standar</v>
      </c>
      <c r="T841" s="2" t="str">
        <f t="shared" si="69"/>
        <v>Sangat Rendah</v>
      </c>
    </row>
    <row r="842" spans="1:20" ht="15.75" customHeight="1" x14ac:dyDescent="0.3">
      <c r="A842" s="4" t="s">
        <v>1552</v>
      </c>
      <c r="B842" s="3">
        <v>45772.635474537034</v>
      </c>
      <c r="C842" s="2" t="s">
        <v>681</v>
      </c>
      <c r="D842" s="2" t="s">
        <v>262</v>
      </c>
      <c r="E842" s="2" t="s">
        <v>104</v>
      </c>
      <c r="F842" s="2">
        <v>30000</v>
      </c>
      <c r="G842" s="2">
        <v>1</v>
      </c>
      <c r="H842" s="2">
        <v>15</v>
      </c>
      <c r="I842">
        <f t="shared" si="65"/>
        <v>30000</v>
      </c>
      <c r="J842">
        <f t="shared" si="66"/>
        <v>4500</v>
      </c>
      <c r="K842" s="6">
        <f t="shared" si="67"/>
        <v>25500</v>
      </c>
      <c r="L842" s="2">
        <v>18000</v>
      </c>
      <c r="M842" s="6">
        <f>Table1[[#This Row],[Total Sales]]+Table1[[#This Row],[Shipping Fee]]</f>
        <v>43500</v>
      </c>
      <c r="N842" s="2" t="s">
        <v>22</v>
      </c>
      <c r="O842" t="str">
        <f>VLOOKUP(Table1[[#This Row],[Order ID]],Status!A:B, 2,FALSE)</f>
        <v>Returned</v>
      </c>
      <c r="P842" s="2" t="s">
        <v>36</v>
      </c>
      <c r="Q842" s="2">
        <v>4</v>
      </c>
      <c r="R842" s="2" t="s">
        <v>24</v>
      </c>
      <c r="S842" s="11" t="str">
        <f t="shared" si="68"/>
        <v>Bagus</v>
      </c>
      <c r="T842" s="2" t="str">
        <f t="shared" si="69"/>
        <v>Sangat Rendah</v>
      </c>
    </row>
    <row r="843" spans="1:20" ht="15.75" customHeight="1" x14ac:dyDescent="0.3">
      <c r="A843" s="4" t="s">
        <v>1551</v>
      </c>
      <c r="B843" s="3">
        <v>45772.542812500003</v>
      </c>
      <c r="C843" s="2" t="s">
        <v>1382</v>
      </c>
      <c r="D843" s="2" t="s">
        <v>74</v>
      </c>
      <c r="E843" s="2" t="s">
        <v>85</v>
      </c>
      <c r="F843" s="2">
        <v>35000</v>
      </c>
      <c r="G843" s="2">
        <v>2</v>
      </c>
      <c r="H843" s="2">
        <v>15</v>
      </c>
      <c r="I843">
        <f t="shared" si="65"/>
        <v>70000</v>
      </c>
      <c r="J843">
        <f t="shared" si="66"/>
        <v>10500</v>
      </c>
      <c r="K843" s="6">
        <f t="shared" si="67"/>
        <v>59500</v>
      </c>
      <c r="L843" s="2">
        <v>87000</v>
      </c>
      <c r="M843" s="6">
        <f>Table1[[#This Row],[Total Sales]]+Table1[[#This Row],[Shipping Fee]]</f>
        <v>146500</v>
      </c>
      <c r="N843" s="2" t="s">
        <v>29</v>
      </c>
      <c r="O843" t="str">
        <f>VLOOKUP(Table1[[#This Row],[Order ID]],Status!A:B, 2,FALSE)</f>
        <v>Completed</v>
      </c>
      <c r="P843" s="2" t="s">
        <v>36</v>
      </c>
      <c r="Q843" s="2">
        <v>3</v>
      </c>
      <c r="R843" s="2" t="s">
        <v>24</v>
      </c>
      <c r="S843" s="11" t="str">
        <f t="shared" si="68"/>
        <v>Standar</v>
      </c>
      <c r="T843" s="2" t="str">
        <f t="shared" si="69"/>
        <v>Normal</v>
      </c>
    </row>
    <row r="844" spans="1:20" ht="15.75" customHeight="1" x14ac:dyDescent="0.3">
      <c r="A844" s="4" t="s">
        <v>1550</v>
      </c>
      <c r="B844" s="3">
        <v>45772.479386574072</v>
      </c>
      <c r="C844" s="2" t="s">
        <v>379</v>
      </c>
      <c r="D844" s="2" t="s">
        <v>27</v>
      </c>
      <c r="E844" s="2" t="s">
        <v>21</v>
      </c>
      <c r="F844" s="2">
        <v>45000</v>
      </c>
      <c r="G844" s="2">
        <v>3</v>
      </c>
      <c r="H844" s="2">
        <v>20</v>
      </c>
      <c r="I844">
        <f t="shared" si="65"/>
        <v>135000</v>
      </c>
      <c r="J844">
        <f t="shared" si="66"/>
        <v>27000</v>
      </c>
      <c r="K844" s="6">
        <f t="shared" si="67"/>
        <v>108000</v>
      </c>
      <c r="L844" s="2">
        <v>17000</v>
      </c>
      <c r="M844" s="6">
        <f>Table1[[#This Row],[Total Sales]]+Table1[[#This Row],[Shipping Fee]]</f>
        <v>125000</v>
      </c>
      <c r="N844" s="2" t="s">
        <v>63</v>
      </c>
      <c r="O844" t="str">
        <f>VLOOKUP(Table1[[#This Row],[Order ID]],Status!A:B, 2,FALSE)</f>
        <v>Completed</v>
      </c>
      <c r="P844" s="2" t="s">
        <v>30</v>
      </c>
      <c r="Q844" s="2">
        <v>1</v>
      </c>
      <c r="R844" s="2" t="s">
        <v>24</v>
      </c>
      <c r="S844" s="11" t="str">
        <f t="shared" si="68"/>
        <v>Rendah</v>
      </c>
      <c r="T844" s="2" t="str">
        <f t="shared" si="69"/>
        <v>Tinggi</v>
      </c>
    </row>
    <row r="845" spans="1:20" ht="15.75" customHeight="1" x14ac:dyDescent="0.3">
      <c r="A845" s="4" t="s">
        <v>1549</v>
      </c>
      <c r="B845" s="3">
        <v>45772.276921296303</v>
      </c>
      <c r="C845" s="2" t="s">
        <v>844</v>
      </c>
      <c r="D845" s="2" t="s">
        <v>119</v>
      </c>
      <c r="E845" s="2" t="s">
        <v>93</v>
      </c>
      <c r="F845" s="2">
        <v>25000</v>
      </c>
      <c r="G845" s="2">
        <v>3</v>
      </c>
      <c r="H845" s="2">
        <v>15</v>
      </c>
      <c r="I845">
        <f t="shared" si="65"/>
        <v>75000</v>
      </c>
      <c r="J845">
        <f t="shared" si="66"/>
        <v>11250</v>
      </c>
      <c r="K845" s="6">
        <f t="shared" si="67"/>
        <v>63750</v>
      </c>
      <c r="L845" s="2">
        <v>0</v>
      </c>
      <c r="M845" s="6">
        <f>Table1[[#This Row],[Total Sales]]+Table1[[#This Row],[Shipping Fee]]</f>
        <v>63750</v>
      </c>
      <c r="N845" s="2" t="s">
        <v>29</v>
      </c>
      <c r="O845" t="str">
        <f>VLOOKUP(Table1[[#This Row],[Order ID]],Status!A:B, 2,FALSE)</f>
        <v>Completed</v>
      </c>
      <c r="P845" s="2" t="s">
        <v>46</v>
      </c>
      <c r="Q845" s="2">
        <v>3</v>
      </c>
      <c r="R845" s="2" t="s">
        <v>24</v>
      </c>
      <c r="S845" s="11" t="str">
        <f t="shared" si="68"/>
        <v>Standar</v>
      </c>
      <c r="T845" s="2" t="str">
        <f t="shared" si="69"/>
        <v>Normal</v>
      </c>
    </row>
    <row r="846" spans="1:20" ht="15.75" customHeight="1" x14ac:dyDescent="0.3">
      <c r="A846" s="4" t="s">
        <v>1548</v>
      </c>
      <c r="B846" s="3">
        <v>45772.230312500003</v>
      </c>
      <c r="C846" s="2" t="s">
        <v>488</v>
      </c>
      <c r="D846" s="2" t="s">
        <v>49</v>
      </c>
      <c r="E846" s="2" t="s">
        <v>110</v>
      </c>
      <c r="F846" s="2">
        <v>6000</v>
      </c>
      <c r="G846" s="2">
        <v>4</v>
      </c>
      <c r="H846" s="2">
        <v>20</v>
      </c>
      <c r="I846">
        <f t="shared" si="65"/>
        <v>24000</v>
      </c>
      <c r="J846">
        <f t="shared" si="66"/>
        <v>4800</v>
      </c>
      <c r="K846" s="6">
        <f t="shared" si="67"/>
        <v>19200</v>
      </c>
      <c r="L846" s="2">
        <v>43000</v>
      </c>
      <c r="M846" s="6">
        <f>Table1[[#This Row],[Total Sales]]+Table1[[#This Row],[Shipping Fee]]</f>
        <v>62200</v>
      </c>
      <c r="N846" s="2" t="s">
        <v>22</v>
      </c>
      <c r="O846" t="str">
        <f>VLOOKUP(Table1[[#This Row],[Order ID]],Status!A:B, 2,FALSE)</f>
        <v>Returned</v>
      </c>
      <c r="P846" s="2" t="s">
        <v>30</v>
      </c>
      <c r="Q846" s="2">
        <v>3</v>
      </c>
      <c r="R846" s="2" t="s">
        <v>24</v>
      </c>
      <c r="S846" s="11" t="str">
        <f t="shared" si="68"/>
        <v>Standar</v>
      </c>
      <c r="T846" s="2" t="str">
        <f t="shared" si="69"/>
        <v>Sangat Rendah</v>
      </c>
    </row>
    <row r="847" spans="1:20" ht="15.75" customHeight="1" x14ac:dyDescent="0.3">
      <c r="A847" s="4" t="s">
        <v>1547</v>
      </c>
      <c r="B847" s="3">
        <v>45771.835046296299</v>
      </c>
      <c r="C847" s="2" t="s">
        <v>287</v>
      </c>
      <c r="D847" s="2" t="s">
        <v>262</v>
      </c>
      <c r="E847" s="2" t="s">
        <v>110</v>
      </c>
      <c r="F847" s="2">
        <v>6000</v>
      </c>
      <c r="G847" s="2">
        <v>2</v>
      </c>
      <c r="H847" s="2">
        <v>15</v>
      </c>
      <c r="I847">
        <f t="shared" si="65"/>
        <v>12000</v>
      </c>
      <c r="J847">
        <f t="shared" si="66"/>
        <v>1800</v>
      </c>
      <c r="K847" s="6">
        <f t="shared" si="67"/>
        <v>10200</v>
      </c>
      <c r="L847" s="2">
        <v>18000</v>
      </c>
      <c r="M847" s="6">
        <f>Table1[[#This Row],[Total Sales]]+Table1[[#This Row],[Shipping Fee]]</f>
        <v>28200</v>
      </c>
      <c r="N847" s="2" t="s">
        <v>35</v>
      </c>
      <c r="O847" t="str">
        <f>VLOOKUP(Table1[[#This Row],[Order ID]],Status!A:B, 2,FALSE)</f>
        <v>Completed</v>
      </c>
      <c r="P847" s="2" t="s">
        <v>82</v>
      </c>
      <c r="Q847" s="2">
        <v>4</v>
      </c>
      <c r="R847" s="2" t="s">
        <v>24</v>
      </c>
      <c r="S847" s="11" t="str">
        <f t="shared" si="68"/>
        <v>Bagus</v>
      </c>
      <c r="T847" s="2" t="str">
        <f t="shared" si="69"/>
        <v>Sangat Rendah</v>
      </c>
    </row>
    <row r="848" spans="1:20" ht="15.75" customHeight="1" x14ac:dyDescent="0.3">
      <c r="A848" s="4" t="s">
        <v>1546</v>
      </c>
      <c r="B848" s="3">
        <v>45771.613807870373</v>
      </c>
      <c r="C848" s="2" t="s">
        <v>246</v>
      </c>
      <c r="D848" s="2" t="s">
        <v>238</v>
      </c>
      <c r="E848" s="2" t="s">
        <v>50</v>
      </c>
      <c r="F848" s="2">
        <v>14000</v>
      </c>
      <c r="G848" s="2">
        <v>5</v>
      </c>
      <c r="H848" s="2">
        <v>15</v>
      </c>
      <c r="I848">
        <f t="shared" si="65"/>
        <v>70000</v>
      </c>
      <c r="J848">
        <f t="shared" si="66"/>
        <v>10500</v>
      </c>
      <c r="K848" s="6">
        <f t="shared" si="67"/>
        <v>59500</v>
      </c>
      <c r="L848" s="2">
        <v>28000</v>
      </c>
      <c r="M848" s="6">
        <f>Table1[[#This Row],[Total Sales]]+Table1[[#This Row],[Shipping Fee]]</f>
        <v>87500</v>
      </c>
      <c r="N848" s="2" t="s">
        <v>22</v>
      </c>
      <c r="O848" t="str">
        <f>VLOOKUP(Table1[[#This Row],[Order ID]],Status!A:B, 2,FALSE)</f>
        <v>Completed</v>
      </c>
      <c r="P848" s="2" t="s">
        <v>23</v>
      </c>
      <c r="Q848" s="2">
        <v>4</v>
      </c>
      <c r="R848" s="2" t="s">
        <v>24</v>
      </c>
      <c r="S848" s="11" t="str">
        <f t="shared" si="68"/>
        <v>Bagus</v>
      </c>
      <c r="T848" s="2" t="str">
        <f t="shared" si="69"/>
        <v>Normal</v>
      </c>
    </row>
    <row r="849" spans="1:20" ht="15.75" customHeight="1" x14ac:dyDescent="0.3">
      <c r="A849" s="4" t="s">
        <v>1545</v>
      </c>
      <c r="B849" s="3">
        <v>45771.602141203701</v>
      </c>
      <c r="C849" s="2" t="s">
        <v>877</v>
      </c>
      <c r="D849" s="2" t="s">
        <v>107</v>
      </c>
      <c r="E849" s="2" t="s">
        <v>93</v>
      </c>
      <c r="F849" s="2">
        <v>25000</v>
      </c>
      <c r="G849" s="2">
        <v>1</v>
      </c>
      <c r="H849" s="2">
        <v>5</v>
      </c>
      <c r="I849">
        <f t="shared" si="65"/>
        <v>25000</v>
      </c>
      <c r="J849">
        <f t="shared" si="66"/>
        <v>1250</v>
      </c>
      <c r="K849" s="6">
        <f t="shared" si="67"/>
        <v>23750</v>
      </c>
      <c r="L849" s="2">
        <v>97000</v>
      </c>
      <c r="M849" s="6">
        <f>Table1[[#This Row],[Total Sales]]+Table1[[#This Row],[Shipping Fee]]</f>
        <v>120750</v>
      </c>
      <c r="N849" s="2" t="s">
        <v>22</v>
      </c>
      <c r="O849" t="str">
        <f>VLOOKUP(Table1[[#This Row],[Order ID]],Status!A:B, 2,FALSE)</f>
        <v>Completed</v>
      </c>
      <c r="P849" s="2" t="s">
        <v>36</v>
      </c>
      <c r="Q849" s="2">
        <v>3</v>
      </c>
      <c r="R849" s="2" t="s">
        <v>24</v>
      </c>
      <c r="S849" s="11" t="str">
        <f t="shared" si="68"/>
        <v>Standar</v>
      </c>
      <c r="T849" s="2" t="str">
        <f t="shared" si="69"/>
        <v>Sangat Rendah</v>
      </c>
    </row>
    <row r="850" spans="1:20" ht="15.75" customHeight="1" x14ac:dyDescent="0.3">
      <c r="A850" s="4" t="s">
        <v>1544</v>
      </c>
      <c r="B850" s="3">
        <v>45770.838750000003</v>
      </c>
      <c r="C850" s="2" t="s">
        <v>549</v>
      </c>
      <c r="D850" s="2" t="s">
        <v>107</v>
      </c>
      <c r="E850" s="2" t="s">
        <v>62</v>
      </c>
      <c r="F850" s="2">
        <v>50000</v>
      </c>
      <c r="G850" s="2">
        <v>2</v>
      </c>
      <c r="H850" s="2">
        <v>20</v>
      </c>
      <c r="I850">
        <f t="shared" si="65"/>
        <v>100000</v>
      </c>
      <c r="J850">
        <f t="shared" si="66"/>
        <v>20000</v>
      </c>
      <c r="K850" s="6">
        <f t="shared" si="67"/>
        <v>80000</v>
      </c>
      <c r="L850" s="2">
        <v>97000</v>
      </c>
      <c r="M850" s="6">
        <f>Table1[[#This Row],[Total Sales]]+Table1[[#This Row],[Shipping Fee]]</f>
        <v>177000</v>
      </c>
      <c r="N850" s="2" t="s">
        <v>29</v>
      </c>
      <c r="O850" t="str">
        <f>VLOOKUP(Table1[[#This Row],[Order ID]],Status!A:B, 2,FALSE)</f>
        <v>Completed</v>
      </c>
      <c r="P850" s="2" t="s">
        <v>30</v>
      </c>
      <c r="Q850" s="2">
        <v>1</v>
      </c>
      <c r="R850" s="2" t="s">
        <v>24</v>
      </c>
      <c r="S850" s="11" t="str">
        <f t="shared" si="68"/>
        <v>Rendah</v>
      </c>
      <c r="T850" s="2" t="str">
        <f t="shared" si="69"/>
        <v>Normal</v>
      </c>
    </row>
    <row r="851" spans="1:20" ht="15.75" customHeight="1" x14ac:dyDescent="0.3">
      <c r="A851" s="4" t="s">
        <v>1543</v>
      </c>
      <c r="B851" s="3">
        <v>45770.734953703701</v>
      </c>
      <c r="C851" s="2" t="s">
        <v>570</v>
      </c>
      <c r="D851" s="2" t="s">
        <v>80</v>
      </c>
      <c r="E851" s="2" t="s">
        <v>85</v>
      </c>
      <c r="F851" s="2">
        <v>35000</v>
      </c>
      <c r="G851" s="2">
        <v>2</v>
      </c>
      <c r="H851" s="2">
        <v>15</v>
      </c>
      <c r="I851">
        <f t="shared" si="65"/>
        <v>70000</v>
      </c>
      <c r="J851">
        <f t="shared" si="66"/>
        <v>10500</v>
      </c>
      <c r="K851" s="6">
        <f t="shared" si="67"/>
        <v>59500</v>
      </c>
      <c r="L851" s="2">
        <v>74000</v>
      </c>
      <c r="M851" s="6">
        <f>Table1[[#This Row],[Total Sales]]+Table1[[#This Row],[Shipping Fee]]</f>
        <v>133500</v>
      </c>
      <c r="N851" s="2" t="s">
        <v>63</v>
      </c>
      <c r="O851" t="str">
        <f>VLOOKUP(Table1[[#This Row],[Order ID]],Status!A:B, 2,FALSE)</f>
        <v>Cancelled</v>
      </c>
      <c r="P851" s="2" t="s">
        <v>82</v>
      </c>
      <c r="Q851" s="2">
        <v>1</v>
      </c>
      <c r="R851" s="2" t="s">
        <v>24</v>
      </c>
      <c r="S851" s="11" t="str">
        <f t="shared" si="68"/>
        <v>Rendah</v>
      </c>
      <c r="T851" s="2" t="str">
        <f t="shared" si="69"/>
        <v>Normal</v>
      </c>
    </row>
    <row r="852" spans="1:20" ht="15.75" customHeight="1" x14ac:dyDescent="0.3">
      <c r="A852" s="4" t="s">
        <v>1542</v>
      </c>
      <c r="B852" s="3">
        <v>45770.479027777779</v>
      </c>
      <c r="C852" s="2" t="s">
        <v>576</v>
      </c>
      <c r="D852" s="2" t="s">
        <v>57</v>
      </c>
      <c r="E852" s="2" t="s">
        <v>71</v>
      </c>
      <c r="F852" s="2">
        <v>40000</v>
      </c>
      <c r="G852" s="2">
        <v>3</v>
      </c>
      <c r="H852" s="2">
        <v>0</v>
      </c>
      <c r="I852">
        <f t="shared" si="65"/>
        <v>120000</v>
      </c>
      <c r="J852">
        <f t="shared" si="66"/>
        <v>0</v>
      </c>
      <c r="K852" s="6">
        <f t="shared" si="67"/>
        <v>120000</v>
      </c>
      <c r="L852" s="2">
        <v>80000</v>
      </c>
      <c r="M852" s="6">
        <f>Table1[[#This Row],[Total Sales]]+Table1[[#This Row],[Shipping Fee]]</f>
        <v>200000</v>
      </c>
      <c r="N852" s="2" t="s">
        <v>63</v>
      </c>
      <c r="O852" t="str">
        <f>VLOOKUP(Table1[[#This Row],[Order ID]],Status!A:B, 2,FALSE)</f>
        <v>Completed</v>
      </c>
      <c r="P852" s="2" t="s">
        <v>36</v>
      </c>
      <c r="Q852" s="2">
        <v>5</v>
      </c>
      <c r="R852" s="2" t="s">
        <v>37</v>
      </c>
      <c r="S852" s="11" t="str">
        <f t="shared" si="68"/>
        <v>Bagus</v>
      </c>
      <c r="T852" s="2" t="str">
        <f t="shared" si="69"/>
        <v>Sangat Rendah</v>
      </c>
    </row>
    <row r="853" spans="1:20" ht="15.75" customHeight="1" x14ac:dyDescent="0.3">
      <c r="A853" s="4" t="s">
        <v>1541</v>
      </c>
      <c r="B853" s="3">
        <v>45770.4606712963</v>
      </c>
      <c r="C853" s="2" t="s">
        <v>267</v>
      </c>
      <c r="D853" s="2" t="s">
        <v>131</v>
      </c>
      <c r="E853" s="2" t="s">
        <v>88</v>
      </c>
      <c r="F853" s="2">
        <v>14000</v>
      </c>
      <c r="G853" s="2">
        <v>1</v>
      </c>
      <c r="H853" s="2">
        <v>10</v>
      </c>
      <c r="I853">
        <f t="shared" si="65"/>
        <v>14000</v>
      </c>
      <c r="J853">
        <f t="shared" si="66"/>
        <v>1400</v>
      </c>
      <c r="K853" s="6">
        <f t="shared" si="67"/>
        <v>12600</v>
      </c>
      <c r="L853" s="2">
        <v>59000</v>
      </c>
      <c r="M853" s="6">
        <f>Table1[[#This Row],[Total Sales]]+Table1[[#This Row],[Shipping Fee]]</f>
        <v>71600</v>
      </c>
      <c r="N853" s="2" t="s">
        <v>22</v>
      </c>
      <c r="O853" t="str">
        <f>VLOOKUP(Table1[[#This Row],[Order ID]],Status!A:B, 2,FALSE)</f>
        <v>Returned</v>
      </c>
      <c r="P853" s="2" t="s">
        <v>46</v>
      </c>
      <c r="Q853" s="2">
        <v>5</v>
      </c>
      <c r="R853" s="2" t="s">
        <v>24</v>
      </c>
      <c r="S853" s="11" t="str">
        <f t="shared" si="68"/>
        <v>Bagus</v>
      </c>
      <c r="T853" s="2" t="str">
        <f t="shared" si="69"/>
        <v>Sangat Rendah</v>
      </c>
    </row>
    <row r="854" spans="1:20" ht="15.75" customHeight="1" x14ac:dyDescent="0.3">
      <c r="A854" s="4" t="s">
        <v>1540</v>
      </c>
      <c r="B854" s="3">
        <v>45770.167627314811</v>
      </c>
      <c r="C854" s="2" t="s">
        <v>285</v>
      </c>
      <c r="D854" s="2" t="s">
        <v>20</v>
      </c>
      <c r="E854" s="2" t="s">
        <v>75</v>
      </c>
      <c r="F854" s="2">
        <v>55000</v>
      </c>
      <c r="G854" s="2">
        <v>4</v>
      </c>
      <c r="H854" s="2">
        <v>5</v>
      </c>
      <c r="I854">
        <f t="shared" si="65"/>
        <v>220000</v>
      </c>
      <c r="J854">
        <f t="shared" si="66"/>
        <v>11000</v>
      </c>
      <c r="K854" s="6">
        <f t="shared" si="67"/>
        <v>209000</v>
      </c>
      <c r="L854" s="2">
        <v>15000</v>
      </c>
      <c r="M854" s="6">
        <f>Table1[[#This Row],[Total Sales]]+Table1[[#This Row],[Shipping Fee]]</f>
        <v>224000</v>
      </c>
      <c r="N854" s="2" t="s">
        <v>22</v>
      </c>
      <c r="O854" t="str">
        <f>VLOOKUP(Table1[[#This Row],[Order ID]],Status!A:B, 2,FALSE)</f>
        <v>Completed</v>
      </c>
      <c r="P854" s="2" t="s">
        <v>82</v>
      </c>
      <c r="Q854" s="2">
        <v>2</v>
      </c>
      <c r="R854" s="2" t="s">
        <v>37</v>
      </c>
      <c r="S854" s="11" t="str">
        <f t="shared" si="68"/>
        <v>Rendah</v>
      </c>
      <c r="T854" s="2" t="str">
        <f t="shared" si="69"/>
        <v>Normal</v>
      </c>
    </row>
    <row r="855" spans="1:20" ht="15.75" customHeight="1" x14ac:dyDescent="0.3">
      <c r="A855" s="4" t="s">
        <v>1539</v>
      </c>
      <c r="B855" s="3">
        <v>45770.014398148152</v>
      </c>
      <c r="C855" s="2" t="s">
        <v>410</v>
      </c>
      <c r="D855" s="2" t="s">
        <v>151</v>
      </c>
      <c r="E855" s="2" t="s">
        <v>45</v>
      </c>
      <c r="F855" s="2">
        <v>40000</v>
      </c>
      <c r="G855" s="2">
        <v>3</v>
      </c>
      <c r="H855" s="2">
        <v>10</v>
      </c>
      <c r="I855">
        <f t="shared" si="65"/>
        <v>120000</v>
      </c>
      <c r="J855">
        <f t="shared" si="66"/>
        <v>12000</v>
      </c>
      <c r="K855" s="6">
        <f t="shared" si="67"/>
        <v>108000</v>
      </c>
      <c r="L855" s="2">
        <v>55000</v>
      </c>
      <c r="M855" s="6">
        <f>Table1[[#This Row],[Total Sales]]+Table1[[#This Row],[Shipping Fee]]</f>
        <v>163000</v>
      </c>
      <c r="N855" s="2" t="s">
        <v>29</v>
      </c>
      <c r="O855" t="str">
        <f>VLOOKUP(Table1[[#This Row],[Order ID]],Status!A:B, 2,FALSE)</f>
        <v>Completed</v>
      </c>
      <c r="P855" s="2" t="s">
        <v>36</v>
      </c>
      <c r="Q855" s="2">
        <v>2</v>
      </c>
      <c r="R855" s="2" t="s">
        <v>24</v>
      </c>
      <c r="S855" s="11" t="str">
        <f t="shared" si="68"/>
        <v>Rendah</v>
      </c>
      <c r="T855" s="2" t="str">
        <f t="shared" si="69"/>
        <v>Normal</v>
      </c>
    </row>
    <row r="856" spans="1:20" ht="15.75" customHeight="1" x14ac:dyDescent="0.3">
      <c r="A856" s="4" t="s">
        <v>1538</v>
      </c>
      <c r="B856" s="3">
        <v>45769.62190972222</v>
      </c>
      <c r="C856" s="2" t="s">
        <v>1348</v>
      </c>
      <c r="D856" s="2" t="s">
        <v>296</v>
      </c>
      <c r="E856" s="2" t="s">
        <v>190</v>
      </c>
      <c r="F856" s="2">
        <v>35000</v>
      </c>
      <c r="G856" s="2">
        <v>5</v>
      </c>
      <c r="H856" s="2">
        <v>15</v>
      </c>
      <c r="I856">
        <f t="shared" si="65"/>
        <v>175000</v>
      </c>
      <c r="J856">
        <f t="shared" si="66"/>
        <v>26250</v>
      </c>
      <c r="K856" s="6">
        <f t="shared" si="67"/>
        <v>148750</v>
      </c>
      <c r="L856" s="2">
        <v>79000</v>
      </c>
      <c r="M856" s="6">
        <f>Table1[[#This Row],[Total Sales]]+Table1[[#This Row],[Shipping Fee]]</f>
        <v>227750</v>
      </c>
      <c r="N856" s="2" t="s">
        <v>63</v>
      </c>
      <c r="O856" t="str">
        <f>VLOOKUP(Table1[[#This Row],[Order ID]],Status!A:B, 2,FALSE)</f>
        <v>Completed</v>
      </c>
      <c r="P856" s="2" t="s">
        <v>23</v>
      </c>
      <c r="Q856" s="2">
        <v>4</v>
      </c>
      <c r="R856" s="2" t="s">
        <v>24</v>
      </c>
      <c r="S856" s="11" t="str">
        <f t="shared" si="68"/>
        <v>Bagus</v>
      </c>
      <c r="T856" s="2" t="str">
        <f t="shared" si="69"/>
        <v>Tinggi</v>
      </c>
    </row>
    <row r="857" spans="1:20" ht="15.75" customHeight="1" x14ac:dyDescent="0.3">
      <c r="A857" s="4" t="s">
        <v>1537</v>
      </c>
      <c r="B857" s="3">
        <v>45769.384467592587</v>
      </c>
      <c r="C857" s="2" t="s">
        <v>314</v>
      </c>
      <c r="D857" s="2" t="s">
        <v>113</v>
      </c>
      <c r="E857" s="2" t="s">
        <v>67</v>
      </c>
      <c r="F857" s="2">
        <v>15000</v>
      </c>
      <c r="G857" s="2">
        <v>1</v>
      </c>
      <c r="H857" s="2">
        <v>10</v>
      </c>
      <c r="I857">
        <f t="shared" si="65"/>
        <v>15000</v>
      </c>
      <c r="J857">
        <f t="shared" si="66"/>
        <v>1500</v>
      </c>
      <c r="K857" s="6">
        <f t="shared" si="67"/>
        <v>13500</v>
      </c>
      <c r="L857" s="2">
        <v>18000</v>
      </c>
      <c r="M857" s="6">
        <f>Table1[[#This Row],[Total Sales]]+Table1[[#This Row],[Shipping Fee]]</f>
        <v>31500</v>
      </c>
      <c r="N857" s="2" t="s">
        <v>22</v>
      </c>
      <c r="O857" t="str">
        <f>VLOOKUP(Table1[[#This Row],[Order ID]],Status!A:B, 2,FALSE)</f>
        <v>Completed</v>
      </c>
      <c r="P857" s="2" t="s">
        <v>30</v>
      </c>
      <c r="Q857" s="2">
        <v>3</v>
      </c>
      <c r="R857" s="2" t="s">
        <v>24</v>
      </c>
      <c r="S857" s="11" t="str">
        <f t="shared" si="68"/>
        <v>Standar</v>
      </c>
      <c r="T857" s="2" t="str">
        <f t="shared" si="69"/>
        <v>Sangat Rendah</v>
      </c>
    </row>
    <row r="858" spans="1:20" ht="15.75" customHeight="1" x14ac:dyDescent="0.3">
      <c r="A858" s="4" t="s">
        <v>1536</v>
      </c>
      <c r="B858" s="3">
        <v>45769.297523148147</v>
      </c>
      <c r="C858" s="2" t="s">
        <v>1418</v>
      </c>
      <c r="D858" s="2" t="s">
        <v>262</v>
      </c>
      <c r="E858" s="2" t="s">
        <v>123</v>
      </c>
      <c r="F858" s="2">
        <v>22000</v>
      </c>
      <c r="G858" s="2">
        <v>4</v>
      </c>
      <c r="H858" s="2">
        <v>10</v>
      </c>
      <c r="I858">
        <f t="shared" si="65"/>
        <v>88000</v>
      </c>
      <c r="J858">
        <f t="shared" si="66"/>
        <v>8800</v>
      </c>
      <c r="K858" s="6">
        <f t="shared" si="67"/>
        <v>79200</v>
      </c>
      <c r="L858" s="2">
        <v>18000</v>
      </c>
      <c r="M858" s="6">
        <f>Table1[[#This Row],[Total Sales]]+Table1[[#This Row],[Shipping Fee]]</f>
        <v>97200</v>
      </c>
      <c r="N858" s="2" t="s">
        <v>29</v>
      </c>
      <c r="O858" t="str">
        <f>VLOOKUP(Table1[[#This Row],[Order ID]],Status!A:B, 2,FALSE)</f>
        <v>Completed</v>
      </c>
      <c r="P858" s="2" t="s">
        <v>23</v>
      </c>
      <c r="Q858" s="2">
        <v>5</v>
      </c>
      <c r="R858" s="2" t="s">
        <v>24</v>
      </c>
      <c r="S858" s="11" t="str">
        <f t="shared" si="68"/>
        <v>Bagus</v>
      </c>
      <c r="T858" s="2" t="str">
        <f t="shared" si="69"/>
        <v>Rendah</v>
      </c>
    </row>
    <row r="859" spans="1:20" ht="15.75" customHeight="1" x14ac:dyDescent="0.3">
      <c r="A859" s="4" t="s">
        <v>1535</v>
      </c>
      <c r="B859" s="3">
        <v>45769.240497685183</v>
      </c>
      <c r="C859" s="2" t="s">
        <v>708</v>
      </c>
      <c r="D859" s="2" t="s">
        <v>116</v>
      </c>
      <c r="E859" s="2" t="s">
        <v>75</v>
      </c>
      <c r="F859" s="2">
        <v>55000</v>
      </c>
      <c r="G859" s="2">
        <v>5</v>
      </c>
      <c r="H859" s="2">
        <v>5</v>
      </c>
      <c r="I859">
        <f t="shared" si="65"/>
        <v>275000</v>
      </c>
      <c r="J859">
        <f t="shared" si="66"/>
        <v>13750</v>
      </c>
      <c r="K859" s="6">
        <f t="shared" si="67"/>
        <v>261250</v>
      </c>
      <c r="L859" s="2">
        <v>72000</v>
      </c>
      <c r="M859" s="6">
        <f>Table1[[#This Row],[Total Sales]]+Table1[[#This Row],[Shipping Fee]]</f>
        <v>333250</v>
      </c>
      <c r="N859" s="2" t="s">
        <v>63</v>
      </c>
      <c r="O859" t="str">
        <f>VLOOKUP(Table1[[#This Row],[Order ID]],Status!A:B, 2,FALSE)</f>
        <v>Completed</v>
      </c>
      <c r="P859" s="2" t="s">
        <v>36</v>
      </c>
      <c r="Q859" s="2">
        <v>5</v>
      </c>
      <c r="R859" s="2" t="s">
        <v>24</v>
      </c>
      <c r="S859" s="11" t="str">
        <f t="shared" si="68"/>
        <v>Bagus</v>
      </c>
      <c r="T859" s="2" t="str">
        <f t="shared" si="69"/>
        <v>Normal</v>
      </c>
    </row>
    <row r="860" spans="1:20" ht="15.75" customHeight="1" x14ac:dyDescent="0.3">
      <c r="A860" s="4" t="s">
        <v>1534</v>
      </c>
      <c r="B860" s="3">
        <v>45769.019166666672</v>
      </c>
      <c r="C860" s="2" t="s">
        <v>335</v>
      </c>
      <c r="D860" s="2" t="s">
        <v>80</v>
      </c>
      <c r="E860" s="2" t="s">
        <v>138</v>
      </c>
      <c r="F860" s="2">
        <v>17000</v>
      </c>
      <c r="G860" s="2">
        <v>5</v>
      </c>
      <c r="H860" s="2">
        <v>15</v>
      </c>
      <c r="I860">
        <f t="shared" si="65"/>
        <v>85000</v>
      </c>
      <c r="J860">
        <f t="shared" si="66"/>
        <v>12750</v>
      </c>
      <c r="K860" s="6">
        <f t="shared" si="67"/>
        <v>72250</v>
      </c>
      <c r="L860" s="2">
        <v>74000</v>
      </c>
      <c r="M860" s="6">
        <f>Table1[[#This Row],[Total Sales]]+Table1[[#This Row],[Shipping Fee]]</f>
        <v>146250</v>
      </c>
      <c r="N860" s="2" t="s">
        <v>35</v>
      </c>
      <c r="O860" t="str">
        <f>VLOOKUP(Table1[[#This Row],[Order ID]],Status!A:B, 2,FALSE)</f>
        <v>Cancelled</v>
      </c>
      <c r="P860" s="2" t="s">
        <v>46</v>
      </c>
      <c r="Q860" s="2">
        <v>2</v>
      </c>
      <c r="R860" s="2" t="s">
        <v>37</v>
      </c>
      <c r="S860" s="11" t="str">
        <f t="shared" si="68"/>
        <v>Rendah</v>
      </c>
      <c r="T860" s="2" t="str">
        <f t="shared" si="69"/>
        <v>Normal</v>
      </c>
    </row>
    <row r="861" spans="1:20" ht="15.75" customHeight="1" x14ac:dyDescent="0.3">
      <c r="A861" s="4" t="s">
        <v>1533</v>
      </c>
      <c r="B861" s="3">
        <v>45768.241712962961</v>
      </c>
      <c r="C861" s="2" t="s">
        <v>125</v>
      </c>
      <c r="D861" s="2" t="s">
        <v>126</v>
      </c>
      <c r="E861" s="2" t="s">
        <v>21</v>
      </c>
      <c r="F861" s="2">
        <v>45000</v>
      </c>
      <c r="G861" s="2">
        <v>2</v>
      </c>
      <c r="H861" s="2">
        <v>10</v>
      </c>
      <c r="I861">
        <f t="shared" si="65"/>
        <v>90000</v>
      </c>
      <c r="J861">
        <f t="shared" si="66"/>
        <v>9000</v>
      </c>
      <c r="K861" s="6">
        <f t="shared" si="67"/>
        <v>81000</v>
      </c>
      <c r="L861" s="2">
        <v>84000</v>
      </c>
      <c r="M861" s="6">
        <f>Table1[[#This Row],[Total Sales]]+Table1[[#This Row],[Shipping Fee]]</f>
        <v>165000</v>
      </c>
      <c r="N861" s="2" t="s">
        <v>63</v>
      </c>
      <c r="O861" t="str">
        <f>VLOOKUP(Table1[[#This Row],[Order ID]],Status!A:B, 2,FALSE)</f>
        <v>Completed</v>
      </c>
      <c r="P861" s="2" t="s">
        <v>36</v>
      </c>
      <c r="Q861" s="2">
        <v>5</v>
      </c>
      <c r="R861" s="2" t="s">
        <v>24</v>
      </c>
      <c r="S861" s="11" t="str">
        <f t="shared" si="68"/>
        <v>Bagus</v>
      </c>
      <c r="T861" s="2" t="str">
        <f t="shared" si="69"/>
        <v>Rendah</v>
      </c>
    </row>
    <row r="862" spans="1:20" ht="15.75" customHeight="1" x14ac:dyDescent="0.3">
      <c r="A862" s="4" t="s">
        <v>1532</v>
      </c>
      <c r="B862" s="3">
        <v>45768.234861111108</v>
      </c>
      <c r="C862" s="2" t="s">
        <v>703</v>
      </c>
      <c r="D862" s="2" t="s">
        <v>122</v>
      </c>
      <c r="E862" s="2" t="s">
        <v>123</v>
      </c>
      <c r="F862" s="2">
        <v>22000</v>
      </c>
      <c r="G862" s="2">
        <v>4</v>
      </c>
      <c r="H862" s="2">
        <v>0</v>
      </c>
      <c r="I862">
        <f t="shared" si="65"/>
        <v>88000</v>
      </c>
      <c r="J862">
        <f t="shared" si="66"/>
        <v>0</v>
      </c>
      <c r="K862" s="6">
        <f t="shared" si="67"/>
        <v>88000</v>
      </c>
      <c r="L862" s="2">
        <v>78000</v>
      </c>
      <c r="M862" s="6">
        <f>Table1[[#This Row],[Total Sales]]+Table1[[#This Row],[Shipping Fee]]</f>
        <v>166000</v>
      </c>
      <c r="N862" s="2" t="s">
        <v>29</v>
      </c>
      <c r="O862" t="str">
        <f>VLOOKUP(Table1[[#This Row],[Order ID]],Status!A:B, 2,FALSE)</f>
        <v>Completed</v>
      </c>
      <c r="P862" s="2" t="s">
        <v>23</v>
      </c>
      <c r="Q862" s="2">
        <v>3</v>
      </c>
      <c r="R862" s="2" t="s">
        <v>24</v>
      </c>
      <c r="S862" s="11" t="str">
        <f t="shared" si="68"/>
        <v>Standar</v>
      </c>
      <c r="T862" s="2" t="str">
        <f t="shared" si="69"/>
        <v>Sangat Rendah</v>
      </c>
    </row>
    <row r="863" spans="1:20" ht="15.75" customHeight="1" x14ac:dyDescent="0.3">
      <c r="A863" s="4" t="s">
        <v>1531</v>
      </c>
      <c r="B863" s="3">
        <v>45768.227905092594</v>
      </c>
      <c r="C863" s="2" t="s">
        <v>891</v>
      </c>
      <c r="D863" s="2" t="s">
        <v>126</v>
      </c>
      <c r="E863" s="2" t="s">
        <v>75</v>
      </c>
      <c r="F863" s="2">
        <v>55000</v>
      </c>
      <c r="G863" s="2">
        <v>5</v>
      </c>
      <c r="H863" s="2">
        <v>15</v>
      </c>
      <c r="I863">
        <f t="shared" si="65"/>
        <v>275000</v>
      </c>
      <c r="J863">
        <f t="shared" si="66"/>
        <v>41250</v>
      </c>
      <c r="K863" s="6">
        <f t="shared" si="67"/>
        <v>233750</v>
      </c>
      <c r="L863" s="2">
        <v>84000</v>
      </c>
      <c r="M863" s="6">
        <f>Table1[[#This Row],[Total Sales]]+Table1[[#This Row],[Shipping Fee]]</f>
        <v>317750</v>
      </c>
      <c r="N863" s="2" t="s">
        <v>63</v>
      </c>
      <c r="O863" t="str">
        <f>VLOOKUP(Table1[[#This Row],[Order ID]],Status!A:B, 2,FALSE)</f>
        <v>Returned</v>
      </c>
      <c r="P863" s="2" t="s">
        <v>46</v>
      </c>
      <c r="Q863" s="2">
        <v>1</v>
      </c>
      <c r="R863" s="2" t="s">
        <v>37</v>
      </c>
      <c r="S863" s="11" t="str">
        <f t="shared" si="68"/>
        <v>Rendah</v>
      </c>
      <c r="T863" s="2" t="str">
        <f t="shared" si="69"/>
        <v>Sangat Tinggi</v>
      </c>
    </row>
    <row r="864" spans="1:20" ht="15.75" customHeight="1" x14ac:dyDescent="0.3">
      <c r="A864" s="4" t="s">
        <v>1529</v>
      </c>
      <c r="B864" s="3">
        <v>45767.8983912037</v>
      </c>
      <c r="C864" s="2" t="s">
        <v>1530</v>
      </c>
      <c r="D864" s="2" t="s">
        <v>122</v>
      </c>
      <c r="E864" s="2" t="s">
        <v>138</v>
      </c>
      <c r="F864" s="2">
        <v>17000</v>
      </c>
      <c r="G864" s="2">
        <v>2</v>
      </c>
      <c r="H864" s="2">
        <v>5</v>
      </c>
      <c r="I864">
        <f t="shared" si="65"/>
        <v>34000</v>
      </c>
      <c r="J864">
        <f t="shared" si="66"/>
        <v>1700</v>
      </c>
      <c r="K864" s="6">
        <f t="shared" si="67"/>
        <v>32300</v>
      </c>
      <c r="L864" s="2">
        <v>78000</v>
      </c>
      <c r="M864" s="6">
        <f>Table1[[#This Row],[Total Sales]]+Table1[[#This Row],[Shipping Fee]]</f>
        <v>110300</v>
      </c>
      <c r="N864" s="2" t="s">
        <v>63</v>
      </c>
      <c r="O864" t="str">
        <f>VLOOKUP(Table1[[#This Row],[Order ID]],Status!A:B, 2,FALSE)</f>
        <v>Returned</v>
      </c>
      <c r="P864" s="2" t="s">
        <v>30</v>
      </c>
      <c r="Q864" s="2">
        <v>2</v>
      </c>
      <c r="R864" s="2" t="s">
        <v>24</v>
      </c>
      <c r="S864" s="11" t="str">
        <f t="shared" si="68"/>
        <v>Rendah</v>
      </c>
      <c r="T864" s="2" t="str">
        <f t="shared" si="69"/>
        <v>Sangat Rendah</v>
      </c>
    </row>
    <row r="865" spans="1:20" ht="15.75" customHeight="1" x14ac:dyDescent="0.3">
      <c r="A865" s="4" t="s">
        <v>1528</v>
      </c>
      <c r="B865" s="3">
        <v>45767.893483796302</v>
      </c>
      <c r="C865" s="2" t="s">
        <v>794</v>
      </c>
      <c r="D865" s="2" t="s">
        <v>61</v>
      </c>
      <c r="E865" s="2" t="s">
        <v>21</v>
      </c>
      <c r="F865" s="2">
        <v>45000</v>
      </c>
      <c r="G865" s="2">
        <v>5</v>
      </c>
      <c r="H865" s="2">
        <v>5</v>
      </c>
      <c r="I865">
        <f t="shared" si="65"/>
        <v>225000</v>
      </c>
      <c r="J865">
        <f t="shared" si="66"/>
        <v>11250</v>
      </c>
      <c r="K865" s="6">
        <f t="shared" si="67"/>
        <v>213750</v>
      </c>
      <c r="L865" s="2">
        <v>26000</v>
      </c>
      <c r="M865" s="6">
        <f>Table1[[#This Row],[Total Sales]]+Table1[[#This Row],[Shipping Fee]]</f>
        <v>239750</v>
      </c>
      <c r="N865" s="2" t="s">
        <v>29</v>
      </c>
      <c r="O865" t="str">
        <f>VLOOKUP(Table1[[#This Row],[Order ID]],Status!A:B, 2,FALSE)</f>
        <v>Completed</v>
      </c>
      <c r="P865" s="2" t="s">
        <v>23</v>
      </c>
      <c r="Q865" s="2">
        <v>5</v>
      </c>
      <c r="R865" s="2" t="s">
        <v>37</v>
      </c>
      <c r="S865" s="11" t="str">
        <f t="shared" si="68"/>
        <v>Bagus</v>
      </c>
      <c r="T865" s="2" t="str">
        <f t="shared" si="69"/>
        <v>Normal</v>
      </c>
    </row>
    <row r="866" spans="1:20" ht="15.75" customHeight="1" x14ac:dyDescent="0.3">
      <c r="A866" s="4" t="s">
        <v>1527</v>
      </c>
      <c r="B866" s="3">
        <v>45767.371342592603</v>
      </c>
      <c r="C866" s="2" t="s">
        <v>666</v>
      </c>
      <c r="D866" s="2" t="s">
        <v>66</v>
      </c>
      <c r="E866" s="2" t="s">
        <v>62</v>
      </c>
      <c r="F866" s="2">
        <v>50000</v>
      </c>
      <c r="G866" s="2">
        <v>1</v>
      </c>
      <c r="H866" s="2">
        <v>0</v>
      </c>
      <c r="I866">
        <f t="shared" si="65"/>
        <v>50000</v>
      </c>
      <c r="J866">
        <f t="shared" si="66"/>
        <v>0</v>
      </c>
      <c r="K866" s="6">
        <f t="shared" si="67"/>
        <v>50000</v>
      </c>
      <c r="L866" s="2">
        <v>59000</v>
      </c>
      <c r="M866" s="6">
        <f>Table1[[#This Row],[Total Sales]]+Table1[[#This Row],[Shipping Fee]]</f>
        <v>109000</v>
      </c>
      <c r="N866" s="2" t="s">
        <v>35</v>
      </c>
      <c r="O866" t="str">
        <f>VLOOKUP(Table1[[#This Row],[Order ID]],Status!A:B, 2,FALSE)</f>
        <v>Completed</v>
      </c>
      <c r="P866" s="2" t="s">
        <v>82</v>
      </c>
      <c r="Q866" s="2">
        <v>1</v>
      </c>
      <c r="R866" s="2" t="s">
        <v>24</v>
      </c>
      <c r="S866" s="11" t="str">
        <f t="shared" si="68"/>
        <v>Rendah</v>
      </c>
      <c r="T866" s="2" t="str">
        <f t="shared" si="69"/>
        <v>Sangat Rendah</v>
      </c>
    </row>
    <row r="867" spans="1:20" ht="15.75" customHeight="1" x14ac:dyDescent="0.3">
      <c r="A867" s="4" t="s">
        <v>1526</v>
      </c>
      <c r="B867" s="3">
        <v>45767.189675925933</v>
      </c>
      <c r="C867" s="2" t="s">
        <v>95</v>
      </c>
      <c r="D867" s="2" t="s">
        <v>96</v>
      </c>
      <c r="E867" s="2" t="s">
        <v>21</v>
      </c>
      <c r="F867" s="2">
        <v>45000</v>
      </c>
      <c r="G867" s="2">
        <v>2</v>
      </c>
      <c r="H867" s="2">
        <v>20</v>
      </c>
      <c r="I867">
        <f t="shared" si="65"/>
        <v>90000</v>
      </c>
      <c r="J867">
        <f t="shared" si="66"/>
        <v>18000</v>
      </c>
      <c r="K867" s="6">
        <f t="shared" si="67"/>
        <v>72000</v>
      </c>
      <c r="L867" s="2">
        <v>49000</v>
      </c>
      <c r="M867" s="6">
        <f>Table1[[#This Row],[Total Sales]]+Table1[[#This Row],[Shipping Fee]]</f>
        <v>121000</v>
      </c>
      <c r="N867" s="2" t="s">
        <v>35</v>
      </c>
      <c r="O867" t="str">
        <f>VLOOKUP(Table1[[#This Row],[Order ID]],Status!A:B, 2,FALSE)</f>
        <v>Cancelled</v>
      </c>
      <c r="P867" s="2" t="s">
        <v>36</v>
      </c>
      <c r="Q867" s="2">
        <v>1</v>
      </c>
      <c r="R867" s="2" t="s">
        <v>24</v>
      </c>
      <c r="S867" s="11" t="str">
        <f t="shared" si="68"/>
        <v>Rendah</v>
      </c>
      <c r="T867" s="2" t="str">
        <f t="shared" si="69"/>
        <v>Normal</v>
      </c>
    </row>
    <row r="868" spans="1:20" ht="15.75" customHeight="1" x14ac:dyDescent="0.3">
      <c r="A868" s="4" t="s">
        <v>1525</v>
      </c>
      <c r="B868" s="3">
        <v>45766.712314814817</v>
      </c>
      <c r="C868" s="2" t="s">
        <v>383</v>
      </c>
      <c r="D868" s="2" t="s">
        <v>122</v>
      </c>
      <c r="E868" s="2" t="s">
        <v>38</v>
      </c>
      <c r="F868" s="2">
        <v>28000</v>
      </c>
      <c r="G868" s="2">
        <v>4</v>
      </c>
      <c r="H868" s="2">
        <v>5</v>
      </c>
      <c r="I868">
        <f t="shared" si="65"/>
        <v>112000</v>
      </c>
      <c r="J868">
        <f t="shared" si="66"/>
        <v>5600</v>
      </c>
      <c r="K868" s="6">
        <f t="shared" si="67"/>
        <v>106400</v>
      </c>
      <c r="L868" s="2">
        <v>78000</v>
      </c>
      <c r="M868" s="6">
        <f>Table1[[#This Row],[Total Sales]]+Table1[[#This Row],[Shipping Fee]]</f>
        <v>184400</v>
      </c>
      <c r="N868" s="2" t="s">
        <v>22</v>
      </c>
      <c r="O868" t="str">
        <f>VLOOKUP(Table1[[#This Row],[Order ID]],Status!A:B, 2,FALSE)</f>
        <v>Completed</v>
      </c>
      <c r="P868" s="2" t="s">
        <v>23</v>
      </c>
      <c r="Q868" s="2">
        <v>1</v>
      </c>
      <c r="R868" s="2" t="s">
        <v>24</v>
      </c>
      <c r="S868" s="11" t="str">
        <f t="shared" si="68"/>
        <v>Rendah</v>
      </c>
      <c r="T868" s="2" t="str">
        <f t="shared" si="69"/>
        <v>Rendah</v>
      </c>
    </row>
    <row r="869" spans="1:20" ht="15.75" customHeight="1" x14ac:dyDescent="0.3">
      <c r="A869" s="4" t="s">
        <v>1524</v>
      </c>
      <c r="B869" s="3">
        <v>45766.156759259262</v>
      </c>
      <c r="C869" s="2" t="s">
        <v>1263</v>
      </c>
      <c r="D869" s="2" t="s">
        <v>435</v>
      </c>
      <c r="E869" s="2" t="s">
        <v>81</v>
      </c>
      <c r="F869" s="2">
        <v>17000</v>
      </c>
      <c r="G869" s="2">
        <v>4</v>
      </c>
      <c r="H869" s="2">
        <v>0</v>
      </c>
      <c r="I869">
        <f t="shared" si="65"/>
        <v>68000</v>
      </c>
      <c r="J869">
        <f t="shared" si="66"/>
        <v>0</v>
      </c>
      <c r="K869" s="6">
        <f t="shared" si="67"/>
        <v>68000</v>
      </c>
      <c r="L869" s="2">
        <v>67000</v>
      </c>
      <c r="M869" s="6">
        <f>Table1[[#This Row],[Total Sales]]+Table1[[#This Row],[Shipping Fee]]</f>
        <v>135000</v>
      </c>
      <c r="N869" s="2" t="s">
        <v>35</v>
      </c>
      <c r="O869" t="str">
        <f>VLOOKUP(Table1[[#This Row],[Order ID]],Status!A:B, 2,FALSE)</f>
        <v>Completed</v>
      </c>
      <c r="P869" s="2" t="s">
        <v>30</v>
      </c>
      <c r="Q869" s="2">
        <v>2</v>
      </c>
      <c r="R869" s="2" t="s">
        <v>24</v>
      </c>
      <c r="S869" s="11" t="str">
        <f t="shared" si="68"/>
        <v>Rendah</v>
      </c>
      <c r="T869" s="2" t="str">
        <f t="shared" si="69"/>
        <v>Sangat Rendah</v>
      </c>
    </row>
    <row r="870" spans="1:20" ht="15.75" customHeight="1" x14ac:dyDescent="0.3">
      <c r="A870" s="4" t="s">
        <v>1522</v>
      </c>
      <c r="B870" s="3">
        <v>45765.740231481483</v>
      </c>
      <c r="C870" s="2" t="s">
        <v>1523</v>
      </c>
      <c r="D870" s="2" t="s">
        <v>96</v>
      </c>
      <c r="E870" s="2" t="s">
        <v>28</v>
      </c>
      <c r="F870" s="2">
        <v>5000</v>
      </c>
      <c r="G870" s="2">
        <v>1</v>
      </c>
      <c r="H870" s="2">
        <v>10</v>
      </c>
      <c r="I870">
        <f t="shared" si="65"/>
        <v>5000</v>
      </c>
      <c r="J870">
        <f t="shared" si="66"/>
        <v>500</v>
      </c>
      <c r="K870" s="6">
        <f t="shared" si="67"/>
        <v>4500</v>
      </c>
      <c r="L870" s="2">
        <v>49000</v>
      </c>
      <c r="M870" s="6">
        <f>Table1[[#This Row],[Total Sales]]+Table1[[#This Row],[Shipping Fee]]</f>
        <v>53500</v>
      </c>
      <c r="N870" s="2" t="s">
        <v>63</v>
      </c>
      <c r="O870" t="str">
        <f>VLOOKUP(Table1[[#This Row],[Order ID]],Status!A:B, 2,FALSE)</f>
        <v>Completed</v>
      </c>
      <c r="P870" s="2" t="s">
        <v>30</v>
      </c>
      <c r="Q870" s="2">
        <v>4</v>
      </c>
      <c r="R870" s="2" t="s">
        <v>24</v>
      </c>
      <c r="S870" s="11" t="str">
        <f t="shared" si="68"/>
        <v>Bagus</v>
      </c>
      <c r="T870" s="2" t="str">
        <f t="shared" si="69"/>
        <v>Sangat Rendah</v>
      </c>
    </row>
    <row r="871" spans="1:20" ht="15.75" customHeight="1" x14ac:dyDescent="0.3">
      <c r="A871" s="4" t="s">
        <v>1521</v>
      </c>
      <c r="B871" s="3">
        <v>45765.387916666667</v>
      </c>
      <c r="C871" s="2" t="s">
        <v>443</v>
      </c>
      <c r="D871" s="2" t="s">
        <v>53</v>
      </c>
      <c r="E871" s="2" t="s">
        <v>58</v>
      </c>
      <c r="F871" s="2">
        <v>16000</v>
      </c>
      <c r="G871" s="2">
        <v>5</v>
      </c>
      <c r="H871" s="2">
        <v>15</v>
      </c>
      <c r="I871">
        <f t="shared" si="65"/>
        <v>80000</v>
      </c>
      <c r="J871">
        <f t="shared" si="66"/>
        <v>12000</v>
      </c>
      <c r="K871" s="6">
        <f t="shared" si="67"/>
        <v>68000</v>
      </c>
      <c r="L871" s="2">
        <v>18000</v>
      </c>
      <c r="M871" s="6">
        <f>Table1[[#This Row],[Total Sales]]+Table1[[#This Row],[Shipping Fee]]</f>
        <v>86000</v>
      </c>
      <c r="N871" s="2" t="s">
        <v>63</v>
      </c>
      <c r="O871" t="str">
        <f>VLOOKUP(Table1[[#This Row],[Order ID]],Status!A:B, 2,FALSE)</f>
        <v>Completed</v>
      </c>
      <c r="P871" s="2" t="s">
        <v>30</v>
      </c>
      <c r="Q871" s="2">
        <v>4</v>
      </c>
      <c r="R871" s="2" t="s">
        <v>24</v>
      </c>
      <c r="S871" s="11" t="str">
        <f t="shared" si="68"/>
        <v>Bagus</v>
      </c>
      <c r="T871" s="2" t="str">
        <f t="shared" si="69"/>
        <v>Normal</v>
      </c>
    </row>
    <row r="872" spans="1:20" ht="15.75" customHeight="1" x14ac:dyDescent="0.3">
      <c r="A872" s="4" t="s">
        <v>1520</v>
      </c>
      <c r="B872" s="3">
        <v>45765.371145833327</v>
      </c>
      <c r="C872" s="2" t="s">
        <v>383</v>
      </c>
      <c r="D872" s="2" t="s">
        <v>122</v>
      </c>
      <c r="E872" s="2" t="s">
        <v>34</v>
      </c>
      <c r="F872" s="2">
        <v>16000</v>
      </c>
      <c r="G872" s="2">
        <v>2</v>
      </c>
      <c r="H872" s="2">
        <v>0</v>
      </c>
      <c r="I872">
        <f t="shared" si="65"/>
        <v>32000</v>
      </c>
      <c r="J872">
        <f t="shared" si="66"/>
        <v>0</v>
      </c>
      <c r="K872" s="6">
        <f t="shared" si="67"/>
        <v>32000</v>
      </c>
      <c r="L872" s="2">
        <v>78000</v>
      </c>
      <c r="M872" s="6">
        <f>Table1[[#This Row],[Total Sales]]+Table1[[#This Row],[Shipping Fee]]</f>
        <v>110000</v>
      </c>
      <c r="N872" s="2" t="s">
        <v>63</v>
      </c>
      <c r="O872" t="str">
        <f>VLOOKUP(Table1[[#This Row],[Order ID]],Status!A:B, 2,FALSE)</f>
        <v>Completed</v>
      </c>
      <c r="P872" s="2" t="s">
        <v>82</v>
      </c>
      <c r="Q872" s="2">
        <v>5</v>
      </c>
      <c r="R872" s="2" t="s">
        <v>24</v>
      </c>
      <c r="S872" s="11" t="str">
        <f t="shared" si="68"/>
        <v>Bagus</v>
      </c>
      <c r="T872" s="2" t="str">
        <f t="shared" si="69"/>
        <v>Sangat Rendah</v>
      </c>
    </row>
    <row r="873" spans="1:20" ht="15.75" customHeight="1" x14ac:dyDescent="0.3">
      <c r="A873" s="4" t="s">
        <v>1519</v>
      </c>
      <c r="B873" s="3">
        <v>45764.948333333326</v>
      </c>
      <c r="C873" s="2" t="s">
        <v>898</v>
      </c>
      <c r="D873" s="2" t="s">
        <v>195</v>
      </c>
      <c r="E873" s="2" t="s">
        <v>174</v>
      </c>
      <c r="F873" s="2">
        <v>10000</v>
      </c>
      <c r="G873" s="2">
        <v>3</v>
      </c>
      <c r="H873" s="2">
        <v>20</v>
      </c>
      <c r="I873">
        <f t="shared" si="65"/>
        <v>30000</v>
      </c>
      <c r="J873">
        <f t="shared" si="66"/>
        <v>6000</v>
      </c>
      <c r="K873" s="6">
        <f t="shared" si="67"/>
        <v>24000</v>
      </c>
      <c r="L873" s="2">
        <v>87000</v>
      </c>
      <c r="M873" s="6">
        <f>Table1[[#This Row],[Total Sales]]+Table1[[#This Row],[Shipping Fee]]</f>
        <v>111000</v>
      </c>
      <c r="N873" s="2" t="s">
        <v>29</v>
      </c>
      <c r="O873" t="str">
        <f>VLOOKUP(Table1[[#This Row],[Order ID]],Status!A:B, 2,FALSE)</f>
        <v>Completed</v>
      </c>
      <c r="P873" s="2" t="s">
        <v>30</v>
      </c>
      <c r="Q873" s="2">
        <v>2</v>
      </c>
      <c r="R873" s="2" t="s">
        <v>24</v>
      </c>
      <c r="S873" s="11" t="str">
        <f t="shared" si="68"/>
        <v>Rendah</v>
      </c>
      <c r="T873" s="2" t="str">
        <f t="shared" si="69"/>
        <v>Rendah</v>
      </c>
    </row>
    <row r="874" spans="1:20" ht="15.75" customHeight="1" x14ac:dyDescent="0.3">
      <c r="A874" s="4" t="s">
        <v>1518</v>
      </c>
      <c r="B874" s="3">
        <v>45764.911377314813</v>
      </c>
      <c r="C874" s="2" t="s">
        <v>596</v>
      </c>
      <c r="D874" s="2" t="s">
        <v>70</v>
      </c>
      <c r="E874" s="2" t="s">
        <v>45</v>
      </c>
      <c r="F874" s="2">
        <v>40000</v>
      </c>
      <c r="G874" s="2">
        <v>3</v>
      </c>
      <c r="H874" s="2">
        <v>0</v>
      </c>
      <c r="I874">
        <f t="shared" si="65"/>
        <v>120000</v>
      </c>
      <c r="J874">
        <f t="shared" si="66"/>
        <v>0</v>
      </c>
      <c r="K874" s="6">
        <f t="shared" si="67"/>
        <v>120000</v>
      </c>
      <c r="L874" s="2">
        <v>89000</v>
      </c>
      <c r="M874" s="6">
        <f>Table1[[#This Row],[Total Sales]]+Table1[[#This Row],[Shipping Fee]]</f>
        <v>209000</v>
      </c>
      <c r="N874" s="2" t="s">
        <v>63</v>
      </c>
      <c r="O874" t="str">
        <f>VLOOKUP(Table1[[#This Row],[Order ID]],Status!A:B, 2,FALSE)</f>
        <v>Completed</v>
      </c>
      <c r="P874" s="2" t="s">
        <v>36</v>
      </c>
      <c r="Q874" s="2">
        <v>4</v>
      </c>
      <c r="R874" s="2" t="s">
        <v>24</v>
      </c>
      <c r="S874" s="11" t="str">
        <f t="shared" si="68"/>
        <v>Bagus</v>
      </c>
      <c r="T874" s="2" t="str">
        <f t="shared" si="69"/>
        <v>Sangat Rendah</v>
      </c>
    </row>
    <row r="875" spans="1:20" ht="15.75" customHeight="1" x14ac:dyDescent="0.3">
      <c r="A875" s="4" t="s">
        <v>1517</v>
      </c>
      <c r="B875" s="3">
        <v>45764.76189814815</v>
      </c>
      <c r="C875" s="2" t="s">
        <v>572</v>
      </c>
      <c r="D875" s="2" t="s">
        <v>33</v>
      </c>
      <c r="E875" s="2" t="s">
        <v>34</v>
      </c>
      <c r="F875" s="2">
        <v>16000</v>
      </c>
      <c r="G875" s="2">
        <v>5</v>
      </c>
      <c r="H875" s="2">
        <v>10</v>
      </c>
      <c r="I875">
        <f t="shared" si="65"/>
        <v>80000</v>
      </c>
      <c r="J875">
        <f t="shared" si="66"/>
        <v>8000</v>
      </c>
      <c r="K875" s="6">
        <f t="shared" si="67"/>
        <v>72000</v>
      </c>
      <c r="L875" s="2">
        <v>76000</v>
      </c>
      <c r="M875" s="6">
        <f>Table1[[#This Row],[Total Sales]]+Table1[[#This Row],[Shipping Fee]]</f>
        <v>148000</v>
      </c>
      <c r="N875" s="2" t="s">
        <v>35</v>
      </c>
      <c r="O875" t="str">
        <f>VLOOKUP(Table1[[#This Row],[Order ID]],Status!A:B, 2,FALSE)</f>
        <v>Completed</v>
      </c>
      <c r="P875" s="2" t="s">
        <v>23</v>
      </c>
      <c r="Q875" s="2">
        <v>2</v>
      </c>
      <c r="R875" s="2" t="s">
        <v>24</v>
      </c>
      <c r="S875" s="11" t="str">
        <f t="shared" si="68"/>
        <v>Rendah</v>
      </c>
      <c r="T875" s="2" t="str">
        <f t="shared" si="69"/>
        <v>Rendah</v>
      </c>
    </row>
    <row r="876" spans="1:20" ht="15.75" customHeight="1" x14ac:dyDescent="0.3">
      <c r="A876" s="4" t="s">
        <v>1516</v>
      </c>
      <c r="B876" s="3">
        <v>45764.619722222233</v>
      </c>
      <c r="C876" s="2" t="s">
        <v>922</v>
      </c>
      <c r="D876" s="2" t="s">
        <v>33</v>
      </c>
      <c r="E876" s="2" t="s">
        <v>45</v>
      </c>
      <c r="F876" s="2">
        <v>40000</v>
      </c>
      <c r="G876" s="2">
        <v>3</v>
      </c>
      <c r="H876" s="2">
        <v>0</v>
      </c>
      <c r="I876">
        <f t="shared" si="65"/>
        <v>120000</v>
      </c>
      <c r="J876">
        <f t="shared" si="66"/>
        <v>0</v>
      </c>
      <c r="K876" s="6">
        <f t="shared" si="67"/>
        <v>120000</v>
      </c>
      <c r="L876" s="2">
        <v>76000</v>
      </c>
      <c r="M876" s="6">
        <f>Table1[[#This Row],[Total Sales]]+Table1[[#This Row],[Shipping Fee]]</f>
        <v>196000</v>
      </c>
      <c r="N876" s="2" t="s">
        <v>35</v>
      </c>
      <c r="O876" t="str">
        <f>VLOOKUP(Table1[[#This Row],[Order ID]],Status!A:B, 2,FALSE)</f>
        <v>Completed</v>
      </c>
      <c r="P876" s="2" t="s">
        <v>36</v>
      </c>
      <c r="Q876" s="2">
        <v>5</v>
      </c>
      <c r="R876" s="2" t="s">
        <v>37</v>
      </c>
      <c r="S876" s="11" t="str">
        <f t="shared" si="68"/>
        <v>Bagus</v>
      </c>
      <c r="T876" s="2" t="str">
        <f t="shared" si="69"/>
        <v>Sangat Rendah</v>
      </c>
    </row>
    <row r="877" spans="1:20" ht="15.75" customHeight="1" x14ac:dyDescent="0.3">
      <c r="A877" s="4" t="s">
        <v>1515</v>
      </c>
      <c r="B877" s="3">
        <v>45764.046620370369</v>
      </c>
      <c r="C877" s="2" t="s">
        <v>459</v>
      </c>
      <c r="D877" s="2" t="s">
        <v>61</v>
      </c>
      <c r="E877" s="2" t="s">
        <v>28</v>
      </c>
      <c r="F877" s="2">
        <v>5000</v>
      </c>
      <c r="G877" s="2">
        <v>2</v>
      </c>
      <c r="H877" s="2">
        <v>5</v>
      </c>
      <c r="I877">
        <f t="shared" si="65"/>
        <v>10000</v>
      </c>
      <c r="J877">
        <f t="shared" si="66"/>
        <v>500</v>
      </c>
      <c r="K877" s="6">
        <f t="shared" si="67"/>
        <v>9500</v>
      </c>
      <c r="L877" s="2">
        <v>26000</v>
      </c>
      <c r="M877" s="6">
        <f>Table1[[#This Row],[Total Sales]]+Table1[[#This Row],[Shipping Fee]]</f>
        <v>35500</v>
      </c>
      <c r="N877" s="2" t="s">
        <v>22</v>
      </c>
      <c r="O877" t="str">
        <f>VLOOKUP(Table1[[#This Row],[Order ID]],Status!A:B, 2,FALSE)</f>
        <v>Completed</v>
      </c>
      <c r="P877" s="2" t="s">
        <v>46</v>
      </c>
      <c r="Q877" s="2">
        <v>2</v>
      </c>
      <c r="R877" s="2" t="s">
        <v>24</v>
      </c>
      <c r="S877" s="11" t="str">
        <f t="shared" si="68"/>
        <v>Rendah</v>
      </c>
      <c r="T877" s="2" t="str">
        <f t="shared" si="69"/>
        <v>Sangat Rendah</v>
      </c>
    </row>
    <row r="878" spans="1:20" ht="15.75" customHeight="1" x14ac:dyDescent="0.3">
      <c r="A878" s="4" t="s">
        <v>1514</v>
      </c>
      <c r="B878" s="3">
        <v>45763.700844907413</v>
      </c>
      <c r="C878" s="2" t="s">
        <v>431</v>
      </c>
      <c r="D878" s="2" t="s">
        <v>33</v>
      </c>
      <c r="E878" s="2" t="s">
        <v>186</v>
      </c>
      <c r="F878" s="2">
        <v>45000</v>
      </c>
      <c r="G878" s="2">
        <v>2</v>
      </c>
      <c r="H878" s="2">
        <v>5</v>
      </c>
      <c r="I878">
        <f t="shared" si="65"/>
        <v>90000</v>
      </c>
      <c r="J878">
        <f t="shared" si="66"/>
        <v>4500</v>
      </c>
      <c r="K878" s="6">
        <f t="shared" si="67"/>
        <v>85500</v>
      </c>
      <c r="L878" s="2">
        <v>76000</v>
      </c>
      <c r="M878" s="6">
        <f>Table1[[#This Row],[Total Sales]]+Table1[[#This Row],[Shipping Fee]]</f>
        <v>161500</v>
      </c>
      <c r="N878" s="2" t="s">
        <v>35</v>
      </c>
      <c r="O878" t="str">
        <f>VLOOKUP(Table1[[#This Row],[Order ID]],Status!A:B, 2,FALSE)</f>
        <v>Completed</v>
      </c>
      <c r="P878" s="2" t="s">
        <v>36</v>
      </c>
      <c r="Q878" s="2">
        <v>5</v>
      </c>
      <c r="R878" s="2" t="s">
        <v>24</v>
      </c>
      <c r="S878" s="11" t="str">
        <f t="shared" si="68"/>
        <v>Bagus</v>
      </c>
      <c r="T878" s="2" t="str">
        <f t="shared" si="69"/>
        <v>Sangat Rendah</v>
      </c>
    </row>
    <row r="879" spans="1:20" ht="15.75" customHeight="1" x14ac:dyDescent="0.3">
      <c r="A879" s="4" t="s">
        <v>1513</v>
      </c>
      <c r="B879" s="3">
        <v>45763.515949074077</v>
      </c>
      <c r="C879" s="2" t="s">
        <v>209</v>
      </c>
      <c r="D879" s="2" t="s">
        <v>143</v>
      </c>
      <c r="E879" s="2" t="s">
        <v>50</v>
      </c>
      <c r="F879" s="2">
        <v>14000</v>
      </c>
      <c r="G879" s="2">
        <v>4</v>
      </c>
      <c r="H879" s="2">
        <v>20</v>
      </c>
      <c r="I879">
        <f t="shared" si="65"/>
        <v>56000</v>
      </c>
      <c r="J879">
        <f t="shared" si="66"/>
        <v>11200</v>
      </c>
      <c r="K879" s="6">
        <f t="shared" si="67"/>
        <v>44800</v>
      </c>
      <c r="L879" s="2">
        <v>50000</v>
      </c>
      <c r="M879" s="6">
        <f>Table1[[#This Row],[Total Sales]]+Table1[[#This Row],[Shipping Fee]]</f>
        <v>94800</v>
      </c>
      <c r="N879" s="2" t="s">
        <v>29</v>
      </c>
      <c r="O879" t="str">
        <f>VLOOKUP(Table1[[#This Row],[Order ID]],Status!A:B, 2,FALSE)</f>
        <v>Completed</v>
      </c>
      <c r="P879" s="2" t="s">
        <v>36</v>
      </c>
      <c r="Q879" s="2">
        <v>5</v>
      </c>
      <c r="R879" s="2" t="s">
        <v>37</v>
      </c>
      <c r="S879" s="11" t="str">
        <f t="shared" si="68"/>
        <v>Bagus</v>
      </c>
      <c r="T879" s="2" t="str">
        <f t="shared" si="69"/>
        <v>Normal</v>
      </c>
    </row>
    <row r="880" spans="1:20" ht="15.75" customHeight="1" x14ac:dyDescent="0.3">
      <c r="A880" s="4" t="s">
        <v>1512</v>
      </c>
      <c r="B880" s="3">
        <v>45763.471747685187</v>
      </c>
      <c r="C880" s="2" t="s">
        <v>121</v>
      </c>
      <c r="D880" s="2" t="s">
        <v>122</v>
      </c>
      <c r="E880" s="2" t="s">
        <v>250</v>
      </c>
      <c r="F880" s="2">
        <v>18000</v>
      </c>
      <c r="G880" s="2">
        <v>2</v>
      </c>
      <c r="H880" s="2">
        <v>5</v>
      </c>
      <c r="I880">
        <f t="shared" si="65"/>
        <v>36000</v>
      </c>
      <c r="J880">
        <f t="shared" si="66"/>
        <v>1800</v>
      </c>
      <c r="K880" s="6">
        <f t="shared" si="67"/>
        <v>34200</v>
      </c>
      <c r="L880" s="2">
        <v>78000</v>
      </c>
      <c r="M880" s="6">
        <f>Table1[[#This Row],[Total Sales]]+Table1[[#This Row],[Shipping Fee]]</f>
        <v>112200</v>
      </c>
      <c r="N880" s="2" t="s">
        <v>29</v>
      </c>
      <c r="O880" t="str">
        <f>VLOOKUP(Table1[[#This Row],[Order ID]],Status!A:B, 2,FALSE)</f>
        <v>Completed</v>
      </c>
      <c r="P880" s="2" t="s">
        <v>82</v>
      </c>
      <c r="Q880" s="2">
        <v>3</v>
      </c>
      <c r="R880" s="2" t="s">
        <v>24</v>
      </c>
      <c r="S880" s="11" t="str">
        <f t="shared" si="68"/>
        <v>Standar</v>
      </c>
      <c r="T880" s="2" t="str">
        <f t="shared" si="69"/>
        <v>Sangat Rendah</v>
      </c>
    </row>
    <row r="881" spans="1:20" ht="15.75" customHeight="1" x14ac:dyDescent="0.3">
      <c r="A881" s="4" t="s">
        <v>1511</v>
      </c>
      <c r="B881" s="3">
        <v>45763.371516203697</v>
      </c>
      <c r="C881" s="2" t="s">
        <v>265</v>
      </c>
      <c r="D881" s="2" t="s">
        <v>119</v>
      </c>
      <c r="E881" s="2" t="s">
        <v>88</v>
      </c>
      <c r="F881" s="2">
        <v>14000</v>
      </c>
      <c r="G881" s="2">
        <v>5</v>
      </c>
      <c r="H881" s="2">
        <v>15</v>
      </c>
      <c r="I881">
        <f t="shared" si="65"/>
        <v>70000</v>
      </c>
      <c r="J881">
        <f t="shared" si="66"/>
        <v>10500</v>
      </c>
      <c r="K881" s="6">
        <f t="shared" si="67"/>
        <v>59500</v>
      </c>
      <c r="L881" s="2">
        <v>0</v>
      </c>
      <c r="M881" s="6">
        <f>Table1[[#This Row],[Total Sales]]+Table1[[#This Row],[Shipping Fee]]</f>
        <v>59500</v>
      </c>
      <c r="N881" s="2" t="s">
        <v>63</v>
      </c>
      <c r="O881" t="str">
        <f>VLOOKUP(Table1[[#This Row],[Order ID]],Status!A:B, 2,FALSE)</f>
        <v>Completed</v>
      </c>
      <c r="P881" s="2" t="s">
        <v>30</v>
      </c>
      <c r="Q881" s="2">
        <v>1</v>
      </c>
      <c r="R881" s="2" t="s">
        <v>24</v>
      </c>
      <c r="S881" s="11" t="str">
        <f t="shared" si="68"/>
        <v>Rendah</v>
      </c>
      <c r="T881" s="2" t="str">
        <f t="shared" si="69"/>
        <v>Normal</v>
      </c>
    </row>
    <row r="882" spans="1:20" ht="15.75" customHeight="1" x14ac:dyDescent="0.3">
      <c r="A882" s="4" t="s">
        <v>1510</v>
      </c>
      <c r="B882" s="3">
        <v>45763.149722222217</v>
      </c>
      <c r="C882" s="2" t="s">
        <v>32</v>
      </c>
      <c r="D882" s="2" t="s">
        <v>33</v>
      </c>
      <c r="E882" s="2" t="s">
        <v>54</v>
      </c>
      <c r="F882" s="2">
        <v>16000</v>
      </c>
      <c r="G882" s="2">
        <v>4</v>
      </c>
      <c r="H882" s="2">
        <v>0</v>
      </c>
      <c r="I882">
        <f t="shared" si="65"/>
        <v>64000</v>
      </c>
      <c r="J882">
        <f t="shared" si="66"/>
        <v>0</v>
      </c>
      <c r="K882" s="6">
        <f t="shared" si="67"/>
        <v>64000</v>
      </c>
      <c r="L882" s="2">
        <v>76000</v>
      </c>
      <c r="M882" s="6">
        <f>Table1[[#This Row],[Total Sales]]+Table1[[#This Row],[Shipping Fee]]</f>
        <v>140000</v>
      </c>
      <c r="N882" s="2" t="s">
        <v>63</v>
      </c>
      <c r="O882" t="str">
        <f>VLOOKUP(Table1[[#This Row],[Order ID]],Status!A:B, 2,FALSE)</f>
        <v>Completed</v>
      </c>
      <c r="P882" s="2" t="s">
        <v>30</v>
      </c>
      <c r="Q882" s="2">
        <v>1</v>
      </c>
      <c r="R882" s="2" t="s">
        <v>37</v>
      </c>
      <c r="S882" s="11" t="str">
        <f t="shared" si="68"/>
        <v>Rendah</v>
      </c>
      <c r="T882" s="2" t="str">
        <f t="shared" si="69"/>
        <v>Sangat Rendah</v>
      </c>
    </row>
    <row r="883" spans="1:20" ht="15.75" customHeight="1" x14ac:dyDescent="0.3">
      <c r="A883" s="4" t="s">
        <v>1508</v>
      </c>
      <c r="B883" s="3">
        <v>45763.144907407397</v>
      </c>
      <c r="C883" s="2" t="s">
        <v>1509</v>
      </c>
      <c r="D883" s="2" t="s">
        <v>122</v>
      </c>
      <c r="E883" s="2" t="s">
        <v>50</v>
      </c>
      <c r="F883" s="2">
        <v>14000</v>
      </c>
      <c r="G883" s="2">
        <v>4</v>
      </c>
      <c r="H883" s="2">
        <v>10</v>
      </c>
      <c r="I883">
        <f t="shared" si="65"/>
        <v>56000</v>
      </c>
      <c r="J883">
        <f t="shared" si="66"/>
        <v>5600</v>
      </c>
      <c r="K883" s="6">
        <f t="shared" si="67"/>
        <v>50400</v>
      </c>
      <c r="L883" s="2">
        <v>78000</v>
      </c>
      <c r="M883" s="6">
        <f>Table1[[#This Row],[Total Sales]]+Table1[[#This Row],[Shipping Fee]]</f>
        <v>128400</v>
      </c>
      <c r="N883" s="2" t="s">
        <v>35</v>
      </c>
      <c r="O883" t="str">
        <f>VLOOKUP(Table1[[#This Row],[Order ID]],Status!A:B, 2,FALSE)</f>
        <v>Returned</v>
      </c>
      <c r="P883" s="2" t="s">
        <v>36</v>
      </c>
      <c r="Q883" s="2">
        <v>1</v>
      </c>
      <c r="R883" s="2" t="s">
        <v>24</v>
      </c>
      <c r="S883" s="11" t="str">
        <f t="shared" si="68"/>
        <v>Rendah</v>
      </c>
      <c r="T883" s="2" t="str">
        <f t="shared" si="69"/>
        <v>Rendah</v>
      </c>
    </row>
    <row r="884" spans="1:20" ht="15.75" customHeight="1" x14ac:dyDescent="0.3">
      <c r="A884" s="4" t="s">
        <v>1507</v>
      </c>
      <c r="B884" s="3">
        <v>45762.786064814813</v>
      </c>
      <c r="C884" s="2" t="s">
        <v>468</v>
      </c>
      <c r="D884" s="2" t="s">
        <v>163</v>
      </c>
      <c r="E884" s="2" t="s">
        <v>104</v>
      </c>
      <c r="F884" s="2">
        <v>30000</v>
      </c>
      <c r="G884" s="2">
        <v>3</v>
      </c>
      <c r="H884" s="2">
        <v>10</v>
      </c>
      <c r="I884">
        <f t="shared" si="65"/>
        <v>90000</v>
      </c>
      <c r="J884">
        <f t="shared" si="66"/>
        <v>9000</v>
      </c>
      <c r="K884" s="6">
        <f t="shared" si="67"/>
        <v>81000</v>
      </c>
      <c r="L884" s="2">
        <v>50000</v>
      </c>
      <c r="M884" s="6">
        <f>Table1[[#This Row],[Total Sales]]+Table1[[#This Row],[Shipping Fee]]</f>
        <v>131000</v>
      </c>
      <c r="N884" s="2" t="s">
        <v>22</v>
      </c>
      <c r="O884" t="str">
        <f>VLOOKUP(Table1[[#This Row],[Order ID]],Status!A:B, 2,FALSE)</f>
        <v>Completed</v>
      </c>
      <c r="P884" s="2" t="s">
        <v>36</v>
      </c>
      <c r="Q884" s="2">
        <v>4</v>
      </c>
      <c r="R884" s="2" t="s">
        <v>24</v>
      </c>
      <c r="S884" s="11" t="str">
        <f t="shared" si="68"/>
        <v>Bagus</v>
      </c>
      <c r="T884" s="2" t="str">
        <f t="shared" si="69"/>
        <v>Rendah</v>
      </c>
    </row>
    <row r="885" spans="1:20" ht="15.75" customHeight="1" x14ac:dyDescent="0.3">
      <c r="A885" s="4" t="s">
        <v>1506</v>
      </c>
      <c r="B885" s="3">
        <v>45762.508668981478</v>
      </c>
      <c r="C885" s="2" t="s">
        <v>832</v>
      </c>
      <c r="D885" s="2" t="s">
        <v>131</v>
      </c>
      <c r="E885" s="2" t="s">
        <v>28</v>
      </c>
      <c r="F885" s="2">
        <v>5000</v>
      </c>
      <c r="G885" s="2">
        <v>1</v>
      </c>
      <c r="H885" s="2">
        <v>0</v>
      </c>
      <c r="I885">
        <f t="shared" si="65"/>
        <v>5000</v>
      </c>
      <c r="J885">
        <f t="shared" si="66"/>
        <v>0</v>
      </c>
      <c r="K885" s="6">
        <f t="shared" si="67"/>
        <v>5000</v>
      </c>
      <c r="L885" s="2">
        <v>59000</v>
      </c>
      <c r="M885" s="6">
        <f>Table1[[#This Row],[Total Sales]]+Table1[[#This Row],[Shipping Fee]]</f>
        <v>64000</v>
      </c>
      <c r="N885" s="2" t="s">
        <v>29</v>
      </c>
      <c r="O885" t="str">
        <f>VLOOKUP(Table1[[#This Row],[Order ID]],Status!A:B, 2,FALSE)</f>
        <v>Completed</v>
      </c>
      <c r="P885" s="2" t="s">
        <v>23</v>
      </c>
      <c r="Q885" s="2">
        <v>2</v>
      </c>
      <c r="R885" s="2" t="s">
        <v>24</v>
      </c>
      <c r="S885" s="11" t="str">
        <f t="shared" si="68"/>
        <v>Rendah</v>
      </c>
      <c r="T885" s="2" t="str">
        <f t="shared" si="69"/>
        <v>Sangat Rendah</v>
      </c>
    </row>
    <row r="886" spans="1:20" ht="15.75" customHeight="1" x14ac:dyDescent="0.3">
      <c r="A886" s="4" t="s">
        <v>1505</v>
      </c>
      <c r="B886" s="3">
        <v>45762.45076388889</v>
      </c>
      <c r="C886" s="2" t="s">
        <v>804</v>
      </c>
      <c r="D886" s="2" t="s">
        <v>49</v>
      </c>
      <c r="E886" s="2" t="s">
        <v>45</v>
      </c>
      <c r="F886" s="2">
        <v>40000</v>
      </c>
      <c r="G886" s="2">
        <v>4</v>
      </c>
      <c r="H886" s="2">
        <v>5</v>
      </c>
      <c r="I886">
        <f t="shared" si="65"/>
        <v>160000</v>
      </c>
      <c r="J886">
        <f t="shared" si="66"/>
        <v>8000</v>
      </c>
      <c r="K886" s="6">
        <f t="shared" si="67"/>
        <v>152000</v>
      </c>
      <c r="L886" s="2">
        <v>43000</v>
      </c>
      <c r="M886" s="6">
        <f>Table1[[#This Row],[Total Sales]]+Table1[[#This Row],[Shipping Fee]]</f>
        <v>195000</v>
      </c>
      <c r="N886" s="2" t="s">
        <v>22</v>
      </c>
      <c r="O886" t="str">
        <f>VLOOKUP(Table1[[#This Row],[Order ID]],Status!A:B, 2,FALSE)</f>
        <v>Returned</v>
      </c>
      <c r="P886" s="2" t="s">
        <v>23</v>
      </c>
      <c r="Q886" s="2">
        <v>2</v>
      </c>
      <c r="R886" s="2" t="s">
        <v>24</v>
      </c>
      <c r="S886" s="11" t="str">
        <f t="shared" si="68"/>
        <v>Rendah</v>
      </c>
      <c r="T886" s="2" t="str">
        <f t="shared" si="69"/>
        <v>Rendah</v>
      </c>
    </row>
    <row r="887" spans="1:20" ht="15.75" customHeight="1" x14ac:dyDescent="0.3">
      <c r="A887" s="4" t="s">
        <v>1504</v>
      </c>
      <c r="B887" s="3">
        <v>45762.365925925929</v>
      </c>
      <c r="C887" s="2" t="s">
        <v>374</v>
      </c>
      <c r="D887" s="2" t="s">
        <v>375</v>
      </c>
      <c r="E887" s="2" t="s">
        <v>62</v>
      </c>
      <c r="F887" s="2">
        <v>50000</v>
      </c>
      <c r="G887" s="2">
        <v>5</v>
      </c>
      <c r="H887" s="2">
        <v>0</v>
      </c>
      <c r="I887">
        <f t="shared" si="65"/>
        <v>250000</v>
      </c>
      <c r="J887">
        <f t="shared" si="66"/>
        <v>0</v>
      </c>
      <c r="K887" s="6">
        <f t="shared" si="67"/>
        <v>250000</v>
      </c>
      <c r="L887" s="2">
        <v>21000</v>
      </c>
      <c r="M887" s="6">
        <f>Table1[[#This Row],[Total Sales]]+Table1[[#This Row],[Shipping Fee]]</f>
        <v>271000</v>
      </c>
      <c r="N887" s="2" t="s">
        <v>63</v>
      </c>
      <c r="O887" t="str">
        <f>VLOOKUP(Table1[[#This Row],[Order ID]],Status!A:B, 2,FALSE)</f>
        <v>Completed</v>
      </c>
      <c r="P887" s="2" t="s">
        <v>30</v>
      </c>
      <c r="Q887" s="2">
        <v>5</v>
      </c>
      <c r="R887" s="2" t="s">
        <v>37</v>
      </c>
      <c r="S887" s="11" t="str">
        <f t="shared" si="68"/>
        <v>Bagus</v>
      </c>
      <c r="T887" s="2" t="str">
        <f t="shared" si="69"/>
        <v>Sangat Rendah</v>
      </c>
    </row>
    <row r="888" spans="1:20" ht="15.75" customHeight="1" x14ac:dyDescent="0.3">
      <c r="A888" s="4" t="s">
        <v>1503</v>
      </c>
      <c r="B888" s="3">
        <v>45761.648240740738</v>
      </c>
      <c r="C888" s="2" t="s">
        <v>459</v>
      </c>
      <c r="D888" s="2" t="s">
        <v>61</v>
      </c>
      <c r="E888" s="2" t="s">
        <v>186</v>
      </c>
      <c r="F888" s="2">
        <v>45000</v>
      </c>
      <c r="G888" s="2">
        <v>5</v>
      </c>
      <c r="H888" s="2">
        <v>5</v>
      </c>
      <c r="I888">
        <f t="shared" si="65"/>
        <v>225000</v>
      </c>
      <c r="J888">
        <f t="shared" si="66"/>
        <v>11250</v>
      </c>
      <c r="K888" s="6">
        <f t="shared" si="67"/>
        <v>213750</v>
      </c>
      <c r="L888" s="2">
        <v>26000</v>
      </c>
      <c r="M888" s="6">
        <f>Table1[[#This Row],[Total Sales]]+Table1[[#This Row],[Shipping Fee]]</f>
        <v>239750</v>
      </c>
      <c r="N888" s="2" t="s">
        <v>63</v>
      </c>
      <c r="O888" t="str">
        <f>VLOOKUP(Table1[[#This Row],[Order ID]],Status!A:B, 2,FALSE)</f>
        <v>Completed</v>
      </c>
      <c r="P888" s="2" t="s">
        <v>46</v>
      </c>
      <c r="Q888" s="2">
        <v>5</v>
      </c>
      <c r="R888" s="2" t="s">
        <v>24</v>
      </c>
      <c r="S888" s="11" t="str">
        <f t="shared" si="68"/>
        <v>Bagus</v>
      </c>
      <c r="T888" s="2" t="str">
        <f t="shared" si="69"/>
        <v>Normal</v>
      </c>
    </row>
    <row r="889" spans="1:20" ht="15.75" customHeight="1" x14ac:dyDescent="0.3">
      <c r="A889" s="4" t="s">
        <v>1502</v>
      </c>
      <c r="B889" s="3">
        <v>45761.204641203702</v>
      </c>
      <c r="C889" s="2" t="s">
        <v>295</v>
      </c>
      <c r="D889" s="2" t="s">
        <v>296</v>
      </c>
      <c r="E889" s="2" t="s">
        <v>81</v>
      </c>
      <c r="F889" s="2">
        <v>17000</v>
      </c>
      <c r="G889" s="2">
        <v>1</v>
      </c>
      <c r="H889" s="2">
        <v>0</v>
      </c>
      <c r="I889">
        <f t="shared" si="65"/>
        <v>17000</v>
      </c>
      <c r="J889">
        <f t="shared" si="66"/>
        <v>0</v>
      </c>
      <c r="K889" s="6">
        <f t="shared" si="67"/>
        <v>17000</v>
      </c>
      <c r="L889" s="2">
        <v>79000</v>
      </c>
      <c r="M889" s="6">
        <f>Table1[[#This Row],[Total Sales]]+Table1[[#This Row],[Shipping Fee]]</f>
        <v>96000</v>
      </c>
      <c r="N889" s="2" t="s">
        <v>29</v>
      </c>
      <c r="O889" t="str">
        <f>VLOOKUP(Table1[[#This Row],[Order ID]],Status!A:B, 2,FALSE)</f>
        <v>Completed</v>
      </c>
      <c r="P889" s="2" t="s">
        <v>82</v>
      </c>
      <c r="Q889" s="2">
        <v>3</v>
      </c>
      <c r="R889" s="2" t="s">
        <v>24</v>
      </c>
      <c r="S889" s="11" t="str">
        <f t="shared" si="68"/>
        <v>Standar</v>
      </c>
      <c r="T889" s="2" t="str">
        <f t="shared" si="69"/>
        <v>Sangat Rendah</v>
      </c>
    </row>
    <row r="890" spans="1:20" ht="15.75" customHeight="1" x14ac:dyDescent="0.3">
      <c r="A890" s="4" t="s">
        <v>1501</v>
      </c>
      <c r="B890" s="3">
        <v>45761.144421296303</v>
      </c>
      <c r="C890" s="2" t="s">
        <v>79</v>
      </c>
      <c r="D890" s="2" t="s">
        <v>80</v>
      </c>
      <c r="E890" s="2" t="s">
        <v>21</v>
      </c>
      <c r="F890" s="2">
        <v>45000</v>
      </c>
      <c r="G890" s="2">
        <v>5</v>
      </c>
      <c r="H890" s="2">
        <v>0</v>
      </c>
      <c r="I890">
        <f t="shared" si="65"/>
        <v>225000</v>
      </c>
      <c r="J890">
        <f t="shared" si="66"/>
        <v>0</v>
      </c>
      <c r="K890" s="6">
        <f t="shared" si="67"/>
        <v>225000</v>
      </c>
      <c r="L890" s="2">
        <v>74000</v>
      </c>
      <c r="M890" s="6">
        <f>Table1[[#This Row],[Total Sales]]+Table1[[#This Row],[Shipping Fee]]</f>
        <v>299000</v>
      </c>
      <c r="N890" s="2" t="s">
        <v>29</v>
      </c>
      <c r="O890" t="str">
        <f>VLOOKUP(Table1[[#This Row],[Order ID]],Status!A:B, 2,FALSE)</f>
        <v>Completed</v>
      </c>
      <c r="P890" s="2" t="s">
        <v>36</v>
      </c>
      <c r="Q890" s="2">
        <v>1</v>
      </c>
      <c r="R890" s="2" t="s">
        <v>24</v>
      </c>
      <c r="S890" s="11" t="str">
        <f t="shared" si="68"/>
        <v>Rendah</v>
      </c>
      <c r="T890" s="2" t="str">
        <f t="shared" si="69"/>
        <v>Sangat Rendah</v>
      </c>
    </row>
    <row r="891" spans="1:20" ht="15.75" customHeight="1" x14ac:dyDescent="0.3">
      <c r="A891" s="4" t="s">
        <v>1500</v>
      </c>
      <c r="B891" s="3">
        <v>45761.031817129631</v>
      </c>
      <c r="C891" s="2" t="s">
        <v>693</v>
      </c>
      <c r="D891" s="2" t="s">
        <v>119</v>
      </c>
      <c r="E891" s="2" t="s">
        <v>104</v>
      </c>
      <c r="F891" s="2">
        <v>30000</v>
      </c>
      <c r="G891" s="2">
        <v>1</v>
      </c>
      <c r="H891" s="2">
        <v>0</v>
      </c>
      <c r="I891">
        <f t="shared" si="65"/>
        <v>30000</v>
      </c>
      <c r="J891">
        <f t="shared" si="66"/>
        <v>0</v>
      </c>
      <c r="K891" s="6">
        <f t="shared" si="67"/>
        <v>30000</v>
      </c>
      <c r="L891" s="2">
        <v>0</v>
      </c>
      <c r="M891" s="6">
        <f>Table1[[#This Row],[Total Sales]]+Table1[[#This Row],[Shipping Fee]]</f>
        <v>30000</v>
      </c>
      <c r="N891" s="2" t="s">
        <v>22</v>
      </c>
      <c r="O891" t="str">
        <f>VLOOKUP(Table1[[#This Row],[Order ID]],Status!A:B, 2,FALSE)</f>
        <v>Completed</v>
      </c>
      <c r="P891" s="2" t="s">
        <v>36</v>
      </c>
      <c r="Q891" s="2">
        <v>5</v>
      </c>
      <c r="R891" s="2" t="s">
        <v>24</v>
      </c>
      <c r="S891" s="11" t="str">
        <f t="shared" si="68"/>
        <v>Bagus</v>
      </c>
      <c r="T891" s="2" t="str">
        <f t="shared" si="69"/>
        <v>Sangat Rendah</v>
      </c>
    </row>
    <row r="892" spans="1:20" ht="15.75" customHeight="1" x14ac:dyDescent="0.3">
      <c r="A892" s="4" t="s">
        <v>1499</v>
      </c>
      <c r="B892" s="3">
        <v>45760.78162037037</v>
      </c>
      <c r="C892" s="2" t="s">
        <v>774</v>
      </c>
      <c r="D892" s="2" t="s">
        <v>262</v>
      </c>
      <c r="E892" s="2" t="s">
        <v>34</v>
      </c>
      <c r="F892" s="2">
        <v>16000</v>
      </c>
      <c r="G892" s="2">
        <v>2</v>
      </c>
      <c r="H892" s="2">
        <v>15</v>
      </c>
      <c r="I892">
        <f t="shared" si="65"/>
        <v>32000</v>
      </c>
      <c r="J892">
        <f t="shared" si="66"/>
        <v>4800</v>
      </c>
      <c r="K892" s="6">
        <f t="shared" si="67"/>
        <v>27200</v>
      </c>
      <c r="L892" s="2">
        <v>18000</v>
      </c>
      <c r="M892" s="6">
        <f>Table1[[#This Row],[Total Sales]]+Table1[[#This Row],[Shipping Fee]]</f>
        <v>45200</v>
      </c>
      <c r="N892" s="2" t="s">
        <v>29</v>
      </c>
      <c r="O892" t="str">
        <f>VLOOKUP(Table1[[#This Row],[Order ID]],Status!A:B, 2,FALSE)</f>
        <v>Returned</v>
      </c>
      <c r="P892" s="2" t="s">
        <v>36</v>
      </c>
      <c r="Q892" s="2">
        <v>5</v>
      </c>
      <c r="R892" s="2" t="s">
        <v>24</v>
      </c>
      <c r="S892" s="11" t="str">
        <f t="shared" si="68"/>
        <v>Bagus</v>
      </c>
      <c r="T892" s="2" t="str">
        <f t="shared" si="69"/>
        <v>Sangat Rendah</v>
      </c>
    </row>
    <row r="893" spans="1:20" ht="15.75" customHeight="1" x14ac:dyDescent="0.3">
      <c r="A893" s="4" t="s">
        <v>1498</v>
      </c>
      <c r="B893" s="3">
        <v>45760.76048611111</v>
      </c>
      <c r="C893" s="2" t="s">
        <v>269</v>
      </c>
      <c r="D893" s="2" t="s">
        <v>173</v>
      </c>
      <c r="E893" s="2" t="s">
        <v>34</v>
      </c>
      <c r="F893" s="2">
        <v>16000</v>
      </c>
      <c r="G893" s="2">
        <v>1</v>
      </c>
      <c r="H893" s="2">
        <v>5</v>
      </c>
      <c r="I893">
        <f t="shared" si="65"/>
        <v>16000</v>
      </c>
      <c r="J893">
        <f t="shared" si="66"/>
        <v>800</v>
      </c>
      <c r="K893" s="6">
        <f t="shared" si="67"/>
        <v>15200</v>
      </c>
      <c r="L893" s="2">
        <v>49000</v>
      </c>
      <c r="M893" s="6">
        <f>Table1[[#This Row],[Total Sales]]+Table1[[#This Row],[Shipping Fee]]</f>
        <v>64200</v>
      </c>
      <c r="N893" s="2" t="s">
        <v>29</v>
      </c>
      <c r="O893" t="str">
        <f>VLOOKUP(Table1[[#This Row],[Order ID]],Status!A:B, 2,FALSE)</f>
        <v>Completed</v>
      </c>
      <c r="P893" s="2" t="s">
        <v>30</v>
      </c>
      <c r="Q893" s="2">
        <v>2</v>
      </c>
      <c r="R893" s="2" t="s">
        <v>37</v>
      </c>
      <c r="S893" s="11" t="str">
        <f t="shared" si="68"/>
        <v>Rendah</v>
      </c>
      <c r="T893" s="2" t="str">
        <f t="shared" si="69"/>
        <v>Sangat Rendah</v>
      </c>
    </row>
    <row r="894" spans="1:20" ht="15.75" customHeight="1" x14ac:dyDescent="0.3">
      <c r="A894" s="4" t="s">
        <v>1497</v>
      </c>
      <c r="B894" s="3">
        <v>45760.714467592603</v>
      </c>
      <c r="C894" s="2" t="s">
        <v>95</v>
      </c>
      <c r="D894" s="2" t="s">
        <v>96</v>
      </c>
      <c r="E894" s="2" t="s">
        <v>67</v>
      </c>
      <c r="F894" s="2">
        <v>15000</v>
      </c>
      <c r="G894" s="2">
        <v>5</v>
      </c>
      <c r="H894" s="2">
        <v>10</v>
      </c>
      <c r="I894">
        <f t="shared" si="65"/>
        <v>75000</v>
      </c>
      <c r="J894">
        <f t="shared" si="66"/>
        <v>7500</v>
      </c>
      <c r="K894" s="6">
        <f t="shared" si="67"/>
        <v>67500</v>
      </c>
      <c r="L894" s="2">
        <v>49000</v>
      </c>
      <c r="M894" s="6">
        <f>Table1[[#This Row],[Total Sales]]+Table1[[#This Row],[Shipping Fee]]</f>
        <v>116500</v>
      </c>
      <c r="N894" s="2" t="s">
        <v>29</v>
      </c>
      <c r="O894" t="str">
        <f>VLOOKUP(Table1[[#This Row],[Order ID]],Status!A:B, 2,FALSE)</f>
        <v>Cancelled</v>
      </c>
      <c r="P894" s="2" t="s">
        <v>82</v>
      </c>
      <c r="Q894" s="2">
        <v>4</v>
      </c>
      <c r="R894" s="2" t="s">
        <v>24</v>
      </c>
      <c r="S894" s="11" t="str">
        <f t="shared" si="68"/>
        <v>Bagus</v>
      </c>
      <c r="T894" s="2" t="str">
        <f t="shared" si="69"/>
        <v>Rendah</v>
      </c>
    </row>
    <row r="895" spans="1:20" ht="15.75" customHeight="1" x14ac:dyDescent="0.3">
      <c r="A895" s="4" t="s">
        <v>1496</v>
      </c>
      <c r="B895" s="3">
        <v>45760.649143518523</v>
      </c>
      <c r="C895" s="2" t="s">
        <v>638</v>
      </c>
      <c r="D895" s="2" t="s">
        <v>195</v>
      </c>
      <c r="E895" s="2" t="s">
        <v>186</v>
      </c>
      <c r="F895" s="2">
        <v>45000</v>
      </c>
      <c r="G895" s="2">
        <v>4</v>
      </c>
      <c r="H895" s="2">
        <v>5</v>
      </c>
      <c r="I895">
        <f t="shared" si="65"/>
        <v>180000</v>
      </c>
      <c r="J895">
        <f t="shared" si="66"/>
        <v>9000</v>
      </c>
      <c r="K895" s="6">
        <f t="shared" si="67"/>
        <v>171000</v>
      </c>
      <c r="L895" s="2">
        <v>87000</v>
      </c>
      <c r="M895" s="6">
        <f>Table1[[#This Row],[Total Sales]]+Table1[[#This Row],[Shipping Fee]]</f>
        <v>258000</v>
      </c>
      <c r="N895" s="2" t="s">
        <v>29</v>
      </c>
      <c r="O895" t="str">
        <f>VLOOKUP(Table1[[#This Row],[Order ID]],Status!A:B, 2,FALSE)</f>
        <v>Completed</v>
      </c>
      <c r="P895" s="2" t="s">
        <v>36</v>
      </c>
      <c r="Q895" s="2">
        <v>1</v>
      </c>
      <c r="R895" s="2" t="s">
        <v>37</v>
      </c>
      <c r="S895" s="11" t="str">
        <f t="shared" si="68"/>
        <v>Rendah</v>
      </c>
      <c r="T895" s="2" t="str">
        <f t="shared" si="69"/>
        <v>Rendah</v>
      </c>
    </row>
    <row r="896" spans="1:20" ht="15.75" customHeight="1" x14ac:dyDescent="0.3">
      <c r="A896" s="4" t="s">
        <v>1495</v>
      </c>
      <c r="B896" s="3">
        <v>45760.54241898148</v>
      </c>
      <c r="C896" s="2" t="s">
        <v>73</v>
      </c>
      <c r="D896" s="2" t="s">
        <v>74</v>
      </c>
      <c r="E896" s="2" t="s">
        <v>190</v>
      </c>
      <c r="F896" s="2">
        <v>35000</v>
      </c>
      <c r="G896" s="2">
        <v>2</v>
      </c>
      <c r="H896" s="2">
        <v>0</v>
      </c>
      <c r="I896">
        <f t="shared" si="65"/>
        <v>70000</v>
      </c>
      <c r="J896">
        <f t="shared" si="66"/>
        <v>0</v>
      </c>
      <c r="K896" s="6">
        <f t="shared" si="67"/>
        <v>70000</v>
      </c>
      <c r="L896" s="2">
        <v>87000</v>
      </c>
      <c r="M896" s="6">
        <f>Table1[[#This Row],[Total Sales]]+Table1[[#This Row],[Shipping Fee]]</f>
        <v>157000</v>
      </c>
      <c r="N896" s="2" t="s">
        <v>35</v>
      </c>
      <c r="O896" t="str">
        <f>VLOOKUP(Table1[[#This Row],[Order ID]],Status!A:B, 2,FALSE)</f>
        <v>Completed</v>
      </c>
      <c r="P896" s="2" t="s">
        <v>82</v>
      </c>
      <c r="Q896" s="2">
        <v>2</v>
      </c>
      <c r="R896" s="2" t="s">
        <v>24</v>
      </c>
      <c r="S896" s="11" t="str">
        <f t="shared" si="68"/>
        <v>Rendah</v>
      </c>
      <c r="T896" s="2" t="str">
        <f t="shared" si="69"/>
        <v>Sangat Rendah</v>
      </c>
    </row>
    <row r="897" spans="1:20" ht="15.75" customHeight="1" x14ac:dyDescent="0.3">
      <c r="A897" s="4" t="s">
        <v>1494</v>
      </c>
      <c r="B897" s="3">
        <v>45760.381064814806</v>
      </c>
      <c r="C897" s="2" t="s">
        <v>582</v>
      </c>
      <c r="D897" s="2" t="s">
        <v>435</v>
      </c>
      <c r="E897" s="2" t="s">
        <v>123</v>
      </c>
      <c r="F897" s="2">
        <v>22000</v>
      </c>
      <c r="G897" s="2">
        <v>1</v>
      </c>
      <c r="H897" s="2">
        <v>15</v>
      </c>
      <c r="I897">
        <f t="shared" si="65"/>
        <v>22000</v>
      </c>
      <c r="J897">
        <f t="shared" si="66"/>
        <v>3300</v>
      </c>
      <c r="K897" s="6">
        <f t="shared" si="67"/>
        <v>18700</v>
      </c>
      <c r="L897" s="2">
        <v>67000</v>
      </c>
      <c r="M897" s="6">
        <f>Table1[[#This Row],[Total Sales]]+Table1[[#This Row],[Shipping Fee]]</f>
        <v>85700</v>
      </c>
      <c r="N897" s="2" t="s">
        <v>35</v>
      </c>
      <c r="O897" t="str">
        <f>VLOOKUP(Table1[[#This Row],[Order ID]],Status!A:B, 2,FALSE)</f>
        <v>Completed</v>
      </c>
      <c r="P897" s="2" t="s">
        <v>46</v>
      </c>
      <c r="Q897" s="2">
        <v>3</v>
      </c>
      <c r="R897" s="2" t="s">
        <v>24</v>
      </c>
      <c r="S897" s="11" t="str">
        <f t="shared" si="68"/>
        <v>Standar</v>
      </c>
      <c r="T897" s="2" t="str">
        <f t="shared" si="69"/>
        <v>Sangat Rendah</v>
      </c>
    </row>
    <row r="898" spans="1:20" ht="15.75" customHeight="1" x14ac:dyDescent="0.3">
      <c r="A898" s="4" t="s">
        <v>1494</v>
      </c>
      <c r="B898" s="3">
        <v>45760.381064814806</v>
      </c>
      <c r="C898" s="2" t="s">
        <v>582</v>
      </c>
      <c r="D898" s="2" t="s">
        <v>435</v>
      </c>
      <c r="E898" s="2" t="s">
        <v>250</v>
      </c>
      <c r="F898" s="2">
        <v>18000</v>
      </c>
      <c r="G898" s="2">
        <v>1</v>
      </c>
      <c r="H898" s="2">
        <v>10</v>
      </c>
      <c r="I898">
        <f t="shared" ref="I898:I961" si="70">F898*G898</f>
        <v>18000</v>
      </c>
      <c r="J898">
        <f t="shared" ref="J898:J961" si="71">I898*H898/100</f>
        <v>1800</v>
      </c>
      <c r="K898" s="6">
        <f t="shared" ref="K898:K961" si="72">I898-J898</f>
        <v>16200</v>
      </c>
      <c r="L898" s="2">
        <v>0</v>
      </c>
      <c r="M898" s="6">
        <f>Table1[[#This Row],[Total Sales]]+Table1[[#This Row],[Shipping Fee]]</f>
        <v>16200</v>
      </c>
      <c r="N898" s="2" t="s">
        <v>35</v>
      </c>
      <c r="O898" t="str">
        <f>VLOOKUP(Table1[[#This Row],[Order ID]],Status!A:B, 2,FALSE)</f>
        <v>Completed</v>
      </c>
      <c r="P898" s="2" t="s">
        <v>46</v>
      </c>
      <c r="Q898" s="2">
        <v>3</v>
      </c>
      <c r="R898" s="2" t="s">
        <v>24</v>
      </c>
      <c r="S898" s="11" t="str">
        <f t="shared" ref="S898:S961" si="73">_xlfn.IFS(Q898&gt;3,"Bagus",Q898=3,"Standar",Q898&lt;3,"Rendah")</f>
        <v>Standar</v>
      </c>
      <c r="T898" s="2" t="str">
        <f t="shared" ref="T898:T961" si="74">_xlfn.IFS(J898&lt;=5000,"Sangat Rendah", J898&lt;=10000,"Rendah", J898&lt;=20000, "Normal", J898&lt;=35000, "Tinggi", J898&lt;= 50000, "Sangat Tinggi", J898&gt;50000, "Clearance")</f>
        <v>Sangat Rendah</v>
      </c>
    </row>
    <row r="899" spans="1:20" ht="15.75" customHeight="1" x14ac:dyDescent="0.3">
      <c r="A899" s="4" t="s">
        <v>1493</v>
      </c>
      <c r="B899" s="3">
        <v>45760.309490740743</v>
      </c>
      <c r="C899" s="2" t="s">
        <v>102</v>
      </c>
      <c r="D899" s="2" t="s">
        <v>103</v>
      </c>
      <c r="E899" s="2" t="s">
        <v>138</v>
      </c>
      <c r="F899" s="2">
        <v>17000</v>
      </c>
      <c r="G899" s="2">
        <v>5</v>
      </c>
      <c r="H899" s="2">
        <v>5</v>
      </c>
      <c r="I899">
        <f t="shared" si="70"/>
        <v>85000</v>
      </c>
      <c r="J899">
        <f t="shared" si="71"/>
        <v>4250</v>
      </c>
      <c r="K899" s="6">
        <f t="shared" si="72"/>
        <v>80750</v>
      </c>
      <c r="L899" s="2">
        <v>85000</v>
      </c>
      <c r="M899" s="6">
        <f>Table1[[#This Row],[Total Sales]]+Table1[[#This Row],[Shipping Fee]]</f>
        <v>165750</v>
      </c>
      <c r="N899" s="2" t="s">
        <v>63</v>
      </c>
      <c r="O899" t="str">
        <f>VLOOKUP(Table1[[#This Row],[Order ID]],Status!A:B, 2,FALSE)</f>
        <v>Returned</v>
      </c>
      <c r="P899" s="2" t="s">
        <v>46</v>
      </c>
      <c r="Q899" s="2">
        <v>2</v>
      </c>
      <c r="R899" s="2" t="s">
        <v>24</v>
      </c>
      <c r="S899" s="11" t="str">
        <f t="shared" si="73"/>
        <v>Rendah</v>
      </c>
      <c r="T899" s="2" t="str">
        <f t="shared" si="74"/>
        <v>Sangat Rendah</v>
      </c>
    </row>
    <row r="900" spans="1:20" ht="15.75" customHeight="1" x14ac:dyDescent="0.3">
      <c r="A900" s="4" t="s">
        <v>1492</v>
      </c>
      <c r="B900" s="3">
        <v>45760.287974537037</v>
      </c>
      <c r="C900" s="2" t="s">
        <v>582</v>
      </c>
      <c r="D900" s="2" t="s">
        <v>435</v>
      </c>
      <c r="E900" s="2" t="s">
        <v>71</v>
      </c>
      <c r="F900" s="2">
        <v>40000</v>
      </c>
      <c r="G900" s="2">
        <v>5</v>
      </c>
      <c r="H900" s="2">
        <v>20</v>
      </c>
      <c r="I900">
        <f t="shared" si="70"/>
        <v>200000</v>
      </c>
      <c r="J900">
        <f t="shared" si="71"/>
        <v>40000</v>
      </c>
      <c r="K900" s="6">
        <f t="shared" si="72"/>
        <v>160000</v>
      </c>
      <c r="L900" s="2">
        <v>67000</v>
      </c>
      <c r="M900" s="6">
        <f>Table1[[#This Row],[Total Sales]]+Table1[[#This Row],[Shipping Fee]]</f>
        <v>227000</v>
      </c>
      <c r="N900" s="2" t="s">
        <v>35</v>
      </c>
      <c r="O900" t="str">
        <f>VLOOKUP(Table1[[#This Row],[Order ID]],Status!A:B, 2,FALSE)</f>
        <v>Completed</v>
      </c>
      <c r="P900" s="2" t="s">
        <v>23</v>
      </c>
      <c r="Q900" s="2">
        <v>5</v>
      </c>
      <c r="R900" s="2" t="s">
        <v>24</v>
      </c>
      <c r="S900" s="11" t="str">
        <f t="shared" si="73"/>
        <v>Bagus</v>
      </c>
      <c r="T900" s="2" t="str">
        <f t="shared" si="74"/>
        <v>Sangat Tinggi</v>
      </c>
    </row>
    <row r="901" spans="1:20" ht="15.75" customHeight="1" x14ac:dyDescent="0.3">
      <c r="A901" s="4" t="s">
        <v>1492</v>
      </c>
      <c r="B901" s="3">
        <v>45760.287974537037</v>
      </c>
      <c r="C901" s="2" t="s">
        <v>582</v>
      </c>
      <c r="D901" s="2" t="s">
        <v>435</v>
      </c>
      <c r="E901" s="2" t="s">
        <v>81</v>
      </c>
      <c r="F901" s="2">
        <v>17000</v>
      </c>
      <c r="G901" s="2">
        <v>5</v>
      </c>
      <c r="H901" s="2">
        <v>20</v>
      </c>
      <c r="I901">
        <f t="shared" si="70"/>
        <v>85000</v>
      </c>
      <c r="J901">
        <f t="shared" si="71"/>
        <v>17000</v>
      </c>
      <c r="K901" s="6">
        <f t="shared" si="72"/>
        <v>68000</v>
      </c>
      <c r="L901" s="2">
        <v>0</v>
      </c>
      <c r="M901" s="6">
        <f>Table1[[#This Row],[Total Sales]]+Table1[[#This Row],[Shipping Fee]]</f>
        <v>68000</v>
      </c>
      <c r="N901" s="2" t="s">
        <v>35</v>
      </c>
      <c r="O901" t="str">
        <f>VLOOKUP(Table1[[#This Row],[Order ID]],Status!A:B, 2,FALSE)</f>
        <v>Completed</v>
      </c>
      <c r="P901" s="2" t="s">
        <v>23</v>
      </c>
      <c r="Q901" s="2">
        <v>5</v>
      </c>
      <c r="R901" s="2" t="s">
        <v>24</v>
      </c>
      <c r="S901" s="11" t="str">
        <f t="shared" si="73"/>
        <v>Bagus</v>
      </c>
      <c r="T901" s="2" t="str">
        <f t="shared" si="74"/>
        <v>Normal</v>
      </c>
    </row>
    <row r="902" spans="1:20" ht="15.75" customHeight="1" x14ac:dyDescent="0.3">
      <c r="A902" s="4" t="s">
        <v>1491</v>
      </c>
      <c r="B902" s="3">
        <v>45760.267974537041</v>
      </c>
      <c r="C902" s="2" t="s">
        <v>258</v>
      </c>
      <c r="D902" s="2" t="s">
        <v>44</v>
      </c>
      <c r="E902" s="2" t="s">
        <v>250</v>
      </c>
      <c r="F902" s="2">
        <v>18000</v>
      </c>
      <c r="G902" s="2">
        <v>1</v>
      </c>
      <c r="H902" s="2">
        <v>20</v>
      </c>
      <c r="I902">
        <f t="shared" si="70"/>
        <v>18000</v>
      </c>
      <c r="J902">
        <f t="shared" si="71"/>
        <v>3600</v>
      </c>
      <c r="K902" s="6">
        <f t="shared" si="72"/>
        <v>14400</v>
      </c>
      <c r="L902" s="2">
        <v>93000</v>
      </c>
      <c r="M902" s="6">
        <f>Table1[[#This Row],[Total Sales]]+Table1[[#This Row],[Shipping Fee]]</f>
        <v>107400</v>
      </c>
      <c r="N902" s="2" t="s">
        <v>35</v>
      </c>
      <c r="O902" t="str">
        <f>VLOOKUP(Table1[[#This Row],[Order ID]],Status!A:B, 2,FALSE)</f>
        <v>Completed</v>
      </c>
      <c r="P902" s="2" t="s">
        <v>23</v>
      </c>
      <c r="Q902" s="2">
        <v>3</v>
      </c>
      <c r="R902" s="2" t="s">
        <v>24</v>
      </c>
      <c r="S902" s="11" t="str">
        <f t="shared" si="73"/>
        <v>Standar</v>
      </c>
      <c r="T902" s="2" t="str">
        <f t="shared" si="74"/>
        <v>Sangat Rendah</v>
      </c>
    </row>
    <row r="903" spans="1:20" ht="15.75" customHeight="1" x14ac:dyDescent="0.3">
      <c r="A903" s="4" t="s">
        <v>1490</v>
      </c>
      <c r="B903" s="3">
        <v>45760.089467592603</v>
      </c>
      <c r="C903" s="2" t="s">
        <v>851</v>
      </c>
      <c r="D903" s="2" t="s">
        <v>66</v>
      </c>
      <c r="E903" s="2" t="s">
        <v>123</v>
      </c>
      <c r="F903" s="2">
        <v>22000</v>
      </c>
      <c r="G903" s="2">
        <v>5</v>
      </c>
      <c r="H903" s="2">
        <v>5</v>
      </c>
      <c r="I903">
        <f t="shared" si="70"/>
        <v>110000</v>
      </c>
      <c r="J903">
        <f t="shared" si="71"/>
        <v>5500</v>
      </c>
      <c r="K903" s="6">
        <f t="shared" si="72"/>
        <v>104500</v>
      </c>
      <c r="L903" s="2">
        <v>59000</v>
      </c>
      <c r="M903" s="6">
        <f>Table1[[#This Row],[Total Sales]]+Table1[[#This Row],[Shipping Fee]]</f>
        <v>163500</v>
      </c>
      <c r="N903" s="2" t="s">
        <v>22</v>
      </c>
      <c r="O903" t="str">
        <f>VLOOKUP(Table1[[#This Row],[Order ID]],Status!A:B, 2,FALSE)</f>
        <v>Completed</v>
      </c>
      <c r="P903" s="2" t="s">
        <v>82</v>
      </c>
      <c r="Q903" s="2">
        <v>1</v>
      </c>
      <c r="R903" s="2" t="s">
        <v>37</v>
      </c>
      <c r="S903" s="11" t="str">
        <f t="shared" si="73"/>
        <v>Rendah</v>
      </c>
      <c r="T903" s="2" t="str">
        <f t="shared" si="74"/>
        <v>Rendah</v>
      </c>
    </row>
    <row r="904" spans="1:20" ht="15.75" customHeight="1" x14ac:dyDescent="0.3">
      <c r="A904" s="4" t="s">
        <v>1489</v>
      </c>
      <c r="B904" s="3">
        <v>45760.088553240741</v>
      </c>
      <c r="C904" s="2" t="s">
        <v>584</v>
      </c>
      <c r="D904" s="2" t="s">
        <v>92</v>
      </c>
      <c r="E904" s="2" t="s">
        <v>123</v>
      </c>
      <c r="F904" s="2">
        <v>22000</v>
      </c>
      <c r="G904" s="2">
        <v>2</v>
      </c>
      <c r="H904" s="2">
        <v>0</v>
      </c>
      <c r="I904">
        <f t="shared" si="70"/>
        <v>44000</v>
      </c>
      <c r="J904">
        <f t="shared" si="71"/>
        <v>0</v>
      </c>
      <c r="K904" s="6">
        <f t="shared" si="72"/>
        <v>44000</v>
      </c>
      <c r="L904" s="2">
        <v>30000</v>
      </c>
      <c r="M904" s="6">
        <f>Table1[[#This Row],[Total Sales]]+Table1[[#This Row],[Shipping Fee]]</f>
        <v>74000</v>
      </c>
      <c r="N904" s="2" t="s">
        <v>63</v>
      </c>
      <c r="O904" t="str">
        <f>VLOOKUP(Table1[[#This Row],[Order ID]],Status!A:B, 2,FALSE)</f>
        <v>Returned</v>
      </c>
      <c r="P904" s="2" t="s">
        <v>46</v>
      </c>
      <c r="Q904" s="2">
        <v>5</v>
      </c>
      <c r="R904" s="2" t="s">
        <v>24</v>
      </c>
      <c r="S904" s="11" t="str">
        <f t="shared" si="73"/>
        <v>Bagus</v>
      </c>
      <c r="T904" s="2" t="str">
        <f t="shared" si="74"/>
        <v>Sangat Rendah</v>
      </c>
    </row>
    <row r="905" spans="1:20" ht="15.75" customHeight="1" x14ac:dyDescent="0.3">
      <c r="A905" s="4" t="s">
        <v>1488</v>
      </c>
      <c r="B905" s="3">
        <v>45759.633217592593</v>
      </c>
      <c r="C905" s="2" t="s">
        <v>1128</v>
      </c>
      <c r="D905" s="2" t="s">
        <v>113</v>
      </c>
      <c r="E905" s="2" t="s">
        <v>138</v>
      </c>
      <c r="F905" s="2">
        <v>17000</v>
      </c>
      <c r="G905" s="2">
        <v>5</v>
      </c>
      <c r="H905" s="2">
        <v>20</v>
      </c>
      <c r="I905">
        <f t="shared" si="70"/>
        <v>85000</v>
      </c>
      <c r="J905">
        <f t="shared" si="71"/>
        <v>17000</v>
      </c>
      <c r="K905" s="6">
        <f t="shared" si="72"/>
        <v>68000</v>
      </c>
      <c r="L905" s="2">
        <v>18000</v>
      </c>
      <c r="M905" s="6">
        <f>Table1[[#This Row],[Total Sales]]+Table1[[#This Row],[Shipping Fee]]</f>
        <v>86000</v>
      </c>
      <c r="N905" s="2" t="s">
        <v>63</v>
      </c>
      <c r="O905" t="str">
        <f>VLOOKUP(Table1[[#This Row],[Order ID]],Status!A:B, 2,FALSE)</f>
        <v>Completed</v>
      </c>
      <c r="P905" s="2" t="s">
        <v>82</v>
      </c>
      <c r="Q905" s="2">
        <v>3</v>
      </c>
      <c r="R905" s="2" t="s">
        <v>24</v>
      </c>
      <c r="S905" s="11" t="str">
        <f t="shared" si="73"/>
        <v>Standar</v>
      </c>
      <c r="T905" s="2" t="str">
        <f t="shared" si="74"/>
        <v>Normal</v>
      </c>
    </row>
    <row r="906" spans="1:20" ht="15.75" customHeight="1" x14ac:dyDescent="0.3">
      <c r="A906" s="4" t="s">
        <v>1487</v>
      </c>
      <c r="B906" s="3">
        <v>45759.465162037042</v>
      </c>
      <c r="C906" s="2" t="s">
        <v>128</v>
      </c>
      <c r="D906" s="2" t="s">
        <v>103</v>
      </c>
      <c r="E906" s="2" t="s">
        <v>45</v>
      </c>
      <c r="F906" s="2">
        <v>40000</v>
      </c>
      <c r="G906" s="2">
        <v>4</v>
      </c>
      <c r="H906" s="2">
        <v>0</v>
      </c>
      <c r="I906">
        <f t="shared" si="70"/>
        <v>160000</v>
      </c>
      <c r="J906">
        <f t="shared" si="71"/>
        <v>0</v>
      </c>
      <c r="K906" s="6">
        <f t="shared" si="72"/>
        <v>160000</v>
      </c>
      <c r="L906" s="2">
        <v>85000</v>
      </c>
      <c r="M906" s="6">
        <f>Table1[[#This Row],[Total Sales]]+Table1[[#This Row],[Shipping Fee]]</f>
        <v>245000</v>
      </c>
      <c r="N906" s="2" t="s">
        <v>29</v>
      </c>
      <c r="O906" t="str">
        <f>VLOOKUP(Table1[[#This Row],[Order ID]],Status!A:B, 2,FALSE)</f>
        <v>Completed</v>
      </c>
      <c r="P906" s="2" t="s">
        <v>46</v>
      </c>
      <c r="Q906" s="2">
        <v>4</v>
      </c>
      <c r="R906" s="2" t="s">
        <v>37</v>
      </c>
      <c r="S906" s="11" t="str">
        <f t="shared" si="73"/>
        <v>Bagus</v>
      </c>
      <c r="T906" s="2" t="str">
        <f t="shared" si="74"/>
        <v>Sangat Rendah</v>
      </c>
    </row>
    <row r="907" spans="1:20" ht="15.75" customHeight="1" x14ac:dyDescent="0.3">
      <c r="A907" s="4" t="s">
        <v>1486</v>
      </c>
      <c r="B907" s="3">
        <v>45759.435787037037</v>
      </c>
      <c r="C907" s="2" t="s">
        <v>207</v>
      </c>
      <c r="D907" s="2" t="s">
        <v>96</v>
      </c>
      <c r="E907" s="2" t="s">
        <v>144</v>
      </c>
      <c r="F907" s="2">
        <v>18000</v>
      </c>
      <c r="G907" s="2">
        <v>1</v>
      </c>
      <c r="H907" s="2">
        <v>5</v>
      </c>
      <c r="I907">
        <f t="shared" si="70"/>
        <v>18000</v>
      </c>
      <c r="J907">
        <f t="shared" si="71"/>
        <v>900</v>
      </c>
      <c r="K907" s="6">
        <f t="shared" si="72"/>
        <v>17100</v>
      </c>
      <c r="L907" s="2">
        <v>49000</v>
      </c>
      <c r="M907" s="6">
        <f>Table1[[#This Row],[Total Sales]]+Table1[[#This Row],[Shipping Fee]]</f>
        <v>66100</v>
      </c>
      <c r="N907" s="2" t="s">
        <v>22</v>
      </c>
      <c r="O907" t="str">
        <f>VLOOKUP(Table1[[#This Row],[Order ID]],Status!A:B, 2,FALSE)</f>
        <v>Cancelled</v>
      </c>
      <c r="P907" s="2" t="s">
        <v>36</v>
      </c>
      <c r="Q907" s="2">
        <v>4</v>
      </c>
      <c r="R907" s="2" t="s">
        <v>24</v>
      </c>
      <c r="S907" s="11" t="str">
        <f t="shared" si="73"/>
        <v>Bagus</v>
      </c>
      <c r="T907" s="2" t="str">
        <f t="shared" si="74"/>
        <v>Sangat Rendah</v>
      </c>
    </row>
    <row r="908" spans="1:20" ht="15.75" customHeight="1" x14ac:dyDescent="0.3">
      <c r="A908" s="4" t="s">
        <v>1486</v>
      </c>
      <c r="B908" s="3">
        <v>45759.435787037037</v>
      </c>
      <c r="C908" s="2" t="s">
        <v>207</v>
      </c>
      <c r="D908" s="2" t="s">
        <v>96</v>
      </c>
      <c r="E908" s="2" t="s">
        <v>50</v>
      </c>
      <c r="F908" s="2">
        <v>14000</v>
      </c>
      <c r="G908" s="2">
        <v>4</v>
      </c>
      <c r="H908" s="2">
        <v>5</v>
      </c>
      <c r="I908">
        <f t="shared" si="70"/>
        <v>56000</v>
      </c>
      <c r="J908">
        <f t="shared" si="71"/>
        <v>2800</v>
      </c>
      <c r="K908" s="6">
        <f t="shared" si="72"/>
        <v>53200</v>
      </c>
      <c r="L908" s="2">
        <v>0</v>
      </c>
      <c r="M908" s="6">
        <f>Table1[[#This Row],[Total Sales]]+Table1[[#This Row],[Shipping Fee]]</f>
        <v>53200</v>
      </c>
      <c r="N908" s="2" t="s">
        <v>22</v>
      </c>
      <c r="O908" t="str">
        <f>VLOOKUP(Table1[[#This Row],[Order ID]],Status!A:B, 2,FALSE)</f>
        <v>Cancelled</v>
      </c>
      <c r="P908" s="2" t="s">
        <v>36</v>
      </c>
      <c r="Q908" s="2">
        <v>4</v>
      </c>
      <c r="R908" s="2" t="s">
        <v>24</v>
      </c>
      <c r="S908" s="11" t="str">
        <f t="shared" si="73"/>
        <v>Bagus</v>
      </c>
      <c r="T908" s="2" t="str">
        <f t="shared" si="74"/>
        <v>Sangat Rendah</v>
      </c>
    </row>
    <row r="909" spans="1:20" ht="15.75" customHeight="1" x14ac:dyDescent="0.3">
      <c r="A909" s="4" t="s">
        <v>1485</v>
      </c>
      <c r="B909" s="3">
        <v>45759.326747685183</v>
      </c>
      <c r="C909" s="2" t="s">
        <v>416</v>
      </c>
      <c r="D909" s="2" t="s">
        <v>131</v>
      </c>
      <c r="E909" s="2" t="s">
        <v>50</v>
      </c>
      <c r="F909" s="2">
        <v>14000</v>
      </c>
      <c r="G909" s="2">
        <v>4</v>
      </c>
      <c r="H909" s="2">
        <v>5</v>
      </c>
      <c r="I909">
        <f t="shared" si="70"/>
        <v>56000</v>
      </c>
      <c r="J909">
        <f t="shared" si="71"/>
        <v>2800</v>
      </c>
      <c r="K909" s="6">
        <f t="shared" si="72"/>
        <v>53200</v>
      </c>
      <c r="L909" s="2">
        <v>59000</v>
      </c>
      <c r="M909" s="6">
        <f>Table1[[#This Row],[Total Sales]]+Table1[[#This Row],[Shipping Fee]]</f>
        <v>112200</v>
      </c>
      <c r="N909" s="2" t="s">
        <v>29</v>
      </c>
      <c r="O909" t="str">
        <f>VLOOKUP(Table1[[#This Row],[Order ID]],Status!A:B, 2,FALSE)</f>
        <v>Completed</v>
      </c>
      <c r="P909" s="2" t="s">
        <v>82</v>
      </c>
      <c r="Q909" s="2">
        <v>3</v>
      </c>
      <c r="R909" s="2" t="s">
        <v>24</v>
      </c>
      <c r="S909" s="11" t="str">
        <f t="shared" si="73"/>
        <v>Standar</v>
      </c>
      <c r="T909" s="2" t="str">
        <f t="shared" si="74"/>
        <v>Sangat Rendah</v>
      </c>
    </row>
    <row r="910" spans="1:20" ht="15.75" customHeight="1" x14ac:dyDescent="0.3">
      <c r="A910" s="4" t="s">
        <v>1484</v>
      </c>
      <c r="B910" s="3">
        <v>45758.829409722217</v>
      </c>
      <c r="C910" s="2" t="s">
        <v>525</v>
      </c>
      <c r="D910" s="2" t="s">
        <v>96</v>
      </c>
      <c r="E910" s="2" t="s">
        <v>250</v>
      </c>
      <c r="F910" s="2">
        <v>18000</v>
      </c>
      <c r="G910" s="2">
        <v>1</v>
      </c>
      <c r="H910" s="2">
        <v>20</v>
      </c>
      <c r="I910">
        <f t="shared" si="70"/>
        <v>18000</v>
      </c>
      <c r="J910">
        <f t="shared" si="71"/>
        <v>3600</v>
      </c>
      <c r="K910" s="6">
        <f t="shared" si="72"/>
        <v>14400</v>
      </c>
      <c r="L910" s="2">
        <v>49000</v>
      </c>
      <c r="M910" s="6">
        <f>Table1[[#This Row],[Total Sales]]+Table1[[#This Row],[Shipping Fee]]</f>
        <v>63400</v>
      </c>
      <c r="N910" s="2" t="s">
        <v>22</v>
      </c>
      <c r="O910" t="str">
        <f>VLOOKUP(Table1[[#This Row],[Order ID]],Status!A:B, 2,FALSE)</f>
        <v>Completed</v>
      </c>
      <c r="P910" s="2" t="s">
        <v>36</v>
      </c>
      <c r="Q910" s="2">
        <v>3</v>
      </c>
      <c r="R910" s="2" t="s">
        <v>24</v>
      </c>
      <c r="S910" s="11" t="str">
        <f t="shared" si="73"/>
        <v>Standar</v>
      </c>
      <c r="T910" s="2" t="str">
        <f t="shared" si="74"/>
        <v>Sangat Rendah</v>
      </c>
    </row>
    <row r="911" spans="1:20" ht="15.75" customHeight="1" x14ac:dyDescent="0.3">
      <c r="A911" s="4" t="s">
        <v>1483</v>
      </c>
      <c r="B911" s="3">
        <v>45758.780046296299</v>
      </c>
      <c r="C911" s="2" t="s">
        <v>214</v>
      </c>
      <c r="D911" s="2" t="s">
        <v>131</v>
      </c>
      <c r="E911" s="2" t="s">
        <v>50</v>
      </c>
      <c r="F911" s="2">
        <v>14000</v>
      </c>
      <c r="G911" s="2">
        <v>2</v>
      </c>
      <c r="H911" s="2">
        <v>20</v>
      </c>
      <c r="I911">
        <f t="shared" si="70"/>
        <v>28000</v>
      </c>
      <c r="J911">
        <f t="shared" si="71"/>
        <v>5600</v>
      </c>
      <c r="K911" s="6">
        <f t="shared" si="72"/>
        <v>22400</v>
      </c>
      <c r="L911" s="2">
        <v>59000</v>
      </c>
      <c r="M911" s="6">
        <f>Table1[[#This Row],[Total Sales]]+Table1[[#This Row],[Shipping Fee]]</f>
        <v>81400</v>
      </c>
      <c r="N911" s="2" t="s">
        <v>22</v>
      </c>
      <c r="O911" t="str">
        <f>VLOOKUP(Table1[[#This Row],[Order ID]],Status!A:B, 2,FALSE)</f>
        <v>Returned</v>
      </c>
      <c r="P911" s="2" t="s">
        <v>82</v>
      </c>
      <c r="Q911" s="2">
        <v>5</v>
      </c>
      <c r="R911" s="2" t="s">
        <v>24</v>
      </c>
      <c r="S911" s="11" t="str">
        <f t="shared" si="73"/>
        <v>Bagus</v>
      </c>
      <c r="T911" s="2" t="str">
        <f t="shared" si="74"/>
        <v>Rendah</v>
      </c>
    </row>
    <row r="912" spans="1:20" ht="15.75" customHeight="1" x14ac:dyDescent="0.3">
      <c r="A912" s="4" t="s">
        <v>1482</v>
      </c>
      <c r="B912" s="3">
        <v>45758.631840277783</v>
      </c>
      <c r="C912" s="2" t="s">
        <v>804</v>
      </c>
      <c r="D912" s="2" t="s">
        <v>49</v>
      </c>
      <c r="E912" s="2" t="s">
        <v>58</v>
      </c>
      <c r="F912" s="2">
        <v>16000</v>
      </c>
      <c r="G912" s="2">
        <v>1</v>
      </c>
      <c r="H912" s="2">
        <v>5</v>
      </c>
      <c r="I912">
        <f t="shared" si="70"/>
        <v>16000</v>
      </c>
      <c r="J912">
        <f t="shared" si="71"/>
        <v>800</v>
      </c>
      <c r="K912" s="6">
        <f t="shared" si="72"/>
        <v>15200</v>
      </c>
      <c r="L912" s="2">
        <v>43000</v>
      </c>
      <c r="M912" s="6">
        <f>Table1[[#This Row],[Total Sales]]+Table1[[#This Row],[Shipping Fee]]</f>
        <v>58200</v>
      </c>
      <c r="N912" s="2" t="s">
        <v>22</v>
      </c>
      <c r="O912" t="str">
        <f>VLOOKUP(Table1[[#This Row],[Order ID]],Status!A:B, 2,FALSE)</f>
        <v>Completed</v>
      </c>
      <c r="P912" s="2" t="s">
        <v>36</v>
      </c>
      <c r="Q912" s="2">
        <v>3</v>
      </c>
      <c r="R912" s="2" t="s">
        <v>24</v>
      </c>
      <c r="S912" s="11" t="str">
        <f t="shared" si="73"/>
        <v>Standar</v>
      </c>
      <c r="T912" s="2" t="str">
        <f t="shared" si="74"/>
        <v>Sangat Rendah</v>
      </c>
    </row>
    <row r="913" spans="1:20" ht="15.75" customHeight="1" x14ac:dyDescent="0.3">
      <c r="A913" s="4" t="s">
        <v>1481</v>
      </c>
      <c r="B913" s="3">
        <v>45758.379479166673</v>
      </c>
      <c r="C913" s="2" t="s">
        <v>271</v>
      </c>
      <c r="D913" s="2" t="s">
        <v>49</v>
      </c>
      <c r="E913" s="2" t="s">
        <v>41</v>
      </c>
      <c r="F913" s="2">
        <v>4000</v>
      </c>
      <c r="G913" s="2">
        <v>4</v>
      </c>
      <c r="H913" s="2">
        <v>10</v>
      </c>
      <c r="I913">
        <f t="shared" si="70"/>
        <v>16000</v>
      </c>
      <c r="J913">
        <f t="shared" si="71"/>
        <v>1600</v>
      </c>
      <c r="K913" s="6">
        <f t="shared" si="72"/>
        <v>14400</v>
      </c>
      <c r="L913" s="2">
        <v>43000</v>
      </c>
      <c r="M913" s="6">
        <f>Table1[[#This Row],[Total Sales]]+Table1[[#This Row],[Shipping Fee]]</f>
        <v>57400</v>
      </c>
      <c r="N913" s="2" t="s">
        <v>22</v>
      </c>
      <c r="O913" t="str">
        <f>VLOOKUP(Table1[[#This Row],[Order ID]],Status!A:B, 2,FALSE)</f>
        <v>Returned</v>
      </c>
      <c r="P913" s="2" t="s">
        <v>23</v>
      </c>
      <c r="Q913" s="2">
        <v>2</v>
      </c>
      <c r="R913" s="2" t="s">
        <v>24</v>
      </c>
      <c r="S913" s="11" t="str">
        <f t="shared" si="73"/>
        <v>Rendah</v>
      </c>
      <c r="T913" s="2" t="str">
        <f t="shared" si="74"/>
        <v>Sangat Rendah</v>
      </c>
    </row>
    <row r="914" spans="1:20" ht="15.75" customHeight="1" x14ac:dyDescent="0.3">
      <c r="A914" s="4" t="s">
        <v>1480</v>
      </c>
      <c r="B914" s="3">
        <v>45758.358599537038</v>
      </c>
      <c r="C914" s="2" t="s">
        <v>449</v>
      </c>
      <c r="D914" s="2" t="s">
        <v>151</v>
      </c>
      <c r="E914" s="2" t="s">
        <v>28</v>
      </c>
      <c r="F914" s="2">
        <v>5000</v>
      </c>
      <c r="G914" s="2">
        <v>4</v>
      </c>
      <c r="H914" s="2">
        <v>15</v>
      </c>
      <c r="I914">
        <f t="shared" si="70"/>
        <v>20000</v>
      </c>
      <c r="J914">
        <f t="shared" si="71"/>
        <v>3000</v>
      </c>
      <c r="K914" s="6">
        <f t="shared" si="72"/>
        <v>17000</v>
      </c>
      <c r="L914" s="2">
        <v>55000</v>
      </c>
      <c r="M914" s="6">
        <f>Table1[[#This Row],[Total Sales]]+Table1[[#This Row],[Shipping Fee]]</f>
        <v>72000</v>
      </c>
      <c r="N914" s="2" t="s">
        <v>22</v>
      </c>
      <c r="O914" t="str">
        <f>VLOOKUP(Table1[[#This Row],[Order ID]],Status!A:B, 2,FALSE)</f>
        <v>Completed</v>
      </c>
      <c r="P914" s="2" t="s">
        <v>46</v>
      </c>
      <c r="Q914" s="2">
        <v>2</v>
      </c>
      <c r="R914" s="2" t="s">
        <v>24</v>
      </c>
      <c r="S914" s="11" t="str">
        <f t="shared" si="73"/>
        <v>Rendah</v>
      </c>
      <c r="T914" s="2" t="str">
        <f t="shared" si="74"/>
        <v>Sangat Rendah</v>
      </c>
    </row>
    <row r="915" spans="1:20" ht="15.75" customHeight="1" x14ac:dyDescent="0.3">
      <c r="A915" s="4" t="s">
        <v>1479</v>
      </c>
      <c r="B915" s="3">
        <v>45758.285497685189</v>
      </c>
      <c r="C915" s="2" t="s">
        <v>741</v>
      </c>
      <c r="D915" s="2" t="s">
        <v>189</v>
      </c>
      <c r="E915" s="2" t="s">
        <v>58</v>
      </c>
      <c r="F915" s="2">
        <v>16000</v>
      </c>
      <c r="G915" s="2">
        <v>4</v>
      </c>
      <c r="H915" s="2">
        <v>20</v>
      </c>
      <c r="I915">
        <f t="shared" si="70"/>
        <v>64000</v>
      </c>
      <c r="J915">
        <f t="shared" si="71"/>
        <v>12800</v>
      </c>
      <c r="K915" s="6">
        <f t="shared" si="72"/>
        <v>51200</v>
      </c>
      <c r="L915" s="2">
        <v>57000</v>
      </c>
      <c r="M915" s="6">
        <f>Table1[[#This Row],[Total Sales]]+Table1[[#This Row],[Shipping Fee]]</f>
        <v>108200</v>
      </c>
      <c r="N915" s="2" t="s">
        <v>22</v>
      </c>
      <c r="O915" t="str">
        <f>VLOOKUP(Table1[[#This Row],[Order ID]],Status!A:B, 2,FALSE)</f>
        <v>Completed</v>
      </c>
      <c r="P915" s="2" t="s">
        <v>46</v>
      </c>
      <c r="Q915" s="2">
        <v>3</v>
      </c>
      <c r="R915" s="2" t="s">
        <v>24</v>
      </c>
      <c r="S915" s="11" t="str">
        <f t="shared" si="73"/>
        <v>Standar</v>
      </c>
      <c r="T915" s="2" t="str">
        <f t="shared" si="74"/>
        <v>Normal</v>
      </c>
    </row>
    <row r="916" spans="1:20" ht="15.75" customHeight="1" x14ac:dyDescent="0.3">
      <c r="A916" s="4" t="s">
        <v>1478</v>
      </c>
      <c r="B916" s="3">
        <v>45758.120034722233</v>
      </c>
      <c r="C916" s="2" t="s">
        <v>159</v>
      </c>
      <c r="D916" s="2" t="s">
        <v>160</v>
      </c>
      <c r="E916" s="2" t="s">
        <v>34</v>
      </c>
      <c r="F916" s="2">
        <v>16000</v>
      </c>
      <c r="G916" s="2">
        <v>1</v>
      </c>
      <c r="H916" s="2">
        <v>10</v>
      </c>
      <c r="I916">
        <f t="shared" si="70"/>
        <v>16000</v>
      </c>
      <c r="J916">
        <f t="shared" si="71"/>
        <v>1600</v>
      </c>
      <c r="K916" s="6">
        <f t="shared" si="72"/>
        <v>14400</v>
      </c>
      <c r="L916" s="2">
        <v>68000</v>
      </c>
      <c r="M916" s="6">
        <f>Table1[[#This Row],[Total Sales]]+Table1[[#This Row],[Shipping Fee]]</f>
        <v>82400</v>
      </c>
      <c r="N916" s="2" t="s">
        <v>63</v>
      </c>
      <c r="O916" t="str">
        <f>VLOOKUP(Table1[[#This Row],[Order ID]],Status!A:B, 2,FALSE)</f>
        <v>Completed</v>
      </c>
      <c r="P916" s="2" t="s">
        <v>30</v>
      </c>
      <c r="Q916" s="2">
        <v>3</v>
      </c>
      <c r="R916" s="2" t="s">
        <v>24</v>
      </c>
      <c r="S916" s="11" t="str">
        <f t="shared" si="73"/>
        <v>Standar</v>
      </c>
      <c r="T916" s="2" t="str">
        <f t="shared" si="74"/>
        <v>Sangat Rendah</v>
      </c>
    </row>
    <row r="917" spans="1:20" ht="15.75" customHeight="1" x14ac:dyDescent="0.3">
      <c r="A917" s="4" t="s">
        <v>1477</v>
      </c>
      <c r="B917" s="3">
        <v>45757.930636574078</v>
      </c>
      <c r="C917" s="2" t="s">
        <v>95</v>
      </c>
      <c r="D917" s="2" t="s">
        <v>96</v>
      </c>
      <c r="E917" s="2" t="s">
        <v>93</v>
      </c>
      <c r="F917" s="2">
        <v>25000</v>
      </c>
      <c r="G917" s="2">
        <v>4</v>
      </c>
      <c r="H917" s="2">
        <v>5</v>
      </c>
      <c r="I917">
        <f t="shared" si="70"/>
        <v>100000</v>
      </c>
      <c r="J917">
        <f t="shared" si="71"/>
        <v>5000</v>
      </c>
      <c r="K917" s="6">
        <f t="shared" si="72"/>
        <v>95000</v>
      </c>
      <c r="L917" s="2">
        <v>49000</v>
      </c>
      <c r="M917" s="6">
        <f>Table1[[#This Row],[Total Sales]]+Table1[[#This Row],[Shipping Fee]]</f>
        <v>144000</v>
      </c>
      <c r="N917" s="2" t="s">
        <v>63</v>
      </c>
      <c r="O917" t="str">
        <f>VLOOKUP(Table1[[#This Row],[Order ID]],Status!A:B, 2,FALSE)</f>
        <v>Completed</v>
      </c>
      <c r="P917" s="2" t="s">
        <v>23</v>
      </c>
      <c r="Q917" s="2">
        <v>1</v>
      </c>
      <c r="R917" s="2" t="s">
        <v>24</v>
      </c>
      <c r="S917" s="11" t="str">
        <f t="shared" si="73"/>
        <v>Rendah</v>
      </c>
      <c r="T917" s="2" t="str">
        <f t="shared" si="74"/>
        <v>Sangat Rendah</v>
      </c>
    </row>
    <row r="918" spans="1:20" ht="15.75" customHeight="1" x14ac:dyDescent="0.3">
      <c r="A918" s="4" t="s">
        <v>1476</v>
      </c>
      <c r="B918" s="3">
        <v>45757.787037037036</v>
      </c>
      <c r="C918" s="2" t="s">
        <v>361</v>
      </c>
      <c r="D918" s="2" t="s">
        <v>70</v>
      </c>
      <c r="E918" s="2" t="s">
        <v>71</v>
      </c>
      <c r="F918" s="2">
        <v>40000</v>
      </c>
      <c r="G918" s="2">
        <v>2</v>
      </c>
      <c r="H918" s="2">
        <v>5</v>
      </c>
      <c r="I918">
        <f t="shared" si="70"/>
        <v>80000</v>
      </c>
      <c r="J918">
        <f t="shared" si="71"/>
        <v>4000</v>
      </c>
      <c r="K918" s="6">
        <f t="shared" si="72"/>
        <v>76000</v>
      </c>
      <c r="L918" s="2">
        <v>89000</v>
      </c>
      <c r="M918" s="6">
        <f>Table1[[#This Row],[Total Sales]]+Table1[[#This Row],[Shipping Fee]]</f>
        <v>165000</v>
      </c>
      <c r="N918" s="2" t="s">
        <v>22</v>
      </c>
      <c r="O918" t="str">
        <f>VLOOKUP(Table1[[#This Row],[Order ID]],Status!A:B, 2,FALSE)</f>
        <v>Cancelled</v>
      </c>
      <c r="P918" s="2" t="s">
        <v>23</v>
      </c>
      <c r="Q918" s="2">
        <v>1</v>
      </c>
      <c r="R918" s="2" t="s">
        <v>37</v>
      </c>
      <c r="S918" s="11" t="str">
        <f t="shared" si="73"/>
        <v>Rendah</v>
      </c>
      <c r="T918" s="2" t="str">
        <f t="shared" si="74"/>
        <v>Sangat Rendah</v>
      </c>
    </row>
    <row r="919" spans="1:20" ht="15.75" customHeight="1" x14ac:dyDescent="0.3">
      <c r="A919" s="4" t="s">
        <v>1475</v>
      </c>
      <c r="B919" s="3">
        <v>45757.587118055562</v>
      </c>
      <c r="C919" s="2" t="s">
        <v>1445</v>
      </c>
      <c r="D919" s="2" t="s">
        <v>296</v>
      </c>
      <c r="E919" s="2" t="s">
        <v>144</v>
      </c>
      <c r="F919" s="2">
        <v>18000</v>
      </c>
      <c r="G919" s="2">
        <v>1</v>
      </c>
      <c r="H919" s="2">
        <v>20</v>
      </c>
      <c r="I919">
        <f t="shared" si="70"/>
        <v>18000</v>
      </c>
      <c r="J919">
        <f t="shared" si="71"/>
        <v>3600</v>
      </c>
      <c r="K919" s="6">
        <f t="shared" si="72"/>
        <v>14400</v>
      </c>
      <c r="L919" s="2">
        <v>79000</v>
      </c>
      <c r="M919" s="6">
        <f>Table1[[#This Row],[Total Sales]]+Table1[[#This Row],[Shipping Fee]]</f>
        <v>93400</v>
      </c>
      <c r="N919" s="2" t="s">
        <v>29</v>
      </c>
      <c r="O919" t="str">
        <f>VLOOKUP(Table1[[#This Row],[Order ID]],Status!A:B, 2,FALSE)</f>
        <v>Completed</v>
      </c>
      <c r="P919" s="2" t="s">
        <v>36</v>
      </c>
      <c r="Q919" s="2">
        <v>2</v>
      </c>
      <c r="R919" s="2" t="s">
        <v>37</v>
      </c>
      <c r="S919" s="11" t="str">
        <f t="shared" si="73"/>
        <v>Rendah</v>
      </c>
      <c r="T919" s="2" t="str">
        <f t="shared" si="74"/>
        <v>Sangat Rendah</v>
      </c>
    </row>
    <row r="920" spans="1:20" ht="15.75" customHeight="1" x14ac:dyDescent="0.3">
      <c r="A920" s="4" t="s">
        <v>1474</v>
      </c>
      <c r="B920" s="3">
        <v>45757.577997685177</v>
      </c>
      <c r="C920" s="2" t="s">
        <v>681</v>
      </c>
      <c r="D920" s="2" t="s">
        <v>262</v>
      </c>
      <c r="E920" s="2" t="s">
        <v>110</v>
      </c>
      <c r="F920" s="2">
        <v>6000</v>
      </c>
      <c r="G920" s="2">
        <v>1</v>
      </c>
      <c r="H920" s="2">
        <v>15</v>
      </c>
      <c r="I920">
        <f t="shared" si="70"/>
        <v>6000</v>
      </c>
      <c r="J920">
        <f t="shared" si="71"/>
        <v>900</v>
      </c>
      <c r="K920" s="6">
        <f t="shared" si="72"/>
        <v>5100</v>
      </c>
      <c r="L920" s="2">
        <v>18000</v>
      </c>
      <c r="M920" s="6">
        <f>Table1[[#This Row],[Total Sales]]+Table1[[#This Row],[Shipping Fee]]</f>
        <v>23100</v>
      </c>
      <c r="N920" s="2" t="s">
        <v>35</v>
      </c>
      <c r="O920" t="str">
        <f>VLOOKUP(Table1[[#This Row],[Order ID]],Status!A:B, 2,FALSE)</f>
        <v>Returned</v>
      </c>
      <c r="P920" s="2" t="s">
        <v>46</v>
      </c>
      <c r="Q920" s="2">
        <v>3</v>
      </c>
      <c r="R920" s="2" t="s">
        <v>24</v>
      </c>
      <c r="S920" s="11" t="str">
        <f t="shared" si="73"/>
        <v>Standar</v>
      </c>
      <c r="T920" s="2" t="str">
        <f t="shared" si="74"/>
        <v>Sangat Rendah</v>
      </c>
    </row>
    <row r="921" spans="1:20" ht="15.75" customHeight="1" x14ac:dyDescent="0.3">
      <c r="A921" s="4" t="s">
        <v>1473</v>
      </c>
      <c r="B921" s="3">
        <v>45757.552777777782</v>
      </c>
      <c r="C921" s="2" t="s">
        <v>355</v>
      </c>
      <c r="D921" s="2" t="s">
        <v>116</v>
      </c>
      <c r="E921" s="2" t="s">
        <v>144</v>
      </c>
      <c r="F921" s="2">
        <v>18000</v>
      </c>
      <c r="G921" s="2">
        <v>1</v>
      </c>
      <c r="H921" s="2">
        <v>20</v>
      </c>
      <c r="I921">
        <f t="shared" si="70"/>
        <v>18000</v>
      </c>
      <c r="J921">
        <f t="shared" si="71"/>
        <v>3600</v>
      </c>
      <c r="K921" s="6">
        <f t="shared" si="72"/>
        <v>14400</v>
      </c>
      <c r="L921" s="2">
        <v>72000</v>
      </c>
      <c r="M921" s="6">
        <f>Table1[[#This Row],[Total Sales]]+Table1[[#This Row],[Shipping Fee]]</f>
        <v>86400</v>
      </c>
      <c r="N921" s="2" t="s">
        <v>22</v>
      </c>
      <c r="O921" t="str">
        <f>VLOOKUP(Table1[[#This Row],[Order ID]],Status!A:B, 2,FALSE)</f>
        <v>Completed</v>
      </c>
      <c r="P921" s="2" t="s">
        <v>30</v>
      </c>
      <c r="Q921" s="2">
        <v>3</v>
      </c>
      <c r="R921" s="2" t="s">
        <v>24</v>
      </c>
      <c r="S921" s="11" t="str">
        <f t="shared" si="73"/>
        <v>Standar</v>
      </c>
      <c r="T921" s="2" t="str">
        <f t="shared" si="74"/>
        <v>Sangat Rendah</v>
      </c>
    </row>
    <row r="922" spans="1:20" ht="15.75" customHeight="1" x14ac:dyDescent="0.3">
      <c r="A922" s="4" t="s">
        <v>1472</v>
      </c>
      <c r="B922" s="3">
        <v>45757.344097222223</v>
      </c>
      <c r="C922" s="2" t="s">
        <v>391</v>
      </c>
      <c r="D922" s="2" t="s">
        <v>122</v>
      </c>
      <c r="E922" s="2" t="s">
        <v>38</v>
      </c>
      <c r="F922" s="2">
        <v>28000</v>
      </c>
      <c r="G922" s="2">
        <v>3</v>
      </c>
      <c r="H922" s="2">
        <v>0</v>
      </c>
      <c r="I922">
        <f t="shared" si="70"/>
        <v>84000</v>
      </c>
      <c r="J922">
        <f t="shared" si="71"/>
        <v>0</v>
      </c>
      <c r="K922" s="6">
        <f t="shared" si="72"/>
        <v>84000</v>
      </c>
      <c r="L922" s="2">
        <v>78000</v>
      </c>
      <c r="M922" s="6">
        <f>Table1[[#This Row],[Total Sales]]+Table1[[#This Row],[Shipping Fee]]</f>
        <v>162000</v>
      </c>
      <c r="N922" s="2" t="s">
        <v>63</v>
      </c>
      <c r="O922" t="str">
        <f>VLOOKUP(Table1[[#This Row],[Order ID]],Status!A:B, 2,FALSE)</f>
        <v>Completed</v>
      </c>
      <c r="P922" s="2" t="s">
        <v>46</v>
      </c>
      <c r="Q922" s="2">
        <v>2</v>
      </c>
      <c r="R922" s="2" t="s">
        <v>24</v>
      </c>
      <c r="S922" s="11" t="str">
        <f t="shared" si="73"/>
        <v>Rendah</v>
      </c>
      <c r="T922" s="2" t="str">
        <f t="shared" si="74"/>
        <v>Sangat Rendah</v>
      </c>
    </row>
    <row r="923" spans="1:20" ht="15.75" customHeight="1" x14ac:dyDescent="0.3">
      <c r="A923" s="4" t="s">
        <v>1471</v>
      </c>
      <c r="B923" s="3">
        <v>45757.298391203702</v>
      </c>
      <c r="C923" s="2" t="s">
        <v>125</v>
      </c>
      <c r="D923" s="2" t="s">
        <v>126</v>
      </c>
      <c r="E923" s="2" t="s">
        <v>71</v>
      </c>
      <c r="F923" s="2">
        <v>40000</v>
      </c>
      <c r="G923" s="2">
        <v>3</v>
      </c>
      <c r="H923" s="2">
        <v>5</v>
      </c>
      <c r="I923">
        <f t="shared" si="70"/>
        <v>120000</v>
      </c>
      <c r="J923">
        <f t="shared" si="71"/>
        <v>6000</v>
      </c>
      <c r="K923" s="6">
        <f t="shared" si="72"/>
        <v>114000</v>
      </c>
      <c r="L923" s="2">
        <v>84000</v>
      </c>
      <c r="M923" s="6">
        <f>Table1[[#This Row],[Total Sales]]+Table1[[#This Row],[Shipping Fee]]</f>
        <v>198000</v>
      </c>
      <c r="N923" s="2" t="s">
        <v>63</v>
      </c>
      <c r="O923" t="str">
        <f>VLOOKUP(Table1[[#This Row],[Order ID]],Status!A:B, 2,FALSE)</f>
        <v>Completed</v>
      </c>
      <c r="P923" s="2" t="s">
        <v>82</v>
      </c>
      <c r="Q923" s="2">
        <v>5</v>
      </c>
      <c r="R923" s="2" t="s">
        <v>24</v>
      </c>
      <c r="S923" s="11" t="str">
        <f t="shared" si="73"/>
        <v>Bagus</v>
      </c>
      <c r="T923" s="2" t="str">
        <f t="shared" si="74"/>
        <v>Rendah</v>
      </c>
    </row>
    <row r="924" spans="1:20" ht="15.75" customHeight="1" x14ac:dyDescent="0.3">
      <c r="A924" s="4" t="s">
        <v>1470</v>
      </c>
      <c r="B924" s="3">
        <v>45757.279039351852</v>
      </c>
      <c r="C924" s="2" t="s">
        <v>867</v>
      </c>
      <c r="D924" s="2" t="s">
        <v>20</v>
      </c>
      <c r="E924" s="2" t="s">
        <v>144</v>
      </c>
      <c r="F924" s="2">
        <v>18000</v>
      </c>
      <c r="G924" s="2">
        <v>3</v>
      </c>
      <c r="H924" s="2">
        <v>5</v>
      </c>
      <c r="I924">
        <f t="shared" si="70"/>
        <v>54000</v>
      </c>
      <c r="J924">
        <f t="shared" si="71"/>
        <v>2700</v>
      </c>
      <c r="K924" s="6">
        <f t="shared" si="72"/>
        <v>51300</v>
      </c>
      <c r="L924" s="2">
        <v>15000</v>
      </c>
      <c r="M924" s="6">
        <f>Table1[[#This Row],[Total Sales]]+Table1[[#This Row],[Shipping Fee]]</f>
        <v>66300</v>
      </c>
      <c r="N924" s="2" t="s">
        <v>35</v>
      </c>
      <c r="O924" t="str">
        <f>VLOOKUP(Table1[[#This Row],[Order ID]],Status!A:B, 2,FALSE)</f>
        <v>Completed</v>
      </c>
      <c r="P924" s="2" t="s">
        <v>23</v>
      </c>
      <c r="Q924" s="2">
        <v>2</v>
      </c>
      <c r="R924" s="2" t="s">
        <v>37</v>
      </c>
      <c r="S924" s="11" t="str">
        <f t="shared" si="73"/>
        <v>Rendah</v>
      </c>
      <c r="T924" s="2" t="str">
        <f t="shared" si="74"/>
        <v>Sangat Rendah</v>
      </c>
    </row>
    <row r="925" spans="1:20" ht="15.75" customHeight="1" x14ac:dyDescent="0.3">
      <c r="A925" s="4" t="s">
        <v>1469</v>
      </c>
      <c r="B925" s="3">
        <v>45756.907071759262</v>
      </c>
      <c r="C925" s="2" t="s">
        <v>203</v>
      </c>
      <c r="D925" s="2" t="s">
        <v>20</v>
      </c>
      <c r="E925" s="2" t="s">
        <v>50</v>
      </c>
      <c r="F925" s="2">
        <v>14000</v>
      </c>
      <c r="G925" s="2">
        <v>5</v>
      </c>
      <c r="H925" s="2">
        <v>0</v>
      </c>
      <c r="I925">
        <f t="shared" si="70"/>
        <v>70000</v>
      </c>
      <c r="J925">
        <f t="shared" si="71"/>
        <v>0</v>
      </c>
      <c r="K925" s="6">
        <f t="shared" si="72"/>
        <v>70000</v>
      </c>
      <c r="L925" s="2">
        <v>15000</v>
      </c>
      <c r="M925" s="6">
        <f>Table1[[#This Row],[Total Sales]]+Table1[[#This Row],[Shipping Fee]]</f>
        <v>85000</v>
      </c>
      <c r="N925" s="2" t="s">
        <v>29</v>
      </c>
      <c r="O925" t="str">
        <f>VLOOKUP(Table1[[#This Row],[Order ID]],Status!A:B, 2,FALSE)</f>
        <v>Completed</v>
      </c>
      <c r="P925" s="2" t="s">
        <v>46</v>
      </c>
      <c r="Q925" s="2">
        <v>4</v>
      </c>
      <c r="R925" s="2" t="s">
        <v>24</v>
      </c>
      <c r="S925" s="11" t="str">
        <f t="shared" si="73"/>
        <v>Bagus</v>
      </c>
      <c r="T925" s="2" t="str">
        <f t="shared" si="74"/>
        <v>Sangat Rendah</v>
      </c>
    </row>
    <row r="926" spans="1:20" ht="15.75" customHeight="1" x14ac:dyDescent="0.3">
      <c r="A926" s="4" t="s">
        <v>1468</v>
      </c>
      <c r="B926" s="3">
        <v>45756.609548611108</v>
      </c>
      <c r="C926" s="2" t="s">
        <v>135</v>
      </c>
      <c r="D926" s="2" t="s">
        <v>27</v>
      </c>
      <c r="E926" s="2" t="s">
        <v>21</v>
      </c>
      <c r="F926" s="2">
        <v>45000</v>
      </c>
      <c r="G926" s="2">
        <v>3</v>
      </c>
      <c r="H926" s="2">
        <v>20</v>
      </c>
      <c r="I926">
        <f t="shared" si="70"/>
        <v>135000</v>
      </c>
      <c r="J926">
        <f t="shared" si="71"/>
        <v>27000</v>
      </c>
      <c r="K926" s="6">
        <f t="shared" si="72"/>
        <v>108000</v>
      </c>
      <c r="L926" s="2">
        <v>17000</v>
      </c>
      <c r="M926" s="6">
        <f>Table1[[#This Row],[Total Sales]]+Table1[[#This Row],[Shipping Fee]]</f>
        <v>125000</v>
      </c>
      <c r="N926" s="2" t="s">
        <v>63</v>
      </c>
      <c r="O926" t="str">
        <f>VLOOKUP(Table1[[#This Row],[Order ID]],Status!A:B, 2,FALSE)</f>
        <v>Completed</v>
      </c>
      <c r="P926" s="2" t="s">
        <v>23</v>
      </c>
      <c r="Q926" s="2">
        <v>2</v>
      </c>
      <c r="R926" s="2" t="s">
        <v>24</v>
      </c>
      <c r="S926" s="11" t="str">
        <f t="shared" si="73"/>
        <v>Rendah</v>
      </c>
      <c r="T926" s="2" t="str">
        <f t="shared" si="74"/>
        <v>Tinggi</v>
      </c>
    </row>
    <row r="927" spans="1:20" ht="15.75" customHeight="1" x14ac:dyDescent="0.3">
      <c r="A927" s="4" t="s">
        <v>1467</v>
      </c>
      <c r="B927" s="3">
        <v>45756.60083333333</v>
      </c>
      <c r="C927" s="2" t="s">
        <v>615</v>
      </c>
      <c r="D927" s="2" t="s">
        <v>92</v>
      </c>
      <c r="E927" s="2" t="s">
        <v>123</v>
      </c>
      <c r="F927" s="2">
        <v>22000</v>
      </c>
      <c r="G927" s="2">
        <v>4</v>
      </c>
      <c r="H927" s="2">
        <v>20</v>
      </c>
      <c r="I927">
        <f t="shared" si="70"/>
        <v>88000</v>
      </c>
      <c r="J927">
        <f t="shared" si="71"/>
        <v>17600</v>
      </c>
      <c r="K927" s="6">
        <f t="shared" si="72"/>
        <v>70400</v>
      </c>
      <c r="L927" s="2">
        <v>30000</v>
      </c>
      <c r="M927" s="6">
        <f>Table1[[#This Row],[Total Sales]]+Table1[[#This Row],[Shipping Fee]]</f>
        <v>100400</v>
      </c>
      <c r="N927" s="2" t="s">
        <v>22</v>
      </c>
      <c r="O927" t="str">
        <f>VLOOKUP(Table1[[#This Row],[Order ID]],Status!A:B, 2,FALSE)</f>
        <v>Completed</v>
      </c>
      <c r="P927" s="2" t="s">
        <v>46</v>
      </c>
      <c r="Q927" s="2">
        <v>1</v>
      </c>
      <c r="R927" s="2" t="s">
        <v>24</v>
      </c>
      <c r="S927" s="11" t="str">
        <f t="shared" si="73"/>
        <v>Rendah</v>
      </c>
      <c r="T927" s="2" t="str">
        <f t="shared" si="74"/>
        <v>Normal</v>
      </c>
    </row>
    <row r="928" spans="1:20" ht="15.75" customHeight="1" x14ac:dyDescent="0.3">
      <c r="A928" s="4" t="s">
        <v>1466</v>
      </c>
      <c r="B928" s="3">
        <v>45756.402337962973</v>
      </c>
      <c r="C928" s="2" t="s">
        <v>542</v>
      </c>
      <c r="D928" s="2" t="s">
        <v>122</v>
      </c>
      <c r="E928" s="2" t="s">
        <v>110</v>
      </c>
      <c r="F928" s="2">
        <v>6000</v>
      </c>
      <c r="G928" s="2">
        <v>5</v>
      </c>
      <c r="H928" s="2">
        <v>5</v>
      </c>
      <c r="I928">
        <f t="shared" si="70"/>
        <v>30000</v>
      </c>
      <c r="J928">
        <f t="shared" si="71"/>
        <v>1500</v>
      </c>
      <c r="K928" s="6">
        <f t="shared" si="72"/>
        <v>28500</v>
      </c>
      <c r="L928" s="2">
        <v>78000</v>
      </c>
      <c r="M928" s="6">
        <f>Table1[[#This Row],[Total Sales]]+Table1[[#This Row],[Shipping Fee]]</f>
        <v>106500</v>
      </c>
      <c r="N928" s="2" t="s">
        <v>35</v>
      </c>
      <c r="O928" t="str">
        <f>VLOOKUP(Table1[[#This Row],[Order ID]],Status!A:B, 2,FALSE)</f>
        <v>Completed</v>
      </c>
      <c r="P928" s="2" t="s">
        <v>23</v>
      </c>
      <c r="Q928" s="2">
        <v>1</v>
      </c>
      <c r="R928" s="2" t="s">
        <v>24</v>
      </c>
      <c r="S928" s="11" t="str">
        <f t="shared" si="73"/>
        <v>Rendah</v>
      </c>
      <c r="T928" s="2" t="str">
        <f t="shared" si="74"/>
        <v>Sangat Rendah</v>
      </c>
    </row>
    <row r="929" spans="1:20" ht="15.75" customHeight="1" x14ac:dyDescent="0.3">
      <c r="A929" s="4" t="s">
        <v>1465</v>
      </c>
      <c r="B929" s="3">
        <v>45755.90111111111</v>
      </c>
      <c r="C929" s="2" t="s">
        <v>832</v>
      </c>
      <c r="D929" s="2" t="s">
        <v>131</v>
      </c>
      <c r="E929" s="2" t="s">
        <v>34</v>
      </c>
      <c r="F929" s="2">
        <v>16000</v>
      </c>
      <c r="G929" s="2">
        <v>1</v>
      </c>
      <c r="H929" s="2">
        <v>15</v>
      </c>
      <c r="I929">
        <f t="shared" si="70"/>
        <v>16000</v>
      </c>
      <c r="J929">
        <f t="shared" si="71"/>
        <v>2400</v>
      </c>
      <c r="K929" s="6">
        <f t="shared" si="72"/>
        <v>13600</v>
      </c>
      <c r="L929" s="2">
        <v>59000</v>
      </c>
      <c r="M929" s="6">
        <f>Table1[[#This Row],[Total Sales]]+Table1[[#This Row],[Shipping Fee]]</f>
        <v>72600</v>
      </c>
      <c r="N929" s="2" t="s">
        <v>22</v>
      </c>
      <c r="O929" t="str">
        <f>VLOOKUP(Table1[[#This Row],[Order ID]],Status!A:B, 2,FALSE)</f>
        <v>Completed</v>
      </c>
      <c r="P929" s="2" t="s">
        <v>46</v>
      </c>
      <c r="Q929" s="2">
        <v>3</v>
      </c>
      <c r="R929" s="2" t="s">
        <v>24</v>
      </c>
      <c r="S929" s="11" t="str">
        <f t="shared" si="73"/>
        <v>Standar</v>
      </c>
      <c r="T929" s="2" t="str">
        <f t="shared" si="74"/>
        <v>Sangat Rendah</v>
      </c>
    </row>
    <row r="930" spans="1:20" ht="15.75" customHeight="1" x14ac:dyDescent="0.3">
      <c r="A930" s="4" t="s">
        <v>1464</v>
      </c>
      <c r="B930" s="3">
        <v>45755.440636574072</v>
      </c>
      <c r="C930" s="2" t="s">
        <v>708</v>
      </c>
      <c r="D930" s="2" t="s">
        <v>116</v>
      </c>
      <c r="E930" s="2" t="s">
        <v>67</v>
      </c>
      <c r="F930" s="2">
        <v>15000</v>
      </c>
      <c r="G930" s="2">
        <v>1</v>
      </c>
      <c r="H930" s="2">
        <v>10</v>
      </c>
      <c r="I930">
        <f t="shared" si="70"/>
        <v>15000</v>
      </c>
      <c r="J930">
        <f t="shared" si="71"/>
        <v>1500</v>
      </c>
      <c r="K930" s="6">
        <f t="shared" si="72"/>
        <v>13500</v>
      </c>
      <c r="L930" s="2">
        <v>72000</v>
      </c>
      <c r="M930" s="6">
        <f>Table1[[#This Row],[Total Sales]]+Table1[[#This Row],[Shipping Fee]]</f>
        <v>85500</v>
      </c>
      <c r="N930" s="2" t="s">
        <v>63</v>
      </c>
      <c r="O930" t="str">
        <f>VLOOKUP(Table1[[#This Row],[Order ID]],Status!A:B, 2,FALSE)</f>
        <v>Completed</v>
      </c>
      <c r="P930" s="2" t="s">
        <v>30</v>
      </c>
      <c r="Q930" s="2">
        <v>2</v>
      </c>
      <c r="R930" s="2" t="s">
        <v>24</v>
      </c>
      <c r="S930" s="11" t="str">
        <f t="shared" si="73"/>
        <v>Rendah</v>
      </c>
      <c r="T930" s="2" t="str">
        <f t="shared" si="74"/>
        <v>Sangat Rendah</v>
      </c>
    </row>
    <row r="931" spans="1:20" ht="15.75" customHeight="1" x14ac:dyDescent="0.3">
      <c r="A931" s="4" t="s">
        <v>1463</v>
      </c>
      <c r="B931" s="3">
        <v>45755.135312500002</v>
      </c>
      <c r="C931" s="2" t="s">
        <v>649</v>
      </c>
      <c r="D931" s="2" t="s">
        <v>177</v>
      </c>
      <c r="E931" s="2" t="s">
        <v>45</v>
      </c>
      <c r="F931" s="2">
        <v>40000</v>
      </c>
      <c r="G931" s="2">
        <v>4</v>
      </c>
      <c r="H931" s="2">
        <v>5</v>
      </c>
      <c r="I931">
        <f t="shared" si="70"/>
        <v>160000</v>
      </c>
      <c r="J931">
        <f t="shared" si="71"/>
        <v>8000</v>
      </c>
      <c r="K931" s="6">
        <f t="shared" si="72"/>
        <v>152000</v>
      </c>
      <c r="L931" s="2">
        <v>56000</v>
      </c>
      <c r="M931" s="6">
        <f>Table1[[#This Row],[Total Sales]]+Table1[[#This Row],[Shipping Fee]]</f>
        <v>208000</v>
      </c>
      <c r="N931" s="2" t="s">
        <v>63</v>
      </c>
      <c r="O931" t="str">
        <f>VLOOKUP(Table1[[#This Row],[Order ID]],Status!A:B, 2,FALSE)</f>
        <v>Completed</v>
      </c>
      <c r="P931" s="2" t="s">
        <v>46</v>
      </c>
      <c r="Q931" s="2">
        <v>1</v>
      </c>
      <c r="R931" s="2" t="s">
        <v>24</v>
      </c>
      <c r="S931" s="11" t="str">
        <f t="shared" si="73"/>
        <v>Rendah</v>
      </c>
      <c r="T931" s="2" t="str">
        <f t="shared" si="74"/>
        <v>Rendah</v>
      </c>
    </row>
    <row r="932" spans="1:20" ht="15.75" customHeight="1" x14ac:dyDescent="0.3">
      <c r="A932" s="4" t="s">
        <v>1463</v>
      </c>
      <c r="B932" s="3">
        <v>45755.135312500002</v>
      </c>
      <c r="C932" s="2" t="s">
        <v>649</v>
      </c>
      <c r="D932" s="2" t="s">
        <v>177</v>
      </c>
      <c r="E932" s="2" t="s">
        <v>67</v>
      </c>
      <c r="F932" s="2">
        <v>15000</v>
      </c>
      <c r="G932" s="2">
        <v>2</v>
      </c>
      <c r="H932" s="2">
        <v>10</v>
      </c>
      <c r="I932">
        <f t="shared" si="70"/>
        <v>30000</v>
      </c>
      <c r="J932">
        <f t="shared" si="71"/>
        <v>3000</v>
      </c>
      <c r="K932" s="6">
        <f t="shared" si="72"/>
        <v>27000</v>
      </c>
      <c r="L932" s="2">
        <v>0</v>
      </c>
      <c r="M932" s="6">
        <f>Table1[[#This Row],[Total Sales]]+Table1[[#This Row],[Shipping Fee]]</f>
        <v>27000</v>
      </c>
      <c r="N932" s="2" t="s">
        <v>63</v>
      </c>
      <c r="O932" t="str">
        <f>VLOOKUP(Table1[[#This Row],[Order ID]],Status!A:B, 2,FALSE)</f>
        <v>Completed</v>
      </c>
      <c r="P932" s="2" t="s">
        <v>46</v>
      </c>
      <c r="Q932" s="2">
        <v>1</v>
      </c>
      <c r="R932" s="2" t="s">
        <v>24</v>
      </c>
      <c r="S932" s="11" t="str">
        <f t="shared" si="73"/>
        <v>Rendah</v>
      </c>
      <c r="T932" s="2" t="str">
        <f t="shared" si="74"/>
        <v>Sangat Rendah</v>
      </c>
    </row>
    <row r="933" spans="1:20" ht="15.75" customHeight="1" x14ac:dyDescent="0.3">
      <c r="A933" s="4" t="s">
        <v>1462</v>
      </c>
      <c r="B933" s="3">
        <v>45755.104618055557</v>
      </c>
      <c r="C933" s="2" t="s">
        <v>235</v>
      </c>
      <c r="D933" s="2" t="s">
        <v>189</v>
      </c>
      <c r="E933" s="2" t="s">
        <v>41</v>
      </c>
      <c r="F933" s="2">
        <v>4000</v>
      </c>
      <c r="G933" s="2">
        <v>1</v>
      </c>
      <c r="H933" s="2">
        <v>10</v>
      </c>
      <c r="I933">
        <f t="shared" si="70"/>
        <v>4000</v>
      </c>
      <c r="J933">
        <f t="shared" si="71"/>
        <v>400</v>
      </c>
      <c r="K933" s="6">
        <f t="shared" si="72"/>
        <v>3600</v>
      </c>
      <c r="L933" s="2">
        <v>57000</v>
      </c>
      <c r="M933" s="6">
        <f>Table1[[#This Row],[Total Sales]]+Table1[[#This Row],[Shipping Fee]]</f>
        <v>60600</v>
      </c>
      <c r="N933" s="2" t="s">
        <v>63</v>
      </c>
      <c r="O933" t="str">
        <f>VLOOKUP(Table1[[#This Row],[Order ID]],Status!A:B, 2,FALSE)</f>
        <v>Completed</v>
      </c>
      <c r="P933" s="2" t="s">
        <v>82</v>
      </c>
      <c r="Q933" s="2">
        <v>3</v>
      </c>
      <c r="R933" s="2" t="s">
        <v>37</v>
      </c>
      <c r="S933" s="11" t="str">
        <f t="shared" si="73"/>
        <v>Standar</v>
      </c>
      <c r="T933" s="2" t="str">
        <f t="shared" si="74"/>
        <v>Sangat Rendah</v>
      </c>
    </row>
    <row r="934" spans="1:20" ht="15.75" customHeight="1" x14ac:dyDescent="0.3">
      <c r="A934" s="4" t="s">
        <v>1461</v>
      </c>
      <c r="B934" s="3">
        <v>45755.042569444442</v>
      </c>
      <c r="C934" s="2" t="s">
        <v>649</v>
      </c>
      <c r="D934" s="2" t="s">
        <v>177</v>
      </c>
      <c r="E934" s="2" t="s">
        <v>190</v>
      </c>
      <c r="F934" s="2">
        <v>35000</v>
      </c>
      <c r="G934" s="2">
        <v>3</v>
      </c>
      <c r="H934" s="2">
        <v>0</v>
      </c>
      <c r="I934">
        <f t="shared" si="70"/>
        <v>105000</v>
      </c>
      <c r="J934">
        <f t="shared" si="71"/>
        <v>0</v>
      </c>
      <c r="K934" s="6">
        <f t="shared" si="72"/>
        <v>105000</v>
      </c>
      <c r="L934" s="2">
        <v>56000</v>
      </c>
      <c r="M934" s="6">
        <f>Table1[[#This Row],[Total Sales]]+Table1[[#This Row],[Shipping Fee]]</f>
        <v>161000</v>
      </c>
      <c r="N934" s="2" t="s">
        <v>22</v>
      </c>
      <c r="O934" t="str">
        <f>VLOOKUP(Table1[[#This Row],[Order ID]],Status!A:B, 2,FALSE)</f>
        <v>Returned</v>
      </c>
      <c r="P934" s="2" t="s">
        <v>36</v>
      </c>
      <c r="Q934" s="2">
        <v>1</v>
      </c>
      <c r="R934" s="2" t="s">
        <v>24</v>
      </c>
      <c r="S934" s="11" t="str">
        <f t="shared" si="73"/>
        <v>Rendah</v>
      </c>
      <c r="T934" s="2" t="str">
        <f t="shared" si="74"/>
        <v>Sangat Rendah</v>
      </c>
    </row>
    <row r="935" spans="1:20" ht="15.75" customHeight="1" x14ac:dyDescent="0.3">
      <c r="A935" s="4" t="s">
        <v>1460</v>
      </c>
      <c r="B935" s="3">
        <v>45754.760428240741</v>
      </c>
      <c r="C935" s="2" t="s">
        <v>776</v>
      </c>
      <c r="D935" s="2" t="s">
        <v>103</v>
      </c>
      <c r="E935" s="2" t="s">
        <v>58</v>
      </c>
      <c r="F935" s="2">
        <v>16000</v>
      </c>
      <c r="G935" s="2">
        <v>2</v>
      </c>
      <c r="H935" s="2">
        <v>0</v>
      </c>
      <c r="I935">
        <f t="shared" si="70"/>
        <v>32000</v>
      </c>
      <c r="J935">
        <f t="shared" si="71"/>
        <v>0</v>
      </c>
      <c r="K935" s="6">
        <f t="shared" si="72"/>
        <v>32000</v>
      </c>
      <c r="L935" s="2">
        <v>85000</v>
      </c>
      <c r="M935" s="6">
        <f>Table1[[#This Row],[Total Sales]]+Table1[[#This Row],[Shipping Fee]]</f>
        <v>117000</v>
      </c>
      <c r="N935" s="2" t="s">
        <v>22</v>
      </c>
      <c r="O935" t="str">
        <f>VLOOKUP(Table1[[#This Row],[Order ID]],Status!A:B, 2,FALSE)</f>
        <v>Completed</v>
      </c>
      <c r="P935" s="2" t="s">
        <v>23</v>
      </c>
      <c r="Q935" s="2">
        <v>1</v>
      </c>
      <c r="R935" s="2" t="s">
        <v>24</v>
      </c>
      <c r="S935" s="11" t="str">
        <f t="shared" si="73"/>
        <v>Rendah</v>
      </c>
      <c r="T935" s="2" t="str">
        <f t="shared" si="74"/>
        <v>Sangat Rendah</v>
      </c>
    </row>
    <row r="936" spans="1:20" ht="15.75" customHeight="1" x14ac:dyDescent="0.3">
      <c r="A936" s="4" t="s">
        <v>1459</v>
      </c>
      <c r="B936" s="3">
        <v>45754.476412037038</v>
      </c>
      <c r="C936" s="2" t="s">
        <v>371</v>
      </c>
      <c r="D936" s="2" t="s">
        <v>27</v>
      </c>
      <c r="E936" s="2" t="s">
        <v>190</v>
      </c>
      <c r="F936" s="2">
        <v>35000</v>
      </c>
      <c r="G936" s="2">
        <v>3</v>
      </c>
      <c r="H936" s="2">
        <v>5</v>
      </c>
      <c r="I936">
        <f t="shared" si="70"/>
        <v>105000</v>
      </c>
      <c r="J936">
        <f t="shared" si="71"/>
        <v>5250</v>
      </c>
      <c r="K936" s="6">
        <f t="shared" si="72"/>
        <v>99750</v>
      </c>
      <c r="L936" s="2">
        <v>17000</v>
      </c>
      <c r="M936" s="6">
        <f>Table1[[#This Row],[Total Sales]]+Table1[[#This Row],[Shipping Fee]]</f>
        <v>116750</v>
      </c>
      <c r="N936" s="2" t="s">
        <v>35</v>
      </c>
      <c r="O936" t="str">
        <f>VLOOKUP(Table1[[#This Row],[Order ID]],Status!A:B, 2,FALSE)</f>
        <v>Completed</v>
      </c>
      <c r="P936" s="2" t="s">
        <v>30</v>
      </c>
      <c r="Q936" s="2">
        <v>5</v>
      </c>
      <c r="R936" s="2" t="s">
        <v>24</v>
      </c>
      <c r="S936" s="11" t="str">
        <f t="shared" si="73"/>
        <v>Bagus</v>
      </c>
      <c r="T936" s="2" t="str">
        <f t="shared" si="74"/>
        <v>Rendah</v>
      </c>
    </row>
    <row r="937" spans="1:20" ht="15.75" customHeight="1" x14ac:dyDescent="0.3">
      <c r="A937" s="4" t="s">
        <v>1458</v>
      </c>
      <c r="B937" s="3">
        <v>45754.119652777779</v>
      </c>
      <c r="C937" s="2" t="s">
        <v>669</v>
      </c>
      <c r="D937" s="2" t="s">
        <v>151</v>
      </c>
      <c r="E937" s="2" t="s">
        <v>54</v>
      </c>
      <c r="F937" s="2">
        <v>16000</v>
      </c>
      <c r="G937" s="2">
        <v>2</v>
      </c>
      <c r="H937" s="2">
        <v>15</v>
      </c>
      <c r="I937">
        <f t="shared" si="70"/>
        <v>32000</v>
      </c>
      <c r="J937">
        <f t="shared" si="71"/>
        <v>4800</v>
      </c>
      <c r="K937" s="6">
        <f t="shared" si="72"/>
        <v>27200</v>
      </c>
      <c r="L937" s="2">
        <v>55000</v>
      </c>
      <c r="M937" s="6">
        <f>Table1[[#This Row],[Total Sales]]+Table1[[#This Row],[Shipping Fee]]</f>
        <v>82200</v>
      </c>
      <c r="N937" s="2" t="s">
        <v>29</v>
      </c>
      <c r="O937" t="str">
        <f>VLOOKUP(Table1[[#This Row],[Order ID]],Status!A:B, 2,FALSE)</f>
        <v>Completed</v>
      </c>
      <c r="P937" s="2" t="s">
        <v>36</v>
      </c>
      <c r="Q937" s="2">
        <v>4</v>
      </c>
      <c r="R937" s="2" t="s">
        <v>24</v>
      </c>
      <c r="S937" s="11" t="str">
        <f t="shared" si="73"/>
        <v>Bagus</v>
      </c>
      <c r="T937" s="2" t="str">
        <f t="shared" si="74"/>
        <v>Sangat Rendah</v>
      </c>
    </row>
    <row r="938" spans="1:20" ht="15.75" customHeight="1" x14ac:dyDescent="0.3">
      <c r="A938" s="4" t="s">
        <v>1457</v>
      </c>
      <c r="B938" s="3">
        <v>45754.109212962961</v>
      </c>
      <c r="C938" s="2" t="s">
        <v>1285</v>
      </c>
      <c r="D938" s="2" t="s">
        <v>163</v>
      </c>
      <c r="E938" s="2" t="s">
        <v>123</v>
      </c>
      <c r="F938" s="2">
        <v>22000</v>
      </c>
      <c r="G938" s="2">
        <v>1</v>
      </c>
      <c r="H938" s="2">
        <v>10</v>
      </c>
      <c r="I938">
        <f t="shared" si="70"/>
        <v>22000</v>
      </c>
      <c r="J938">
        <f t="shared" si="71"/>
        <v>2200</v>
      </c>
      <c r="K938" s="6">
        <f t="shared" si="72"/>
        <v>19800</v>
      </c>
      <c r="L938" s="2">
        <v>50000</v>
      </c>
      <c r="M938" s="6">
        <f>Table1[[#This Row],[Total Sales]]+Table1[[#This Row],[Shipping Fee]]</f>
        <v>69800</v>
      </c>
      <c r="N938" s="2" t="s">
        <v>63</v>
      </c>
      <c r="O938" t="str">
        <f>VLOOKUP(Table1[[#This Row],[Order ID]],Status!A:B, 2,FALSE)</f>
        <v>Completed</v>
      </c>
      <c r="P938" s="2" t="s">
        <v>46</v>
      </c>
      <c r="Q938" s="2">
        <v>4</v>
      </c>
      <c r="R938" s="2" t="s">
        <v>24</v>
      </c>
      <c r="S938" s="11" t="str">
        <f t="shared" si="73"/>
        <v>Bagus</v>
      </c>
      <c r="T938" s="2" t="str">
        <f t="shared" si="74"/>
        <v>Sangat Rendah</v>
      </c>
    </row>
    <row r="939" spans="1:20" ht="15.75" customHeight="1" x14ac:dyDescent="0.3">
      <c r="A939" s="4" t="s">
        <v>1456</v>
      </c>
      <c r="B939" s="3">
        <v>45753.93849537037</v>
      </c>
      <c r="C939" s="2" t="s">
        <v>1098</v>
      </c>
      <c r="D939" s="2" t="s">
        <v>126</v>
      </c>
      <c r="E939" s="2" t="s">
        <v>58</v>
      </c>
      <c r="F939" s="2">
        <v>16000</v>
      </c>
      <c r="G939" s="2">
        <v>4</v>
      </c>
      <c r="H939" s="2">
        <v>0</v>
      </c>
      <c r="I939">
        <f t="shared" si="70"/>
        <v>64000</v>
      </c>
      <c r="J939">
        <f t="shared" si="71"/>
        <v>0</v>
      </c>
      <c r="K939" s="6">
        <f t="shared" si="72"/>
        <v>64000</v>
      </c>
      <c r="L939" s="2">
        <v>84000</v>
      </c>
      <c r="M939" s="6">
        <f>Table1[[#This Row],[Total Sales]]+Table1[[#This Row],[Shipping Fee]]</f>
        <v>148000</v>
      </c>
      <c r="N939" s="2" t="s">
        <v>22</v>
      </c>
      <c r="O939" t="str">
        <f>VLOOKUP(Table1[[#This Row],[Order ID]],Status!A:B, 2,FALSE)</f>
        <v>Completed</v>
      </c>
      <c r="P939" s="2" t="s">
        <v>36</v>
      </c>
      <c r="Q939" s="2">
        <v>1</v>
      </c>
      <c r="R939" s="2" t="s">
        <v>37</v>
      </c>
      <c r="S939" s="11" t="str">
        <f t="shared" si="73"/>
        <v>Rendah</v>
      </c>
      <c r="T939" s="2" t="str">
        <f t="shared" si="74"/>
        <v>Sangat Rendah</v>
      </c>
    </row>
    <row r="940" spans="1:20" ht="15.75" customHeight="1" x14ac:dyDescent="0.3">
      <c r="A940" s="4" t="s">
        <v>1455</v>
      </c>
      <c r="B940" s="3">
        <v>45753.605590277781</v>
      </c>
      <c r="C940" s="2" t="s">
        <v>429</v>
      </c>
      <c r="D940" s="2" t="s">
        <v>177</v>
      </c>
      <c r="E940" s="2" t="s">
        <v>123</v>
      </c>
      <c r="F940" s="2">
        <v>22000</v>
      </c>
      <c r="G940" s="2">
        <v>1</v>
      </c>
      <c r="H940" s="2">
        <v>10</v>
      </c>
      <c r="I940">
        <f t="shared" si="70"/>
        <v>22000</v>
      </c>
      <c r="J940">
        <f t="shared" si="71"/>
        <v>2200</v>
      </c>
      <c r="K940" s="6">
        <f t="shared" si="72"/>
        <v>19800</v>
      </c>
      <c r="L940" s="2">
        <v>56000</v>
      </c>
      <c r="M940" s="6">
        <f>Table1[[#This Row],[Total Sales]]+Table1[[#This Row],[Shipping Fee]]</f>
        <v>75800</v>
      </c>
      <c r="N940" s="2" t="s">
        <v>29</v>
      </c>
      <c r="O940" t="str">
        <f>VLOOKUP(Table1[[#This Row],[Order ID]],Status!A:B, 2,FALSE)</f>
        <v>Completed</v>
      </c>
      <c r="P940" s="2" t="s">
        <v>82</v>
      </c>
      <c r="Q940" s="2">
        <v>3</v>
      </c>
      <c r="R940" s="2" t="s">
        <v>37</v>
      </c>
      <c r="S940" s="11" t="str">
        <f t="shared" si="73"/>
        <v>Standar</v>
      </c>
      <c r="T940" s="2" t="str">
        <f t="shared" si="74"/>
        <v>Sangat Rendah</v>
      </c>
    </row>
    <row r="941" spans="1:20" ht="15.75" customHeight="1" x14ac:dyDescent="0.3">
      <c r="A941" s="4" t="s">
        <v>1454</v>
      </c>
      <c r="B941" s="3">
        <v>45753.030462962961</v>
      </c>
      <c r="C941" s="2" t="s">
        <v>780</v>
      </c>
      <c r="D941" s="2" t="s">
        <v>113</v>
      </c>
      <c r="E941" s="2" t="s">
        <v>93</v>
      </c>
      <c r="F941" s="2">
        <v>25000</v>
      </c>
      <c r="G941" s="2">
        <v>2</v>
      </c>
      <c r="H941" s="2">
        <v>5</v>
      </c>
      <c r="I941">
        <f t="shared" si="70"/>
        <v>50000</v>
      </c>
      <c r="J941">
        <f t="shared" si="71"/>
        <v>2500</v>
      </c>
      <c r="K941" s="6">
        <f t="shared" si="72"/>
        <v>47500</v>
      </c>
      <c r="L941" s="2">
        <v>18000</v>
      </c>
      <c r="M941" s="6">
        <f>Table1[[#This Row],[Total Sales]]+Table1[[#This Row],[Shipping Fee]]</f>
        <v>65500</v>
      </c>
      <c r="N941" s="2" t="s">
        <v>35</v>
      </c>
      <c r="O941" t="str">
        <f>VLOOKUP(Table1[[#This Row],[Order ID]],Status!A:B, 2,FALSE)</f>
        <v>Completed</v>
      </c>
      <c r="P941" s="2" t="s">
        <v>23</v>
      </c>
      <c r="Q941" s="2">
        <v>4</v>
      </c>
      <c r="R941" s="2" t="s">
        <v>24</v>
      </c>
      <c r="S941" s="11" t="str">
        <f t="shared" si="73"/>
        <v>Bagus</v>
      </c>
      <c r="T941" s="2" t="str">
        <f t="shared" si="74"/>
        <v>Sangat Rendah</v>
      </c>
    </row>
    <row r="942" spans="1:20" ht="15.75" customHeight="1" x14ac:dyDescent="0.3">
      <c r="A942" s="4" t="s">
        <v>1453</v>
      </c>
      <c r="B942" s="3">
        <v>45752.705439814818</v>
      </c>
      <c r="C942" s="2" t="s">
        <v>165</v>
      </c>
      <c r="D942" s="2" t="s">
        <v>143</v>
      </c>
      <c r="E942" s="2" t="s">
        <v>110</v>
      </c>
      <c r="F942" s="2">
        <v>6000</v>
      </c>
      <c r="G942" s="2">
        <v>3</v>
      </c>
      <c r="H942" s="2">
        <v>20</v>
      </c>
      <c r="I942">
        <f t="shared" si="70"/>
        <v>18000</v>
      </c>
      <c r="J942">
        <f t="shared" si="71"/>
        <v>3600</v>
      </c>
      <c r="K942" s="6">
        <f t="shared" si="72"/>
        <v>14400</v>
      </c>
      <c r="L942" s="2">
        <v>50000</v>
      </c>
      <c r="M942" s="6">
        <f>Table1[[#This Row],[Total Sales]]+Table1[[#This Row],[Shipping Fee]]</f>
        <v>64400</v>
      </c>
      <c r="N942" s="2" t="s">
        <v>63</v>
      </c>
      <c r="O942" t="str">
        <f>VLOOKUP(Table1[[#This Row],[Order ID]],Status!A:B, 2,FALSE)</f>
        <v>Completed</v>
      </c>
      <c r="P942" s="2" t="s">
        <v>23</v>
      </c>
      <c r="Q942" s="2">
        <v>1</v>
      </c>
      <c r="R942" s="2" t="s">
        <v>24</v>
      </c>
      <c r="S942" s="11" t="str">
        <f t="shared" si="73"/>
        <v>Rendah</v>
      </c>
      <c r="T942" s="2" t="str">
        <f t="shared" si="74"/>
        <v>Sangat Rendah</v>
      </c>
    </row>
    <row r="943" spans="1:20" ht="15.75" customHeight="1" x14ac:dyDescent="0.3">
      <c r="A943" s="4" t="s">
        <v>1452</v>
      </c>
      <c r="B943" s="3">
        <v>45752.344236111108</v>
      </c>
      <c r="C943" s="2" t="s">
        <v>19</v>
      </c>
      <c r="D943" s="2" t="s">
        <v>20</v>
      </c>
      <c r="E943" s="2" t="s">
        <v>85</v>
      </c>
      <c r="F943" s="2">
        <v>35000</v>
      </c>
      <c r="G943" s="2">
        <v>2</v>
      </c>
      <c r="H943" s="2">
        <v>0</v>
      </c>
      <c r="I943">
        <f t="shared" si="70"/>
        <v>70000</v>
      </c>
      <c r="J943">
        <f t="shared" si="71"/>
        <v>0</v>
      </c>
      <c r="K943" s="6">
        <f t="shared" si="72"/>
        <v>70000</v>
      </c>
      <c r="L943" s="2">
        <v>15000</v>
      </c>
      <c r="M943" s="6">
        <f>Table1[[#This Row],[Total Sales]]+Table1[[#This Row],[Shipping Fee]]</f>
        <v>85000</v>
      </c>
      <c r="N943" s="2" t="s">
        <v>22</v>
      </c>
      <c r="O943" t="str">
        <f>VLOOKUP(Table1[[#This Row],[Order ID]],Status!A:B, 2,FALSE)</f>
        <v>Completed</v>
      </c>
      <c r="P943" s="2" t="s">
        <v>46</v>
      </c>
      <c r="Q943" s="2">
        <v>1</v>
      </c>
      <c r="R943" s="2" t="s">
        <v>24</v>
      </c>
      <c r="S943" s="11" t="str">
        <f t="shared" si="73"/>
        <v>Rendah</v>
      </c>
      <c r="T943" s="2" t="str">
        <f t="shared" si="74"/>
        <v>Sangat Rendah</v>
      </c>
    </row>
    <row r="944" spans="1:20" ht="15.75" customHeight="1" x14ac:dyDescent="0.3">
      <c r="A944" s="4" t="s">
        <v>1451</v>
      </c>
      <c r="B944" s="3">
        <v>45752.329907407409</v>
      </c>
      <c r="C944" s="2" t="s">
        <v>79</v>
      </c>
      <c r="D944" s="2" t="s">
        <v>80</v>
      </c>
      <c r="E944" s="2" t="s">
        <v>58</v>
      </c>
      <c r="F944" s="2">
        <v>16000</v>
      </c>
      <c r="G944" s="2">
        <v>4</v>
      </c>
      <c r="H944" s="2">
        <v>5</v>
      </c>
      <c r="I944">
        <f t="shared" si="70"/>
        <v>64000</v>
      </c>
      <c r="J944">
        <f t="shared" si="71"/>
        <v>3200</v>
      </c>
      <c r="K944" s="6">
        <f t="shared" si="72"/>
        <v>60800</v>
      </c>
      <c r="L944" s="2">
        <v>74000</v>
      </c>
      <c r="M944" s="6">
        <f>Table1[[#This Row],[Total Sales]]+Table1[[#This Row],[Shipping Fee]]</f>
        <v>134800</v>
      </c>
      <c r="N944" s="2" t="s">
        <v>35</v>
      </c>
      <c r="O944" t="str">
        <f>VLOOKUP(Table1[[#This Row],[Order ID]],Status!A:B, 2,FALSE)</f>
        <v>Completed</v>
      </c>
      <c r="P944" s="2" t="s">
        <v>23</v>
      </c>
      <c r="Q944" s="2">
        <v>5</v>
      </c>
      <c r="R944" s="2" t="s">
        <v>24</v>
      </c>
      <c r="S944" s="11" t="str">
        <f t="shared" si="73"/>
        <v>Bagus</v>
      </c>
      <c r="T944" s="2" t="str">
        <f t="shared" si="74"/>
        <v>Sangat Rendah</v>
      </c>
    </row>
    <row r="945" spans="1:20" ht="15.75" customHeight="1" x14ac:dyDescent="0.3">
      <c r="A945" s="4" t="s">
        <v>1450</v>
      </c>
      <c r="B945" s="3">
        <v>45752.300821759258</v>
      </c>
      <c r="C945" s="2" t="s">
        <v>188</v>
      </c>
      <c r="D945" s="2" t="s">
        <v>189</v>
      </c>
      <c r="E945" s="2" t="s">
        <v>45</v>
      </c>
      <c r="F945" s="2">
        <v>40000</v>
      </c>
      <c r="G945" s="2">
        <v>5</v>
      </c>
      <c r="H945" s="2">
        <v>0</v>
      </c>
      <c r="I945">
        <f t="shared" si="70"/>
        <v>200000</v>
      </c>
      <c r="J945">
        <f t="shared" si="71"/>
        <v>0</v>
      </c>
      <c r="K945" s="6">
        <f t="shared" si="72"/>
        <v>200000</v>
      </c>
      <c r="L945" s="2">
        <v>57000</v>
      </c>
      <c r="M945" s="6">
        <f>Table1[[#This Row],[Total Sales]]+Table1[[#This Row],[Shipping Fee]]</f>
        <v>257000</v>
      </c>
      <c r="N945" s="2" t="s">
        <v>29</v>
      </c>
      <c r="O945" t="str">
        <f>VLOOKUP(Table1[[#This Row],[Order ID]],Status!A:B, 2,FALSE)</f>
        <v>Completed</v>
      </c>
      <c r="P945" s="2" t="s">
        <v>46</v>
      </c>
      <c r="Q945" s="2">
        <v>5</v>
      </c>
      <c r="R945" s="2" t="s">
        <v>24</v>
      </c>
      <c r="S945" s="11" t="str">
        <f t="shared" si="73"/>
        <v>Bagus</v>
      </c>
      <c r="T945" s="2" t="str">
        <f t="shared" si="74"/>
        <v>Sangat Rendah</v>
      </c>
    </row>
    <row r="946" spans="1:20" ht="15.75" customHeight="1" x14ac:dyDescent="0.3">
      <c r="A946" s="4" t="s">
        <v>1449</v>
      </c>
      <c r="B946" s="3">
        <v>45752.093229166669</v>
      </c>
      <c r="C946" s="2" t="s">
        <v>598</v>
      </c>
      <c r="D946" s="2" t="s">
        <v>61</v>
      </c>
      <c r="E946" s="2" t="s">
        <v>71</v>
      </c>
      <c r="F946" s="2">
        <v>40000</v>
      </c>
      <c r="G946" s="2">
        <v>2</v>
      </c>
      <c r="H946" s="2">
        <v>15</v>
      </c>
      <c r="I946">
        <f t="shared" si="70"/>
        <v>80000</v>
      </c>
      <c r="J946">
        <f t="shared" si="71"/>
        <v>12000</v>
      </c>
      <c r="K946" s="6">
        <f t="shared" si="72"/>
        <v>68000</v>
      </c>
      <c r="L946" s="2">
        <v>26000</v>
      </c>
      <c r="M946" s="6">
        <f>Table1[[#This Row],[Total Sales]]+Table1[[#This Row],[Shipping Fee]]</f>
        <v>94000</v>
      </c>
      <c r="N946" s="2" t="s">
        <v>22</v>
      </c>
      <c r="O946" t="str">
        <f>VLOOKUP(Table1[[#This Row],[Order ID]],Status!A:B, 2,FALSE)</f>
        <v>Returned</v>
      </c>
      <c r="P946" s="2" t="s">
        <v>36</v>
      </c>
      <c r="Q946" s="2">
        <v>3</v>
      </c>
      <c r="R946" s="2" t="s">
        <v>24</v>
      </c>
      <c r="S946" s="11" t="str">
        <f t="shared" si="73"/>
        <v>Standar</v>
      </c>
      <c r="T946" s="2" t="str">
        <f t="shared" si="74"/>
        <v>Normal</v>
      </c>
    </row>
    <row r="947" spans="1:20" ht="15.75" customHeight="1" x14ac:dyDescent="0.3">
      <c r="A947" s="4" t="s">
        <v>1448</v>
      </c>
      <c r="B947" s="3">
        <v>45751.964918981481</v>
      </c>
      <c r="C947" s="2" t="s">
        <v>488</v>
      </c>
      <c r="D947" s="2" t="s">
        <v>49</v>
      </c>
      <c r="E947" s="2" t="s">
        <v>186</v>
      </c>
      <c r="F947" s="2">
        <v>45000</v>
      </c>
      <c r="G947" s="2">
        <v>4</v>
      </c>
      <c r="H947" s="2">
        <v>15</v>
      </c>
      <c r="I947">
        <f t="shared" si="70"/>
        <v>180000</v>
      </c>
      <c r="J947">
        <f t="shared" si="71"/>
        <v>27000</v>
      </c>
      <c r="K947" s="6">
        <f t="shared" si="72"/>
        <v>153000</v>
      </c>
      <c r="L947" s="2">
        <v>43000</v>
      </c>
      <c r="M947" s="6">
        <f>Table1[[#This Row],[Total Sales]]+Table1[[#This Row],[Shipping Fee]]</f>
        <v>196000</v>
      </c>
      <c r="N947" s="2" t="s">
        <v>35</v>
      </c>
      <c r="O947" t="str">
        <f>VLOOKUP(Table1[[#This Row],[Order ID]],Status!A:B, 2,FALSE)</f>
        <v>Completed</v>
      </c>
      <c r="P947" s="2" t="s">
        <v>30</v>
      </c>
      <c r="Q947" s="2">
        <v>4</v>
      </c>
      <c r="R947" s="2" t="s">
        <v>24</v>
      </c>
      <c r="S947" s="11" t="str">
        <f t="shared" si="73"/>
        <v>Bagus</v>
      </c>
      <c r="T947" s="2" t="str">
        <f t="shared" si="74"/>
        <v>Tinggi</v>
      </c>
    </row>
    <row r="948" spans="1:20" ht="15.75" customHeight="1" x14ac:dyDescent="0.3">
      <c r="A948" s="4" t="s">
        <v>1447</v>
      </c>
      <c r="B948" s="3">
        <v>45751.882256944453</v>
      </c>
      <c r="C948" s="2" t="s">
        <v>40</v>
      </c>
      <c r="D948" s="2" t="s">
        <v>27</v>
      </c>
      <c r="E948" s="2" t="s">
        <v>81</v>
      </c>
      <c r="F948" s="2">
        <v>17000</v>
      </c>
      <c r="G948" s="2">
        <v>5</v>
      </c>
      <c r="H948" s="2">
        <v>10</v>
      </c>
      <c r="I948">
        <f t="shared" si="70"/>
        <v>85000</v>
      </c>
      <c r="J948">
        <f t="shared" si="71"/>
        <v>8500</v>
      </c>
      <c r="K948" s="6">
        <f t="shared" si="72"/>
        <v>76500</v>
      </c>
      <c r="L948" s="2">
        <v>17000</v>
      </c>
      <c r="M948" s="6">
        <f>Table1[[#This Row],[Total Sales]]+Table1[[#This Row],[Shipping Fee]]</f>
        <v>93500</v>
      </c>
      <c r="N948" s="2" t="s">
        <v>63</v>
      </c>
      <c r="O948" t="str">
        <f>VLOOKUP(Table1[[#This Row],[Order ID]],Status!A:B, 2,FALSE)</f>
        <v>Completed</v>
      </c>
      <c r="P948" s="2" t="s">
        <v>23</v>
      </c>
      <c r="Q948" s="2">
        <v>1</v>
      </c>
      <c r="R948" s="2" t="s">
        <v>24</v>
      </c>
      <c r="S948" s="11" t="str">
        <f t="shared" si="73"/>
        <v>Rendah</v>
      </c>
      <c r="T948" s="2" t="str">
        <f t="shared" si="74"/>
        <v>Rendah</v>
      </c>
    </row>
    <row r="949" spans="1:20" ht="15.75" customHeight="1" x14ac:dyDescent="0.3">
      <c r="A949" s="4" t="s">
        <v>1446</v>
      </c>
      <c r="B949" s="3">
        <v>45751.547349537039</v>
      </c>
      <c r="C949" s="2" t="s">
        <v>385</v>
      </c>
      <c r="D949" s="2" t="s">
        <v>375</v>
      </c>
      <c r="E949" s="2" t="s">
        <v>50</v>
      </c>
      <c r="F949" s="2">
        <v>14000</v>
      </c>
      <c r="G949" s="2">
        <v>2</v>
      </c>
      <c r="H949" s="2">
        <v>10</v>
      </c>
      <c r="I949">
        <f t="shared" si="70"/>
        <v>28000</v>
      </c>
      <c r="J949">
        <f t="shared" si="71"/>
        <v>2800</v>
      </c>
      <c r="K949" s="6">
        <f t="shared" si="72"/>
        <v>25200</v>
      </c>
      <c r="L949" s="2">
        <v>21000</v>
      </c>
      <c r="M949" s="6">
        <f>Table1[[#This Row],[Total Sales]]+Table1[[#This Row],[Shipping Fee]]</f>
        <v>46200</v>
      </c>
      <c r="N949" s="2" t="s">
        <v>35</v>
      </c>
      <c r="O949" t="str">
        <f>VLOOKUP(Table1[[#This Row],[Order ID]],Status!A:B, 2,FALSE)</f>
        <v>Completed</v>
      </c>
      <c r="P949" s="2" t="s">
        <v>82</v>
      </c>
      <c r="Q949" s="2">
        <v>2</v>
      </c>
      <c r="R949" s="2" t="s">
        <v>24</v>
      </c>
      <c r="S949" s="11" t="str">
        <f t="shared" si="73"/>
        <v>Rendah</v>
      </c>
      <c r="T949" s="2" t="str">
        <f t="shared" si="74"/>
        <v>Sangat Rendah</v>
      </c>
    </row>
    <row r="950" spans="1:20" ht="15.75" customHeight="1" x14ac:dyDescent="0.3">
      <c r="A950" s="4" t="s">
        <v>1444</v>
      </c>
      <c r="B950" s="3">
        <v>45751.327152777783</v>
      </c>
      <c r="C950" s="2" t="s">
        <v>1445</v>
      </c>
      <c r="D950" s="2" t="s">
        <v>296</v>
      </c>
      <c r="E950" s="2" t="s">
        <v>75</v>
      </c>
      <c r="F950" s="2">
        <v>55000</v>
      </c>
      <c r="G950" s="2">
        <v>1</v>
      </c>
      <c r="H950" s="2">
        <v>5</v>
      </c>
      <c r="I950">
        <f t="shared" si="70"/>
        <v>55000</v>
      </c>
      <c r="J950">
        <f t="shared" si="71"/>
        <v>2750</v>
      </c>
      <c r="K950" s="6">
        <f t="shared" si="72"/>
        <v>52250</v>
      </c>
      <c r="L950" s="2">
        <v>79000</v>
      </c>
      <c r="M950" s="6">
        <f>Table1[[#This Row],[Total Sales]]+Table1[[#This Row],[Shipping Fee]]</f>
        <v>131250</v>
      </c>
      <c r="N950" s="2" t="s">
        <v>29</v>
      </c>
      <c r="O950" t="str">
        <f>VLOOKUP(Table1[[#This Row],[Order ID]],Status!A:B, 2,FALSE)</f>
        <v>Completed</v>
      </c>
      <c r="P950" s="2" t="s">
        <v>30</v>
      </c>
      <c r="Q950" s="2">
        <v>2</v>
      </c>
      <c r="R950" s="2" t="s">
        <v>37</v>
      </c>
      <c r="S950" s="11" t="str">
        <f t="shared" si="73"/>
        <v>Rendah</v>
      </c>
      <c r="T950" s="2" t="str">
        <f t="shared" si="74"/>
        <v>Sangat Rendah</v>
      </c>
    </row>
    <row r="951" spans="1:20" ht="15.75" customHeight="1" x14ac:dyDescent="0.3">
      <c r="A951" s="4" t="s">
        <v>1443</v>
      </c>
      <c r="B951" s="3">
        <v>45751.214456018519</v>
      </c>
      <c r="C951" s="2" t="s">
        <v>530</v>
      </c>
      <c r="D951" s="2" t="s">
        <v>151</v>
      </c>
      <c r="E951" s="2" t="s">
        <v>138</v>
      </c>
      <c r="F951" s="2">
        <v>17000</v>
      </c>
      <c r="G951" s="2">
        <v>4</v>
      </c>
      <c r="H951" s="2">
        <v>15</v>
      </c>
      <c r="I951">
        <f t="shared" si="70"/>
        <v>68000</v>
      </c>
      <c r="J951">
        <f t="shared" si="71"/>
        <v>10200</v>
      </c>
      <c r="K951" s="6">
        <f t="shared" si="72"/>
        <v>57800</v>
      </c>
      <c r="L951" s="2">
        <v>55000</v>
      </c>
      <c r="M951" s="6">
        <f>Table1[[#This Row],[Total Sales]]+Table1[[#This Row],[Shipping Fee]]</f>
        <v>112800</v>
      </c>
      <c r="N951" s="2" t="s">
        <v>29</v>
      </c>
      <c r="O951" t="str">
        <f>VLOOKUP(Table1[[#This Row],[Order ID]],Status!A:B, 2,FALSE)</f>
        <v>Completed</v>
      </c>
      <c r="P951" s="2" t="s">
        <v>36</v>
      </c>
      <c r="Q951" s="2">
        <v>2</v>
      </c>
      <c r="R951" s="2" t="s">
        <v>24</v>
      </c>
      <c r="S951" s="11" t="str">
        <f t="shared" si="73"/>
        <v>Rendah</v>
      </c>
      <c r="T951" s="2" t="str">
        <f t="shared" si="74"/>
        <v>Normal</v>
      </c>
    </row>
    <row r="952" spans="1:20" ht="15.75" customHeight="1" x14ac:dyDescent="0.3">
      <c r="A952" s="4" t="s">
        <v>1443</v>
      </c>
      <c r="B952" s="3">
        <v>45751.214456018519</v>
      </c>
      <c r="C952" s="2" t="s">
        <v>530</v>
      </c>
      <c r="D952" s="2" t="s">
        <v>151</v>
      </c>
      <c r="E952" s="2" t="s">
        <v>93</v>
      </c>
      <c r="F952" s="2">
        <v>25000</v>
      </c>
      <c r="G952" s="2">
        <v>5</v>
      </c>
      <c r="H952" s="2">
        <v>10</v>
      </c>
      <c r="I952">
        <f t="shared" si="70"/>
        <v>125000</v>
      </c>
      <c r="J952">
        <f t="shared" si="71"/>
        <v>12500</v>
      </c>
      <c r="K952" s="6">
        <f t="shared" si="72"/>
        <v>112500</v>
      </c>
      <c r="L952" s="2">
        <v>0</v>
      </c>
      <c r="M952" s="6">
        <f>Table1[[#This Row],[Total Sales]]+Table1[[#This Row],[Shipping Fee]]</f>
        <v>112500</v>
      </c>
      <c r="N952" s="2" t="s">
        <v>29</v>
      </c>
      <c r="O952" t="str">
        <f>VLOOKUP(Table1[[#This Row],[Order ID]],Status!A:B, 2,FALSE)</f>
        <v>Completed</v>
      </c>
      <c r="P952" s="2" t="s">
        <v>36</v>
      </c>
      <c r="Q952" s="2">
        <v>2</v>
      </c>
      <c r="R952" s="2" t="s">
        <v>24</v>
      </c>
      <c r="S952" s="11" t="str">
        <f t="shared" si="73"/>
        <v>Rendah</v>
      </c>
      <c r="T952" s="2" t="str">
        <f t="shared" si="74"/>
        <v>Normal</v>
      </c>
    </row>
    <row r="953" spans="1:20" ht="15.75" customHeight="1" x14ac:dyDescent="0.3">
      <c r="A953" s="4" t="s">
        <v>1442</v>
      </c>
      <c r="B953" s="3">
        <v>45751.136388888888</v>
      </c>
      <c r="C953" s="2" t="s">
        <v>726</v>
      </c>
      <c r="D953" s="2" t="s">
        <v>53</v>
      </c>
      <c r="E953" s="2" t="s">
        <v>21</v>
      </c>
      <c r="F953" s="2">
        <v>45000</v>
      </c>
      <c r="G953" s="2">
        <v>3</v>
      </c>
      <c r="H953" s="2">
        <v>10</v>
      </c>
      <c r="I953">
        <f t="shared" si="70"/>
        <v>135000</v>
      </c>
      <c r="J953">
        <f t="shared" si="71"/>
        <v>13500</v>
      </c>
      <c r="K953" s="6">
        <f t="shared" si="72"/>
        <v>121500</v>
      </c>
      <c r="L953" s="2">
        <v>18000</v>
      </c>
      <c r="M953" s="6">
        <f>Table1[[#This Row],[Total Sales]]+Table1[[#This Row],[Shipping Fee]]</f>
        <v>139500</v>
      </c>
      <c r="N953" s="2" t="s">
        <v>29</v>
      </c>
      <c r="O953" t="str">
        <f>VLOOKUP(Table1[[#This Row],[Order ID]],Status!A:B, 2,FALSE)</f>
        <v>Completed</v>
      </c>
      <c r="P953" s="2" t="s">
        <v>46</v>
      </c>
      <c r="Q953" s="2">
        <v>3</v>
      </c>
      <c r="R953" s="2" t="s">
        <v>37</v>
      </c>
      <c r="S953" s="11" t="str">
        <f t="shared" si="73"/>
        <v>Standar</v>
      </c>
      <c r="T953" s="2" t="str">
        <f t="shared" si="74"/>
        <v>Normal</v>
      </c>
    </row>
    <row r="954" spans="1:20" ht="15.75" customHeight="1" x14ac:dyDescent="0.3">
      <c r="A954" s="4" t="s">
        <v>1441</v>
      </c>
      <c r="B954" s="3">
        <v>45750.997083333343</v>
      </c>
      <c r="C954" s="2" t="s">
        <v>1237</v>
      </c>
      <c r="D954" s="2" t="s">
        <v>92</v>
      </c>
      <c r="E954" s="2" t="s">
        <v>21</v>
      </c>
      <c r="F954" s="2">
        <v>45000</v>
      </c>
      <c r="G954" s="2">
        <v>1</v>
      </c>
      <c r="H954" s="2">
        <v>10</v>
      </c>
      <c r="I954">
        <f t="shared" si="70"/>
        <v>45000</v>
      </c>
      <c r="J954">
        <f t="shared" si="71"/>
        <v>4500</v>
      </c>
      <c r="K954" s="6">
        <f t="shared" si="72"/>
        <v>40500</v>
      </c>
      <c r="L954" s="2">
        <v>30000</v>
      </c>
      <c r="M954" s="6">
        <f>Table1[[#This Row],[Total Sales]]+Table1[[#This Row],[Shipping Fee]]</f>
        <v>70500</v>
      </c>
      <c r="N954" s="2" t="s">
        <v>22</v>
      </c>
      <c r="O954" t="str">
        <f>VLOOKUP(Table1[[#This Row],[Order ID]],Status!A:B, 2,FALSE)</f>
        <v>Completed</v>
      </c>
      <c r="P954" s="2" t="s">
        <v>82</v>
      </c>
      <c r="Q954" s="2">
        <v>4</v>
      </c>
      <c r="R954" s="2" t="s">
        <v>24</v>
      </c>
      <c r="S954" s="11" t="str">
        <f t="shared" si="73"/>
        <v>Bagus</v>
      </c>
      <c r="T954" s="2" t="str">
        <f t="shared" si="74"/>
        <v>Sangat Rendah</v>
      </c>
    </row>
    <row r="955" spans="1:20" ht="15.75" customHeight="1" x14ac:dyDescent="0.3">
      <c r="A955" s="4" t="s">
        <v>1440</v>
      </c>
      <c r="B955" s="3">
        <v>45750.577199074083</v>
      </c>
      <c r="C955" s="2" t="s">
        <v>596</v>
      </c>
      <c r="D955" s="2" t="s">
        <v>70</v>
      </c>
      <c r="E955" s="2" t="s">
        <v>85</v>
      </c>
      <c r="F955" s="2">
        <v>35000</v>
      </c>
      <c r="G955" s="2">
        <v>4</v>
      </c>
      <c r="H955" s="2">
        <v>10</v>
      </c>
      <c r="I955">
        <f t="shared" si="70"/>
        <v>140000</v>
      </c>
      <c r="J955">
        <f t="shared" si="71"/>
        <v>14000</v>
      </c>
      <c r="K955" s="6">
        <f t="shared" si="72"/>
        <v>126000</v>
      </c>
      <c r="L955" s="2">
        <v>89000</v>
      </c>
      <c r="M955" s="6">
        <f>Table1[[#This Row],[Total Sales]]+Table1[[#This Row],[Shipping Fee]]</f>
        <v>215000</v>
      </c>
      <c r="N955" s="2" t="s">
        <v>22</v>
      </c>
      <c r="O955" t="str">
        <f>VLOOKUP(Table1[[#This Row],[Order ID]],Status!A:B, 2,FALSE)</f>
        <v>Completed</v>
      </c>
      <c r="P955" s="2" t="s">
        <v>46</v>
      </c>
      <c r="Q955" s="2">
        <v>4</v>
      </c>
      <c r="R955" s="2" t="s">
        <v>24</v>
      </c>
      <c r="S955" s="11" t="str">
        <f t="shared" si="73"/>
        <v>Bagus</v>
      </c>
      <c r="T955" s="2" t="str">
        <f t="shared" si="74"/>
        <v>Normal</v>
      </c>
    </row>
    <row r="956" spans="1:20" ht="15.75" customHeight="1" x14ac:dyDescent="0.3">
      <c r="A956" s="4" t="s">
        <v>1439</v>
      </c>
      <c r="B956" s="3">
        <v>45750.277291666673</v>
      </c>
      <c r="C956" s="2" t="s">
        <v>877</v>
      </c>
      <c r="D956" s="2" t="s">
        <v>107</v>
      </c>
      <c r="E956" s="2" t="s">
        <v>81</v>
      </c>
      <c r="F956" s="2">
        <v>17000</v>
      </c>
      <c r="G956" s="2">
        <v>4</v>
      </c>
      <c r="H956" s="2">
        <v>10</v>
      </c>
      <c r="I956">
        <f t="shared" si="70"/>
        <v>68000</v>
      </c>
      <c r="J956">
        <f t="shared" si="71"/>
        <v>6800</v>
      </c>
      <c r="K956" s="6">
        <f t="shared" si="72"/>
        <v>61200</v>
      </c>
      <c r="L956" s="2">
        <v>97000</v>
      </c>
      <c r="M956" s="6">
        <f>Table1[[#This Row],[Total Sales]]+Table1[[#This Row],[Shipping Fee]]</f>
        <v>158200</v>
      </c>
      <c r="N956" s="2" t="s">
        <v>29</v>
      </c>
      <c r="O956" t="str">
        <f>VLOOKUP(Table1[[#This Row],[Order ID]],Status!A:B, 2,FALSE)</f>
        <v>Cancelled</v>
      </c>
      <c r="P956" s="2" t="s">
        <v>36</v>
      </c>
      <c r="Q956" s="2">
        <v>1</v>
      </c>
      <c r="R956" s="2" t="s">
        <v>24</v>
      </c>
      <c r="S956" s="11" t="str">
        <f t="shared" si="73"/>
        <v>Rendah</v>
      </c>
      <c r="T956" s="2" t="str">
        <f t="shared" si="74"/>
        <v>Rendah</v>
      </c>
    </row>
    <row r="957" spans="1:20" ht="15.75" customHeight="1" x14ac:dyDescent="0.3">
      <c r="A957" s="4" t="s">
        <v>1438</v>
      </c>
      <c r="B957" s="3">
        <v>45750.217245370368</v>
      </c>
      <c r="C957" s="2" t="s">
        <v>307</v>
      </c>
      <c r="D957" s="2" t="s">
        <v>70</v>
      </c>
      <c r="E957" s="2" t="s">
        <v>81</v>
      </c>
      <c r="F957" s="2">
        <v>17000</v>
      </c>
      <c r="G957" s="2">
        <v>2</v>
      </c>
      <c r="H957" s="2">
        <v>20</v>
      </c>
      <c r="I957">
        <f t="shared" si="70"/>
        <v>34000</v>
      </c>
      <c r="J957">
        <f t="shared" si="71"/>
        <v>6800</v>
      </c>
      <c r="K957" s="6">
        <f t="shared" si="72"/>
        <v>27200</v>
      </c>
      <c r="L957" s="2">
        <v>89000</v>
      </c>
      <c r="M957" s="6">
        <f>Table1[[#This Row],[Total Sales]]+Table1[[#This Row],[Shipping Fee]]</f>
        <v>116200</v>
      </c>
      <c r="N957" s="2" t="s">
        <v>22</v>
      </c>
      <c r="O957" t="str">
        <f>VLOOKUP(Table1[[#This Row],[Order ID]],Status!A:B, 2,FALSE)</f>
        <v>Completed</v>
      </c>
      <c r="P957" s="2" t="s">
        <v>23</v>
      </c>
      <c r="Q957" s="2">
        <v>5</v>
      </c>
      <c r="R957" s="2" t="s">
        <v>24</v>
      </c>
      <c r="S957" s="11" t="str">
        <f t="shared" si="73"/>
        <v>Bagus</v>
      </c>
      <c r="T957" s="2" t="str">
        <f t="shared" si="74"/>
        <v>Rendah</v>
      </c>
    </row>
    <row r="958" spans="1:20" ht="15.75" customHeight="1" x14ac:dyDescent="0.3">
      <c r="A958" s="4" t="s">
        <v>1437</v>
      </c>
      <c r="B958" s="3">
        <v>45750.200752314813</v>
      </c>
      <c r="C958" s="2" t="s">
        <v>455</v>
      </c>
      <c r="D958" s="2" t="s">
        <v>33</v>
      </c>
      <c r="E958" s="2" t="s">
        <v>28</v>
      </c>
      <c r="F958" s="2">
        <v>5000</v>
      </c>
      <c r="G958" s="2">
        <v>1</v>
      </c>
      <c r="H958" s="2">
        <v>10</v>
      </c>
      <c r="I958">
        <f t="shared" si="70"/>
        <v>5000</v>
      </c>
      <c r="J958">
        <f t="shared" si="71"/>
        <v>500</v>
      </c>
      <c r="K958" s="6">
        <f t="shared" si="72"/>
        <v>4500</v>
      </c>
      <c r="L958" s="2">
        <v>76000</v>
      </c>
      <c r="M958" s="6">
        <f>Table1[[#This Row],[Total Sales]]+Table1[[#This Row],[Shipping Fee]]</f>
        <v>80500</v>
      </c>
      <c r="N958" s="2" t="s">
        <v>63</v>
      </c>
      <c r="O958" t="str">
        <f>VLOOKUP(Table1[[#This Row],[Order ID]],Status!A:B, 2,FALSE)</f>
        <v>Completed</v>
      </c>
      <c r="P958" s="2" t="s">
        <v>30</v>
      </c>
      <c r="Q958" s="2">
        <v>1</v>
      </c>
      <c r="R958" s="2" t="s">
        <v>24</v>
      </c>
      <c r="S958" s="11" t="str">
        <f t="shared" si="73"/>
        <v>Rendah</v>
      </c>
      <c r="T958" s="2" t="str">
        <f t="shared" si="74"/>
        <v>Sangat Rendah</v>
      </c>
    </row>
    <row r="959" spans="1:20" ht="15.75" customHeight="1" x14ac:dyDescent="0.3">
      <c r="A959" s="4" t="s">
        <v>1435</v>
      </c>
      <c r="B959" s="3">
        <v>45750.168321759258</v>
      </c>
      <c r="C959" s="2" t="s">
        <v>1436</v>
      </c>
      <c r="D959" s="2" t="s">
        <v>119</v>
      </c>
      <c r="E959" s="2" t="s">
        <v>81</v>
      </c>
      <c r="F959" s="2">
        <v>17000</v>
      </c>
      <c r="G959" s="2">
        <v>2</v>
      </c>
      <c r="H959" s="2">
        <v>15</v>
      </c>
      <c r="I959">
        <f t="shared" si="70"/>
        <v>34000</v>
      </c>
      <c r="J959">
        <f t="shared" si="71"/>
        <v>5100</v>
      </c>
      <c r="K959" s="6">
        <f t="shared" si="72"/>
        <v>28900</v>
      </c>
      <c r="L959" s="2">
        <v>0</v>
      </c>
      <c r="M959" s="6">
        <f>Table1[[#This Row],[Total Sales]]+Table1[[#This Row],[Shipping Fee]]</f>
        <v>28900</v>
      </c>
      <c r="N959" s="2" t="s">
        <v>63</v>
      </c>
      <c r="O959" t="str">
        <f>VLOOKUP(Table1[[#This Row],[Order ID]],Status!A:B, 2,FALSE)</f>
        <v>Completed</v>
      </c>
      <c r="P959" s="2" t="s">
        <v>82</v>
      </c>
      <c r="Q959" s="2">
        <v>2</v>
      </c>
      <c r="R959" s="2" t="s">
        <v>24</v>
      </c>
      <c r="S959" s="11" t="str">
        <f t="shared" si="73"/>
        <v>Rendah</v>
      </c>
      <c r="T959" s="2" t="str">
        <f t="shared" si="74"/>
        <v>Rendah</v>
      </c>
    </row>
    <row r="960" spans="1:20" ht="15.75" customHeight="1" x14ac:dyDescent="0.3">
      <c r="A960" s="4" t="s">
        <v>1434</v>
      </c>
      <c r="B960" s="3">
        <v>45750.04550925926</v>
      </c>
      <c r="C960" s="2" t="s">
        <v>983</v>
      </c>
      <c r="D960" s="2" t="s">
        <v>262</v>
      </c>
      <c r="E960" s="2" t="s">
        <v>136</v>
      </c>
      <c r="F960" s="2">
        <v>12000</v>
      </c>
      <c r="G960" s="2">
        <v>4</v>
      </c>
      <c r="H960" s="2">
        <v>0</v>
      </c>
      <c r="I960">
        <f t="shared" si="70"/>
        <v>48000</v>
      </c>
      <c r="J960">
        <f t="shared" si="71"/>
        <v>0</v>
      </c>
      <c r="K960" s="6">
        <f t="shared" si="72"/>
        <v>48000</v>
      </c>
      <c r="L960" s="2">
        <v>18000</v>
      </c>
      <c r="M960" s="6">
        <f>Table1[[#This Row],[Total Sales]]+Table1[[#This Row],[Shipping Fee]]</f>
        <v>66000</v>
      </c>
      <c r="N960" s="2" t="s">
        <v>63</v>
      </c>
      <c r="O960" t="str">
        <f>VLOOKUP(Table1[[#This Row],[Order ID]],Status!A:B, 2,FALSE)</f>
        <v>Completed</v>
      </c>
      <c r="P960" s="2" t="s">
        <v>36</v>
      </c>
      <c r="Q960" s="2">
        <v>1</v>
      </c>
      <c r="R960" s="2" t="s">
        <v>37</v>
      </c>
      <c r="S960" s="11" t="str">
        <f t="shared" si="73"/>
        <v>Rendah</v>
      </c>
      <c r="T960" s="2" t="str">
        <f t="shared" si="74"/>
        <v>Sangat Rendah</v>
      </c>
    </row>
    <row r="961" spans="1:20" ht="15.75" customHeight="1" x14ac:dyDescent="0.3">
      <c r="A961" s="4" t="s">
        <v>1433</v>
      </c>
      <c r="B961" s="3">
        <v>45749.739803240736</v>
      </c>
      <c r="C961" s="2" t="s">
        <v>969</v>
      </c>
      <c r="D961" s="2" t="s">
        <v>177</v>
      </c>
      <c r="E961" s="2" t="s">
        <v>45</v>
      </c>
      <c r="F961" s="2">
        <v>40000</v>
      </c>
      <c r="G961" s="2">
        <v>4</v>
      </c>
      <c r="H961" s="2">
        <v>10</v>
      </c>
      <c r="I961">
        <f t="shared" si="70"/>
        <v>160000</v>
      </c>
      <c r="J961">
        <f t="shared" si="71"/>
        <v>16000</v>
      </c>
      <c r="K961" s="6">
        <f t="shared" si="72"/>
        <v>144000</v>
      </c>
      <c r="L961" s="2">
        <v>56000</v>
      </c>
      <c r="M961" s="6">
        <f>Table1[[#This Row],[Total Sales]]+Table1[[#This Row],[Shipping Fee]]</f>
        <v>200000</v>
      </c>
      <c r="N961" s="2" t="s">
        <v>63</v>
      </c>
      <c r="O961" t="str">
        <f>VLOOKUP(Table1[[#This Row],[Order ID]],Status!A:B, 2,FALSE)</f>
        <v>Returned</v>
      </c>
      <c r="P961" s="2" t="s">
        <v>30</v>
      </c>
      <c r="Q961" s="2">
        <v>1</v>
      </c>
      <c r="R961" s="2" t="s">
        <v>24</v>
      </c>
      <c r="S961" s="11" t="str">
        <f t="shared" si="73"/>
        <v>Rendah</v>
      </c>
      <c r="T961" s="2" t="str">
        <f t="shared" si="74"/>
        <v>Normal</v>
      </c>
    </row>
    <row r="962" spans="1:20" ht="15.75" customHeight="1" x14ac:dyDescent="0.3">
      <c r="A962" s="4" t="s">
        <v>1432</v>
      </c>
      <c r="B962" s="3">
        <v>45748.5153587963</v>
      </c>
      <c r="C962" s="2" t="s">
        <v>1130</v>
      </c>
      <c r="D962" s="2" t="s">
        <v>122</v>
      </c>
      <c r="E962" s="2" t="s">
        <v>88</v>
      </c>
      <c r="F962" s="2">
        <v>14000</v>
      </c>
      <c r="G962" s="2">
        <v>3</v>
      </c>
      <c r="H962" s="2">
        <v>15</v>
      </c>
      <c r="I962">
        <f t="shared" ref="I962:I1025" si="75">F962*G962</f>
        <v>42000</v>
      </c>
      <c r="J962">
        <f t="shared" ref="J962:J1025" si="76">I962*H962/100</f>
        <v>6300</v>
      </c>
      <c r="K962" s="6">
        <f t="shared" ref="K962:K1025" si="77">I962-J962</f>
        <v>35700</v>
      </c>
      <c r="L962" s="2">
        <v>78000</v>
      </c>
      <c r="M962" s="6">
        <f>Table1[[#This Row],[Total Sales]]+Table1[[#This Row],[Shipping Fee]]</f>
        <v>113700</v>
      </c>
      <c r="N962" s="2" t="s">
        <v>29</v>
      </c>
      <c r="O962" t="str">
        <f>VLOOKUP(Table1[[#This Row],[Order ID]],Status!A:B, 2,FALSE)</f>
        <v>Cancelled</v>
      </c>
      <c r="P962" s="2" t="s">
        <v>30</v>
      </c>
      <c r="Q962" s="2">
        <v>4</v>
      </c>
      <c r="R962" s="2" t="s">
        <v>24</v>
      </c>
      <c r="S962" s="11" t="str">
        <f t="shared" ref="S962:S1025" si="78">_xlfn.IFS(Q962&gt;3,"Bagus",Q962=3,"Standar",Q962&lt;3,"Rendah")</f>
        <v>Bagus</v>
      </c>
      <c r="T962" s="2" t="str">
        <f t="shared" ref="T962:T1025" si="79">_xlfn.IFS(J962&lt;=5000,"Sangat Rendah", J962&lt;=10000,"Rendah", J962&lt;=20000, "Normal", J962&lt;=35000, "Tinggi", J962&lt;= 50000, "Sangat Tinggi", J962&gt;50000, "Clearance")</f>
        <v>Rendah</v>
      </c>
    </row>
    <row r="963" spans="1:20" ht="15.75" customHeight="1" x14ac:dyDescent="0.3">
      <c r="A963" s="4" t="s">
        <v>1431</v>
      </c>
      <c r="B963" s="3">
        <v>45748.499374999999</v>
      </c>
      <c r="C963" s="2" t="s">
        <v>95</v>
      </c>
      <c r="D963" s="2" t="s">
        <v>96</v>
      </c>
      <c r="E963" s="2" t="s">
        <v>28</v>
      </c>
      <c r="F963" s="2">
        <v>5000</v>
      </c>
      <c r="G963" s="2">
        <v>1</v>
      </c>
      <c r="H963" s="2">
        <v>20</v>
      </c>
      <c r="I963">
        <f t="shared" si="75"/>
        <v>5000</v>
      </c>
      <c r="J963">
        <f t="shared" si="76"/>
        <v>1000</v>
      </c>
      <c r="K963" s="6">
        <f t="shared" si="77"/>
        <v>4000</v>
      </c>
      <c r="L963" s="2">
        <v>49000</v>
      </c>
      <c r="M963" s="6">
        <f>Table1[[#This Row],[Total Sales]]+Table1[[#This Row],[Shipping Fee]]</f>
        <v>53000</v>
      </c>
      <c r="N963" s="2" t="s">
        <v>35</v>
      </c>
      <c r="O963" t="str">
        <f>VLOOKUP(Table1[[#This Row],[Order ID]],Status!A:B, 2,FALSE)</f>
        <v>Completed</v>
      </c>
      <c r="P963" s="2" t="s">
        <v>30</v>
      </c>
      <c r="Q963" s="2">
        <v>1</v>
      </c>
      <c r="R963" s="2" t="s">
        <v>24</v>
      </c>
      <c r="S963" s="11" t="str">
        <f t="shared" si="78"/>
        <v>Rendah</v>
      </c>
      <c r="T963" s="2" t="str">
        <f t="shared" si="79"/>
        <v>Sangat Rendah</v>
      </c>
    </row>
    <row r="964" spans="1:20" ht="15.75" customHeight="1" x14ac:dyDescent="0.3">
      <c r="A964" s="4" t="s">
        <v>1430</v>
      </c>
      <c r="B964" s="3">
        <v>45748.264421296299</v>
      </c>
      <c r="C964" s="2" t="s">
        <v>214</v>
      </c>
      <c r="D964" s="2" t="s">
        <v>131</v>
      </c>
      <c r="E964" s="2" t="s">
        <v>190</v>
      </c>
      <c r="F964" s="2">
        <v>35000</v>
      </c>
      <c r="G964" s="2">
        <v>1</v>
      </c>
      <c r="H964" s="2">
        <v>20</v>
      </c>
      <c r="I964">
        <f t="shared" si="75"/>
        <v>35000</v>
      </c>
      <c r="J964">
        <f t="shared" si="76"/>
        <v>7000</v>
      </c>
      <c r="K964" s="6">
        <f t="shared" si="77"/>
        <v>28000</v>
      </c>
      <c r="L964" s="2">
        <v>59000</v>
      </c>
      <c r="M964" s="6">
        <f>Table1[[#This Row],[Total Sales]]+Table1[[#This Row],[Shipping Fee]]</f>
        <v>87000</v>
      </c>
      <c r="N964" s="2" t="s">
        <v>63</v>
      </c>
      <c r="O964" t="str">
        <f>VLOOKUP(Table1[[#This Row],[Order ID]],Status!A:B, 2,FALSE)</f>
        <v>Completed</v>
      </c>
      <c r="P964" s="2" t="s">
        <v>30</v>
      </c>
      <c r="Q964" s="2">
        <v>1</v>
      </c>
      <c r="R964" s="2" t="s">
        <v>24</v>
      </c>
      <c r="S964" s="11" t="str">
        <f t="shared" si="78"/>
        <v>Rendah</v>
      </c>
      <c r="T964" s="2" t="str">
        <f t="shared" si="79"/>
        <v>Rendah</v>
      </c>
    </row>
    <row r="965" spans="1:20" ht="15.75" customHeight="1" x14ac:dyDescent="0.3">
      <c r="A965" s="4" t="s">
        <v>1429</v>
      </c>
      <c r="B965" s="3">
        <v>45748.177071759259</v>
      </c>
      <c r="C965" s="2" t="s">
        <v>162</v>
      </c>
      <c r="D965" s="2" t="s">
        <v>163</v>
      </c>
      <c r="E965" s="2" t="s">
        <v>21</v>
      </c>
      <c r="F965" s="2">
        <v>45000</v>
      </c>
      <c r="G965" s="2">
        <v>5</v>
      </c>
      <c r="H965" s="2">
        <v>15</v>
      </c>
      <c r="I965">
        <f t="shared" si="75"/>
        <v>225000</v>
      </c>
      <c r="J965">
        <f t="shared" si="76"/>
        <v>33750</v>
      </c>
      <c r="K965" s="6">
        <f t="shared" si="77"/>
        <v>191250</v>
      </c>
      <c r="L965" s="2">
        <v>50000</v>
      </c>
      <c r="M965" s="6">
        <f>Table1[[#This Row],[Total Sales]]+Table1[[#This Row],[Shipping Fee]]</f>
        <v>241250</v>
      </c>
      <c r="N965" s="2" t="s">
        <v>29</v>
      </c>
      <c r="O965" t="str">
        <f>VLOOKUP(Table1[[#This Row],[Order ID]],Status!A:B, 2,FALSE)</f>
        <v>Completed</v>
      </c>
      <c r="P965" s="2" t="s">
        <v>23</v>
      </c>
      <c r="Q965" s="2">
        <v>1</v>
      </c>
      <c r="R965" s="2" t="s">
        <v>24</v>
      </c>
      <c r="S965" s="11" t="str">
        <f t="shared" si="78"/>
        <v>Rendah</v>
      </c>
      <c r="T965" s="2" t="str">
        <f t="shared" si="79"/>
        <v>Tinggi</v>
      </c>
    </row>
    <row r="966" spans="1:20" ht="15.75" customHeight="1" x14ac:dyDescent="0.3">
      <c r="A966" s="4" t="s">
        <v>1428</v>
      </c>
      <c r="B966" s="3">
        <v>45748.173981481479</v>
      </c>
      <c r="C966" s="2" t="s">
        <v>651</v>
      </c>
      <c r="D966" s="2" t="s">
        <v>182</v>
      </c>
      <c r="E966" s="2" t="s">
        <v>104</v>
      </c>
      <c r="F966" s="2">
        <v>30000</v>
      </c>
      <c r="G966" s="2">
        <v>5</v>
      </c>
      <c r="H966" s="2">
        <v>20</v>
      </c>
      <c r="I966">
        <f t="shared" si="75"/>
        <v>150000</v>
      </c>
      <c r="J966">
        <f t="shared" si="76"/>
        <v>30000</v>
      </c>
      <c r="K966" s="6">
        <f t="shared" si="77"/>
        <v>120000</v>
      </c>
      <c r="L966" s="2">
        <v>48000</v>
      </c>
      <c r="M966" s="6">
        <f>Table1[[#This Row],[Total Sales]]+Table1[[#This Row],[Shipping Fee]]</f>
        <v>168000</v>
      </c>
      <c r="N966" s="2" t="s">
        <v>35</v>
      </c>
      <c r="O966" t="str">
        <f>VLOOKUP(Table1[[#This Row],[Order ID]],Status!A:B, 2,FALSE)</f>
        <v>Completed</v>
      </c>
      <c r="P966" s="2" t="s">
        <v>36</v>
      </c>
      <c r="Q966" s="2">
        <v>2</v>
      </c>
      <c r="R966" s="2" t="s">
        <v>37</v>
      </c>
      <c r="S966" s="11" t="str">
        <f t="shared" si="78"/>
        <v>Rendah</v>
      </c>
      <c r="T966" s="2" t="str">
        <f t="shared" si="79"/>
        <v>Tinggi</v>
      </c>
    </row>
    <row r="967" spans="1:20" ht="15.75" customHeight="1" x14ac:dyDescent="0.3">
      <c r="A967" s="4" t="s">
        <v>1427</v>
      </c>
      <c r="B967" s="3">
        <v>45747.794293981482</v>
      </c>
      <c r="C967" s="2" t="s">
        <v>1317</v>
      </c>
      <c r="D967" s="2" t="s">
        <v>113</v>
      </c>
      <c r="E967" s="2" t="s">
        <v>190</v>
      </c>
      <c r="F967" s="2">
        <v>35000</v>
      </c>
      <c r="G967" s="2">
        <v>4</v>
      </c>
      <c r="H967" s="2">
        <v>5</v>
      </c>
      <c r="I967">
        <f t="shared" si="75"/>
        <v>140000</v>
      </c>
      <c r="J967">
        <f t="shared" si="76"/>
        <v>7000</v>
      </c>
      <c r="K967" s="6">
        <f t="shared" si="77"/>
        <v>133000</v>
      </c>
      <c r="L967" s="2">
        <v>18000</v>
      </c>
      <c r="M967" s="6">
        <f>Table1[[#This Row],[Total Sales]]+Table1[[#This Row],[Shipping Fee]]</f>
        <v>151000</v>
      </c>
      <c r="N967" s="2" t="s">
        <v>63</v>
      </c>
      <c r="O967" t="str">
        <f>VLOOKUP(Table1[[#This Row],[Order ID]],Status!A:B, 2,FALSE)</f>
        <v>Completed</v>
      </c>
      <c r="P967" s="2" t="s">
        <v>82</v>
      </c>
      <c r="Q967" s="2">
        <v>3</v>
      </c>
      <c r="R967" s="2" t="s">
        <v>37</v>
      </c>
      <c r="S967" s="11" t="str">
        <f t="shared" si="78"/>
        <v>Standar</v>
      </c>
      <c r="T967" s="2" t="str">
        <f t="shared" si="79"/>
        <v>Rendah</v>
      </c>
    </row>
    <row r="968" spans="1:20" ht="15.75" customHeight="1" x14ac:dyDescent="0.3">
      <c r="A968" s="4" t="s">
        <v>1426</v>
      </c>
      <c r="B968" s="3">
        <v>45747.776400462957</v>
      </c>
      <c r="C968" s="2" t="s">
        <v>56</v>
      </c>
      <c r="D968" s="2" t="s">
        <v>57</v>
      </c>
      <c r="E968" s="2" t="s">
        <v>85</v>
      </c>
      <c r="F968" s="2">
        <v>35000</v>
      </c>
      <c r="G968" s="2">
        <v>3</v>
      </c>
      <c r="H968" s="2">
        <v>20</v>
      </c>
      <c r="I968">
        <f t="shared" si="75"/>
        <v>105000</v>
      </c>
      <c r="J968">
        <f t="shared" si="76"/>
        <v>21000</v>
      </c>
      <c r="K968" s="6">
        <f t="shared" si="77"/>
        <v>84000</v>
      </c>
      <c r="L968" s="2">
        <v>80000</v>
      </c>
      <c r="M968" s="6">
        <f>Table1[[#This Row],[Total Sales]]+Table1[[#This Row],[Shipping Fee]]</f>
        <v>164000</v>
      </c>
      <c r="N968" s="2" t="s">
        <v>29</v>
      </c>
      <c r="O968" t="str">
        <f>VLOOKUP(Table1[[#This Row],[Order ID]],Status!A:B, 2,FALSE)</f>
        <v>Completed</v>
      </c>
      <c r="P968" s="2" t="s">
        <v>82</v>
      </c>
      <c r="Q968" s="2">
        <v>1</v>
      </c>
      <c r="R968" s="2" t="s">
        <v>24</v>
      </c>
      <c r="S968" s="11" t="str">
        <f t="shared" si="78"/>
        <v>Rendah</v>
      </c>
      <c r="T968" s="2" t="str">
        <f t="shared" si="79"/>
        <v>Tinggi</v>
      </c>
    </row>
    <row r="969" spans="1:20" ht="15.75" customHeight="1" x14ac:dyDescent="0.3">
      <c r="A969" s="4" t="s">
        <v>1425</v>
      </c>
      <c r="B969" s="3">
        <v>45747.215324074074</v>
      </c>
      <c r="C969" s="2" t="s">
        <v>983</v>
      </c>
      <c r="D969" s="2" t="s">
        <v>262</v>
      </c>
      <c r="E969" s="2" t="s">
        <v>28</v>
      </c>
      <c r="F969" s="2">
        <v>5000</v>
      </c>
      <c r="G969" s="2">
        <v>1</v>
      </c>
      <c r="H969" s="2">
        <v>0</v>
      </c>
      <c r="I969">
        <f t="shared" si="75"/>
        <v>5000</v>
      </c>
      <c r="J969">
        <f t="shared" si="76"/>
        <v>0</v>
      </c>
      <c r="K969" s="6">
        <f t="shared" si="77"/>
        <v>5000</v>
      </c>
      <c r="L969" s="2">
        <v>18000</v>
      </c>
      <c r="M969" s="6">
        <f>Table1[[#This Row],[Total Sales]]+Table1[[#This Row],[Shipping Fee]]</f>
        <v>23000</v>
      </c>
      <c r="N969" s="2" t="s">
        <v>22</v>
      </c>
      <c r="O969" t="str">
        <f>VLOOKUP(Table1[[#This Row],[Order ID]],Status!A:B, 2,FALSE)</f>
        <v>Completed</v>
      </c>
      <c r="P969" s="2" t="s">
        <v>46</v>
      </c>
      <c r="Q969" s="2">
        <v>1</v>
      </c>
      <c r="R969" s="2" t="s">
        <v>37</v>
      </c>
      <c r="S969" s="11" t="str">
        <f t="shared" si="78"/>
        <v>Rendah</v>
      </c>
      <c r="T969" s="2" t="str">
        <f t="shared" si="79"/>
        <v>Sangat Rendah</v>
      </c>
    </row>
    <row r="970" spans="1:20" ht="15.75" customHeight="1" x14ac:dyDescent="0.3">
      <c r="A970" s="4" t="s">
        <v>1423</v>
      </c>
      <c r="B970" s="3">
        <v>45746.834351851852</v>
      </c>
      <c r="C970" s="2" t="s">
        <v>1424</v>
      </c>
      <c r="D970" s="2" t="s">
        <v>296</v>
      </c>
      <c r="E970" s="2" t="s">
        <v>186</v>
      </c>
      <c r="F970" s="2">
        <v>45000</v>
      </c>
      <c r="G970" s="2">
        <v>1</v>
      </c>
      <c r="H970" s="2">
        <v>20</v>
      </c>
      <c r="I970">
        <f t="shared" si="75"/>
        <v>45000</v>
      </c>
      <c r="J970">
        <f t="shared" si="76"/>
        <v>9000</v>
      </c>
      <c r="K970" s="6">
        <f t="shared" si="77"/>
        <v>36000</v>
      </c>
      <c r="L970" s="2">
        <v>79000</v>
      </c>
      <c r="M970" s="6">
        <f>Table1[[#This Row],[Total Sales]]+Table1[[#This Row],[Shipping Fee]]</f>
        <v>115000</v>
      </c>
      <c r="N970" s="2" t="s">
        <v>29</v>
      </c>
      <c r="O970" t="str">
        <f>VLOOKUP(Table1[[#This Row],[Order ID]],Status!A:B, 2,FALSE)</f>
        <v>Completed</v>
      </c>
      <c r="P970" s="2" t="s">
        <v>46</v>
      </c>
      <c r="Q970" s="2">
        <v>3</v>
      </c>
      <c r="R970" s="2" t="s">
        <v>24</v>
      </c>
      <c r="S970" s="11" t="str">
        <f t="shared" si="78"/>
        <v>Standar</v>
      </c>
      <c r="T970" s="2" t="str">
        <f t="shared" si="79"/>
        <v>Rendah</v>
      </c>
    </row>
    <row r="971" spans="1:20" ht="15.75" customHeight="1" x14ac:dyDescent="0.3">
      <c r="A971" s="4" t="s">
        <v>1422</v>
      </c>
      <c r="B971" s="3">
        <v>45746.511157407411</v>
      </c>
      <c r="C971" s="2" t="s">
        <v>229</v>
      </c>
      <c r="D971" s="2" t="s">
        <v>195</v>
      </c>
      <c r="E971" s="2" t="s">
        <v>67</v>
      </c>
      <c r="F971" s="2">
        <v>15000</v>
      </c>
      <c r="G971" s="2">
        <v>5</v>
      </c>
      <c r="H971" s="2">
        <v>10</v>
      </c>
      <c r="I971">
        <f t="shared" si="75"/>
        <v>75000</v>
      </c>
      <c r="J971">
        <f t="shared" si="76"/>
        <v>7500</v>
      </c>
      <c r="K971" s="6">
        <f t="shared" si="77"/>
        <v>67500</v>
      </c>
      <c r="L971" s="2">
        <v>87000</v>
      </c>
      <c r="M971" s="6">
        <f>Table1[[#This Row],[Total Sales]]+Table1[[#This Row],[Shipping Fee]]</f>
        <v>154500</v>
      </c>
      <c r="N971" s="2" t="s">
        <v>63</v>
      </c>
      <c r="O971" t="str">
        <f>VLOOKUP(Table1[[#This Row],[Order ID]],Status!A:B, 2,FALSE)</f>
        <v>Completed</v>
      </c>
      <c r="P971" s="2" t="s">
        <v>36</v>
      </c>
      <c r="Q971" s="2">
        <v>4</v>
      </c>
      <c r="R971" s="2" t="s">
        <v>24</v>
      </c>
      <c r="S971" s="11" t="str">
        <f t="shared" si="78"/>
        <v>Bagus</v>
      </c>
      <c r="T971" s="2" t="str">
        <f t="shared" si="79"/>
        <v>Rendah</v>
      </c>
    </row>
    <row r="972" spans="1:20" ht="15.75" customHeight="1" x14ac:dyDescent="0.3">
      <c r="A972" s="4" t="s">
        <v>1421</v>
      </c>
      <c r="B972" s="3">
        <v>45746.490671296298</v>
      </c>
      <c r="C972" s="2" t="s">
        <v>1336</v>
      </c>
      <c r="D972" s="2" t="s">
        <v>96</v>
      </c>
      <c r="E972" s="2" t="s">
        <v>41</v>
      </c>
      <c r="F972" s="2">
        <v>4000</v>
      </c>
      <c r="G972" s="2">
        <v>3</v>
      </c>
      <c r="H972" s="2">
        <v>10</v>
      </c>
      <c r="I972">
        <f t="shared" si="75"/>
        <v>12000</v>
      </c>
      <c r="J972">
        <f t="shared" si="76"/>
        <v>1200</v>
      </c>
      <c r="K972" s="6">
        <f t="shared" si="77"/>
        <v>10800</v>
      </c>
      <c r="L972" s="2">
        <v>49000</v>
      </c>
      <c r="M972" s="6">
        <f>Table1[[#This Row],[Total Sales]]+Table1[[#This Row],[Shipping Fee]]</f>
        <v>59800</v>
      </c>
      <c r="N972" s="2" t="s">
        <v>35</v>
      </c>
      <c r="O972" t="str">
        <f>VLOOKUP(Table1[[#This Row],[Order ID]],Status!A:B, 2,FALSE)</f>
        <v>Returned</v>
      </c>
      <c r="P972" s="2" t="s">
        <v>46</v>
      </c>
      <c r="Q972" s="2">
        <v>4</v>
      </c>
      <c r="R972" s="2" t="s">
        <v>37</v>
      </c>
      <c r="S972" s="11" t="str">
        <f t="shared" si="78"/>
        <v>Bagus</v>
      </c>
      <c r="T972" s="2" t="str">
        <f t="shared" si="79"/>
        <v>Sangat Rendah</v>
      </c>
    </row>
    <row r="973" spans="1:20" ht="15.75" customHeight="1" x14ac:dyDescent="0.3">
      <c r="A973" s="4" t="s">
        <v>1420</v>
      </c>
      <c r="B973" s="3">
        <v>45746.238703703697</v>
      </c>
      <c r="C973" s="2" t="s">
        <v>162</v>
      </c>
      <c r="D973" s="2" t="s">
        <v>163</v>
      </c>
      <c r="E973" s="2" t="s">
        <v>88</v>
      </c>
      <c r="F973" s="2">
        <v>14000</v>
      </c>
      <c r="G973" s="2">
        <v>2</v>
      </c>
      <c r="H973" s="2">
        <v>5</v>
      </c>
      <c r="I973">
        <f t="shared" si="75"/>
        <v>28000</v>
      </c>
      <c r="J973">
        <f t="shared" si="76"/>
        <v>1400</v>
      </c>
      <c r="K973" s="6">
        <f t="shared" si="77"/>
        <v>26600</v>
      </c>
      <c r="L973" s="2">
        <v>50000</v>
      </c>
      <c r="M973" s="6">
        <f>Table1[[#This Row],[Total Sales]]+Table1[[#This Row],[Shipping Fee]]</f>
        <v>76600</v>
      </c>
      <c r="N973" s="2" t="s">
        <v>22</v>
      </c>
      <c r="O973" t="str">
        <f>VLOOKUP(Table1[[#This Row],[Order ID]],Status!A:B, 2,FALSE)</f>
        <v>Completed</v>
      </c>
      <c r="P973" s="2" t="s">
        <v>36</v>
      </c>
      <c r="Q973" s="2">
        <v>3</v>
      </c>
      <c r="R973" s="2" t="s">
        <v>24</v>
      </c>
      <c r="S973" s="11" t="str">
        <f t="shared" si="78"/>
        <v>Standar</v>
      </c>
      <c r="T973" s="2" t="str">
        <f t="shared" si="79"/>
        <v>Sangat Rendah</v>
      </c>
    </row>
    <row r="974" spans="1:20" ht="15.75" customHeight="1" x14ac:dyDescent="0.3">
      <c r="A974" s="4" t="s">
        <v>1419</v>
      </c>
      <c r="B974" s="3">
        <v>45745.640833333331</v>
      </c>
      <c r="C974" s="2" t="s">
        <v>515</v>
      </c>
      <c r="D974" s="2" t="s">
        <v>182</v>
      </c>
      <c r="E974" s="2" t="s">
        <v>54</v>
      </c>
      <c r="F974" s="2">
        <v>16000</v>
      </c>
      <c r="G974" s="2">
        <v>2</v>
      </c>
      <c r="H974" s="2">
        <v>20</v>
      </c>
      <c r="I974">
        <f t="shared" si="75"/>
        <v>32000</v>
      </c>
      <c r="J974">
        <f t="shared" si="76"/>
        <v>6400</v>
      </c>
      <c r="K974" s="6">
        <f t="shared" si="77"/>
        <v>25600</v>
      </c>
      <c r="L974" s="2">
        <v>48000</v>
      </c>
      <c r="M974" s="6">
        <f>Table1[[#This Row],[Total Sales]]+Table1[[#This Row],[Shipping Fee]]</f>
        <v>73600</v>
      </c>
      <c r="N974" s="2" t="s">
        <v>63</v>
      </c>
      <c r="O974" t="str">
        <f>VLOOKUP(Table1[[#This Row],[Order ID]],Status!A:B, 2,FALSE)</f>
        <v>Completed</v>
      </c>
      <c r="P974" s="2" t="s">
        <v>36</v>
      </c>
      <c r="Q974" s="2">
        <v>2</v>
      </c>
      <c r="R974" s="2" t="s">
        <v>24</v>
      </c>
      <c r="S974" s="11" t="str">
        <f t="shared" si="78"/>
        <v>Rendah</v>
      </c>
      <c r="T974" s="2" t="str">
        <f t="shared" si="79"/>
        <v>Rendah</v>
      </c>
    </row>
    <row r="975" spans="1:20" ht="15.75" customHeight="1" x14ac:dyDescent="0.3">
      <c r="A975" s="4" t="s">
        <v>1417</v>
      </c>
      <c r="B975" s="3">
        <v>45745.597604166673</v>
      </c>
      <c r="C975" s="2" t="s">
        <v>1418</v>
      </c>
      <c r="D975" s="2" t="s">
        <v>262</v>
      </c>
      <c r="E975" s="2" t="s">
        <v>174</v>
      </c>
      <c r="F975" s="2">
        <v>10000</v>
      </c>
      <c r="G975" s="2">
        <v>4</v>
      </c>
      <c r="H975" s="2">
        <v>5</v>
      </c>
      <c r="I975">
        <f t="shared" si="75"/>
        <v>40000</v>
      </c>
      <c r="J975">
        <f t="shared" si="76"/>
        <v>2000</v>
      </c>
      <c r="K975" s="6">
        <f t="shared" si="77"/>
        <v>38000</v>
      </c>
      <c r="L975" s="2">
        <v>18000</v>
      </c>
      <c r="M975" s="6">
        <f>Table1[[#This Row],[Total Sales]]+Table1[[#This Row],[Shipping Fee]]</f>
        <v>56000</v>
      </c>
      <c r="N975" s="2" t="s">
        <v>29</v>
      </c>
      <c r="O975" t="str">
        <f>VLOOKUP(Table1[[#This Row],[Order ID]],Status!A:B, 2,FALSE)</f>
        <v>Completed</v>
      </c>
      <c r="P975" s="2" t="s">
        <v>82</v>
      </c>
      <c r="Q975" s="2">
        <v>4</v>
      </c>
      <c r="R975" s="2" t="s">
        <v>24</v>
      </c>
      <c r="S975" s="11" t="str">
        <f t="shared" si="78"/>
        <v>Bagus</v>
      </c>
      <c r="T975" s="2" t="str">
        <f t="shared" si="79"/>
        <v>Sangat Rendah</v>
      </c>
    </row>
    <row r="976" spans="1:20" ht="15.75" customHeight="1" x14ac:dyDescent="0.3">
      <c r="A976" s="4" t="s">
        <v>1416</v>
      </c>
      <c r="B976" s="3">
        <v>45745.366122685176</v>
      </c>
      <c r="C976" s="2" t="s">
        <v>1066</v>
      </c>
      <c r="D976" s="2" t="s">
        <v>113</v>
      </c>
      <c r="E976" s="2" t="s">
        <v>174</v>
      </c>
      <c r="F976" s="2">
        <v>10000</v>
      </c>
      <c r="G976" s="2">
        <v>3</v>
      </c>
      <c r="H976" s="2">
        <v>5</v>
      </c>
      <c r="I976">
        <f t="shared" si="75"/>
        <v>30000</v>
      </c>
      <c r="J976">
        <f t="shared" si="76"/>
        <v>1500</v>
      </c>
      <c r="K976" s="6">
        <f t="shared" si="77"/>
        <v>28500</v>
      </c>
      <c r="L976" s="2">
        <v>18000</v>
      </c>
      <c r="M976" s="6">
        <f>Table1[[#This Row],[Total Sales]]+Table1[[#This Row],[Shipping Fee]]</f>
        <v>46500</v>
      </c>
      <c r="N976" s="2" t="s">
        <v>63</v>
      </c>
      <c r="O976" t="str">
        <f>VLOOKUP(Table1[[#This Row],[Order ID]],Status!A:B, 2,FALSE)</f>
        <v>Completed</v>
      </c>
      <c r="P976" s="2" t="s">
        <v>23</v>
      </c>
      <c r="Q976" s="2">
        <v>3</v>
      </c>
      <c r="R976" s="2" t="s">
        <v>24</v>
      </c>
      <c r="S976" s="11" t="str">
        <f t="shared" si="78"/>
        <v>Standar</v>
      </c>
      <c r="T976" s="2" t="str">
        <f t="shared" si="79"/>
        <v>Sangat Rendah</v>
      </c>
    </row>
    <row r="977" spans="1:20" ht="15.75" customHeight="1" x14ac:dyDescent="0.3">
      <c r="A977" s="4" t="s">
        <v>1415</v>
      </c>
      <c r="B977" s="3">
        <v>45745.329351851848</v>
      </c>
      <c r="C977" s="2" t="s">
        <v>269</v>
      </c>
      <c r="D977" s="2" t="s">
        <v>173</v>
      </c>
      <c r="E977" s="2" t="s">
        <v>54</v>
      </c>
      <c r="F977" s="2">
        <v>16000</v>
      </c>
      <c r="G977" s="2">
        <v>4</v>
      </c>
      <c r="H977" s="2">
        <v>20</v>
      </c>
      <c r="I977">
        <f t="shared" si="75"/>
        <v>64000</v>
      </c>
      <c r="J977">
        <f t="shared" si="76"/>
        <v>12800</v>
      </c>
      <c r="K977" s="6">
        <f t="shared" si="77"/>
        <v>51200</v>
      </c>
      <c r="L977" s="2">
        <v>49000</v>
      </c>
      <c r="M977" s="6">
        <f>Table1[[#This Row],[Total Sales]]+Table1[[#This Row],[Shipping Fee]]</f>
        <v>100200</v>
      </c>
      <c r="N977" s="2" t="s">
        <v>22</v>
      </c>
      <c r="O977" t="str">
        <f>VLOOKUP(Table1[[#This Row],[Order ID]],Status!A:B, 2,FALSE)</f>
        <v>Completed</v>
      </c>
      <c r="P977" s="2" t="s">
        <v>30</v>
      </c>
      <c r="Q977" s="2">
        <v>2</v>
      </c>
      <c r="R977" s="2" t="s">
        <v>37</v>
      </c>
      <c r="S977" s="11" t="str">
        <f t="shared" si="78"/>
        <v>Rendah</v>
      </c>
      <c r="T977" s="2" t="str">
        <f t="shared" si="79"/>
        <v>Normal</v>
      </c>
    </row>
    <row r="978" spans="1:20" ht="15.75" customHeight="1" x14ac:dyDescent="0.3">
      <c r="A978" s="4" t="s">
        <v>1414</v>
      </c>
      <c r="B978" s="3">
        <v>45745.218368055554</v>
      </c>
      <c r="C978" s="2" t="s">
        <v>295</v>
      </c>
      <c r="D978" s="2" t="s">
        <v>296</v>
      </c>
      <c r="E978" s="2" t="s">
        <v>75</v>
      </c>
      <c r="F978" s="2">
        <v>55000</v>
      </c>
      <c r="G978" s="2">
        <v>5</v>
      </c>
      <c r="H978" s="2">
        <v>10</v>
      </c>
      <c r="I978">
        <f t="shared" si="75"/>
        <v>275000</v>
      </c>
      <c r="J978">
        <f t="shared" si="76"/>
        <v>27500</v>
      </c>
      <c r="K978" s="6">
        <f t="shared" si="77"/>
        <v>247500</v>
      </c>
      <c r="L978" s="2">
        <v>79000</v>
      </c>
      <c r="M978" s="6">
        <f>Table1[[#This Row],[Total Sales]]+Table1[[#This Row],[Shipping Fee]]</f>
        <v>326500</v>
      </c>
      <c r="N978" s="2" t="s">
        <v>35</v>
      </c>
      <c r="O978" t="str">
        <f>VLOOKUP(Table1[[#This Row],[Order ID]],Status!A:B, 2,FALSE)</f>
        <v>Completed</v>
      </c>
      <c r="P978" s="2" t="s">
        <v>82</v>
      </c>
      <c r="Q978" s="2">
        <v>4</v>
      </c>
      <c r="R978" s="2" t="s">
        <v>24</v>
      </c>
      <c r="S978" s="11" t="str">
        <f t="shared" si="78"/>
        <v>Bagus</v>
      </c>
      <c r="T978" s="2" t="str">
        <f t="shared" si="79"/>
        <v>Tinggi</v>
      </c>
    </row>
    <row r="979" spans="1:20" ht="15.75" customHeight="1" x14ac:dyDescent="0.3">
      <c r="A979" s="4" t="s">
        <v>1413</v>
      </c>
      <c r="B979" s="3">
        <v>45745.021608796298</v>
      </c>
      <c r="C979" s="2" t="s">
        <v>337</v>
      </c>
      <c r="D979" s="2" t="s">
        <v>131</v>
      </c>
      <c r="E979" s="2" t="s">
        <v>174</v>
      </c>
      <c r="F979" s="2">
        <v>10000</v>
      </c>
      <c r="G979" s="2">
        <v>5</v>
      </c>
      <c r="H979" s="2">
        <v>0</v>
      </c>
      <c r="I979">
        <f t="shared" si="75"/>
        <v>50000</v>
      </c>
      <c r="J979">
        <f t="shared" si="76"/>
        <v>0</v>
      </c>
      <c r="K979" s="6">
        <f t="shared" si="77"/>
        <v>50000</v>
      </c>
      <c r="L979" s="2">
        <v>59000</v>
      </c>
      <c r="M979" s="6">
        <f>Table1[[#This Row],[Total Sales]]+Table1[[#This Row],[Shipping Fee]]</f>
        <v>109000</v>
      </c>
      <c r="N979" s="2" t="s">
        <v>63</v>
      </c>
      <c r="O979" t="str">
        <f>VLOOKUP(Table1[[#This Row],[Order ID]],Status!A:B, 2,FALSE)</f>
        <v>Completed</v>
      </c>
      <c r="P979" s="2" t="s">
        <v>36</v>
      </c>
      <c r="Q979" s="2">
        <v>4</v>
      </c>
      <c r="R979" s="2" t="s">
        <v>24</v>
      </c>
      <c r="S979" s="11" t="str">
        <f t="shared" si="78"/>
        <v>Bagus</v>
      </c>
      <c r="T979" s="2" t="str">
        <f t="shared" si="79"/>
        <v>Sangat Rendah</v>
      </c>
    </row>
    <row r="980" spans="1:20" ht="15.75" customHeight="1" x14ac:dyDescent="0.3">
      <c r="A980" s="4" t="s">
        <v>1413</v>
      </c>
      <c r="B980" s="3">
        <v>45745.021608796298</v>
      </c>
      <c r="C980" s="2" t="s">
        <v>337</v>
      </c>
      <c r="D980" s="2" t="s">
        <v>131</v>
      </c>
      <c r="E980" s="2" t="s">
        <v>45</v>
      </c>
      <c r="F980" s="2">
        <v>40000</v>
      </c>
      <c r="G980" s="2">
        <v>3</v>
      </c>
      <c r="H980" s="2">
        <v>20</v>
      </c>
      <c r="I980">
        <f t="shared" si="75"/>
        <v>120000</v>
      </c>
      <c r="J980">
        <f t="shared" si="76"/>
        <v>24000</v>
      </c>
      <c r="K980" s="6">
        <f t="shared" si="77"/>
        <v>96000</v>
      </c>
      <c r="L980" s="2">
        <v>0</v>
      </c>
      <c r="M980" s="6">
        <f>Table1[[#This Row],[Total Sales]]+Table1[[#This Row],[Shipping Fee]]</f>
        <v>96000</v>
      </c>
      <c r="N980" s="2" t="s">
        <v>63</v>
      </c>
      <c r="O980" t="str">
        <f>VLOOKUP(Table1[[#This Row],[Order ID]],Status!A:B, 2,FALSE)</f>
        <v>Completed</v>
      </c>
      <c r="P980" s="2" t="s">
        <v>36</v>
      </c>
      <c r="Q980" s="2">
        <v>4</v>
      </c>
      <c r="R980" s="2" t="s">
        <v>24</v>
      </c>
      <c r="S980" s="11" t="str">
        <f t="shared" si="78"/>
        <v>Bagus</v>
      </c>
      <c r="T980" s="2" t="str">
        <f t="shared" si="79"/>
        <v>Tinggi</v>
      </c>
    </row>
    <row r="981" spans="1:20" ht="15.75" customHeight="1" x14ac:dyDescent="0.3">
      <c r="A981" s="4" t="s">
        <v>1412</v>
      </c>
      <c r="B981" s="3">
        <v>45744.981238425928</v>
      </c>
      <c r="C981" s="2" t="s">
        <v>133</v>
      </c>
      <c r="D981" s="2" t="s">
        <v>33</v>
      </c>
      <c r="E981" s="2" t="s">
        <v>190</v>
      </c>
      <c r="F981" s="2">
        <v>35000</v>
      </c>
      <c r="G981" s="2">
        <v>4</v>
      </c>
      <c r="H981" s="2">
        <v>15</v>
      </c>
      <c r="I981">
        <f t="shared" si="75"/>
        <v>140000</v>
      </c>
      <c r="J981">
        <f t="shared" si="76"/>
        <v>21000</v>
      </c>
      <c r="K981" s="6">
        <f t="shared" si="77"/>
        <v>119000</v>
      </c>
      <c r="L981" s="2">
        <v>76000</v>
      </c>
      <c r="M981" s="6">
        <f>Table1[[#This Row],[Total Sales]]+Table1[[#This Row],[Shipping Fee]]</f>
        <v>195000</v>
      </c>
      <c r="N981" s="2" t="s">
        <v>35</v>
      </c>
      <c r="O981" t="str">
        <f>VLOOKUP(Table1[[#This Row],[Order ID]],Status!A:B, 2,FALSE)</f>
        <v>Completed</v>
      </c>
      <c r="P981" s="2" t="s">
        <v>23</v>
      </c>
      <c r="Q981" s="2">
        <v>1</v>
      </c>
      <c r="R981" s="2" t="s">
        <v>24</v>
      </c>
      <c r="S981" s="11" t="str">
        <f t="shared" si="78"/>
        <v>Rendah</v>
      </c>
      <c r="T981" s="2" t="str">
        <f t="shared" si="79"/>
        <v>Tinggi</v>
      </c>
    </row>
    <row r="982" spans="1:20" ht="15.75" customHeight="1" x14ac:dyDescent="0.3">
      <c r="A982" s="4" t="s">
        <v>1411</v>
      </c>
      <c r="B982" s="3">
        <v>45744.885023148148</v>
      </c>
      <c r="C982" s="2" t="s">
        <v>184</v>
      </c>
      <c r="D982" s="2" t="s">
        <v>103</v>
      </c>
      <c r="E982" s="2" t="s">
        <v>190</v>
      </c>
      <c r="F982" s="2">
        <v>35000</v>
      </c>
      <c r="G982" s="2">
        <v>1</v>
      </c>
      <c r="H982" s="2">
        <v>20</v>
      </c>
      <c r="I982">
        <f t="shared" si="75"/>
        <v>35000</v>
      </c>
      <c r="J982">
        <f t="shared" si="76"/>
        <v>7000</v>
      </c>
      <c r="K982" s="6">
        <f t="shared" si="77"/>
        <v>28000</v>
      </c>
      <c r="L982" s="2">
        <v>85000</v>
      </c>
      <c r="M982" s="6">
        <f>Table1[[#This Row],[Total Sales]]+Table1[[#This Row],[Shipping Fee]]</f>
        <v>113000</v>
      </c>
      <c r="N982" s="2" t="s">
        <v>29</v>
      </c>
      <c r="O982" t="str">
        <f>VLOOKUP(Table1[[#This Row],[Order ID]],Status!A:B, 2,FALSE)</f>
        <v>Completed</v>
      </c>
      <c r="P982" s="2" t="s">
        <v>46</v>
      </c>
      <c r="Q982" s="2">
        <v>4</v>
      </c>
      <c r="R982" s="2" t="s">
        <v>24</v>
      </c>
      <c r="S982" s="11" t="str">
        <f t="shared" si="78"/>
        <v>Bagus</v>
      </c>
      <c r="T982" s="2" t="str">
        <f t="shared" si="79"/>
        <v>Rendah</v>
      </c>
    </row>
    <row r="983" spans="1:20" ht="15.75" customHeight="1" x14ac:dyDescent="0.3">
      <c r="A983" s="4" t="s">
        <v>1410</v>
      </c>
      <c r="B983" s="3">
        <v>45744.659861111111</v>
      </c>
      <c r="C983" s="2" t="s">
        <v>157</v>
      </c>
      <c r="D983" s="2" t="s">
        <v>20</v>
      </c>
      <c r="E983" s="2" t="s">
        <v>110</v>
      </c>
      <c r="F983" s="2">
        <v>6000</v>
      </c>
      <c r="G983" s="2">
        <v>2</v>
      </c>
      <c r="H983" s="2">
        <v>10</v>
      </c>
      <c r="I983">
        <f t="shared" si="75"/>
        <v>12000</v>
      </c>
      <c r="J983">
        <f t="shared" si="76"/>
        <v>1200</v>
      </c>
      <c r="K983" s="6">
        <f t="shared" si="77"/>
        <v>10800</v>
      </c>
      <c r="L983" s="2">
        <v>15000</v>
      </c>
      <c r="M983" s="6">
        <f>Table1[[#This Row],[Total Sales]]+Table1[[#This Row],[Shipping Fee]]</f>
        <v>25800</v>
      </c>
      <c r="N983" s="2" t="s">
        <v>29</v>
      </c>
      <c r="O983" t="str">
        <f>VLOOKUP(Table1[[#This Row],[Order ID]],Status!A:B, 2,FALSE)</f>
        <v>Completed</v>
      </c>
      <c r="P983" s="2" t="s">
        <v>23</v>
      </c>
      <c r="Q983" s="2">
        <v>5</v>
      </c>
      <c r="R983" s="2" t="s">
        <v>24</v>
      </c>
      <c r="S983" s="11" t="str">
        <f t="shared" si="78"/>
        <v>Bagus</v>
      </c>
      <c r="T983" s="2" t="str">
        <f t="shared" si="79"/>
        <v>Sangat Rendah</v>
      </c>
    </row>
    <row r="984" spans="1:20" ht="15.75" customHeight="1" x14ac:dyDescent="0.3">
      <c r="A984" s="4" t="s">
        <v>1409</v>
      </c>
      <c r="B984" s="3">
        <v>45744.346817129634</v>
      </c>
      <c r="C984" s="2" t="s">
        <v>464</v>
      </c>
      <c r="D984" s="2" t="s">
        <v>296</v>
      </c>
      <c r="E984" s="2" t="s">
        <v>34</v>
      </c>
      <c r="F984" s="2">
        <v>16000</v>
      </c>
      <c r="G984" s="2">
        <v>5</v>
      </c>
      <c r="H984" s="2">
        <v>15</v>
      </c>
      <c r="I984">
        <f t="shared" si="75"/>
        <v>80000</v>
      </c>
      <c r="J984">
        <f t="shared" si="76"/>
        <v>12000</v>
      </c>
      <c r="K984" s="6">
        <f t="shared" si="77"/>
        <v>68000</v>
      </c>
      <c r="L984" s="2">
        <v>79000</v>
      </c>
      <c r="M984" s="6">
        <f>Table1[[#This Row],[Total Sales]]+Table1[[#This Row],[Shipping Fee]]</f>
        <v>147000</v>
      </c>
      <c r="N984" s="2" t="s">
        <v>63</v>
      </c>
      <c r="O984" t="str">
        <f>VLOOKUP(Table1[[#This Row],[Order ID]],Status!A:B, 2,FALSE)</f>
        <v>Completed</v>
      </c>
      <c r="P984" s="2" t="s">
        <v>36</v>
      </c>
      <c r="Q984" s="2">
        <v>4</v>
      </c>
      <c r="R984" s="2" t="s">
        <v>37</v>
      </c>
      <c r="S984" s="11" t="str">
        <f t="shared" si="78"/>
        <v>Bagus</v>
      </c>
      <c r="T984" s="2" t="str">
        <f t="shared" si="79"/>
        <v>Normal</v>
      </c>
    </row>
    <row r="985" spans="1:20" ht="15.75" customHeight="1" x14ac:dyDescent="0.3">
      <c r="A985" s="4" t="s">
        <v>1408</v>
      </c>
      <c r="B985" s="3">
        <v>45743.934872685182</v>
      </c>
      <c r="C985" s="2" t="s">
        <v>582</v>
      </c>
      <c r="D985" s="2" t="s">
        <v>435</v>
      </c>
      <c r="E985" s="2" t="s">
        <v>174</v>
      </c>
      <c r="F985" s="2">
        <v>10000</v>
      </c>
      <c r="G985" s="2">
        <v>3</v>
      </c>
      <c r="H985" s="2">
        <v>20</v>
      </c>
      <c r="I985">
        <f t="shared" si="75"/>
        <v>30000</v>
      </c>
      <c r="J985">
        <f t="shared" si="76"/>
        <v>6000</v>
      </c>
      <c r="K985" s="6">
        <f t="shared" si="77"/>
        <v>24000</v>
      </c>
      <c r="L985" s="2">
        <v>67000</v>
      </c>
      <c r="M985" s="6">
        <f>Table1[[#This Row],[Total Sales]]+Table1[[#This Row],[Shipping Fee]]</f>
        <v>91000</v>
      </c>
      <c r="N985" s="2" t="s">
        <v>63</v>
      </c>
      <c r="O985" t="str">
        <f>VLOOKUP(Table1[[#This Row],[Order ID]],Status!A:B, 2,FALSE)</f>
        <v>Returned</v>
      </c>
      <c r="P985" s="2" t="s">
        <v>46</v>
      </c>
      <c r="Q985" s="2">
        <v>1</v>
      </c>
      <c r="R985" s="2" t="s">
        <v>24</v>
      </c>
      <c r="S985" s="11" t="str">
        <f t="shared" si="78"/>
        <v>Rendah</v>
      </c>
      <c r="T985" s="2" t="str">
        <f t="shared" si="79"/>
        <v>Rendah</v>
      </c>
    </row>
    <row r="986" spans="1:20" ht="15.75" customHeight="1" x14ac:dyDescent="0.3">
      <c r="A986" s="4" t="s">
        <v>1407</v>
      </c>
      <c r="B986" s="3">
        <v>45743.863807870373</v>
      </c>
      <c r="C986" s="2" t="s">
        <v>891</v>
      </c>
      <c r="D986" s="2" t="s">
        <v>126</v>
      </c>
      <c r="E986" s="2" t="s">
        <v>28</v>
      </c>
      <c r="F986" s="2">
        <v>5000</v>
      </c>
      <c r="G986" s="2">
        <v>2</v>
      </c>
      <c r="H986" s="2">
        <v>10</v>
      </c>
      <c r="I986">
        <f t="shared" si="75"/>
        <v>10000</v>
      </c>
      <c r="J986">
        <f t="shared" si="76"/>
        <v>1000</v>
      </c>
      <c r="K986" s="6">
        <f t="shared" si="77"/>
        <v>9000</v>
      </c>
      <c r="L986" s="2">
        <v>84000</v>
      </c>
      <c r="M986" s="6">
        <f>Table1[[#This Row],[Total Sales]]+Table1[[#This Row],[Shipping Fee]]</f>
        <v>93000</v>
      </c>
      <c r="N986" s="2" t="s">
        <v>22</v>
      </c>
      <c r="O986" t="str">
        <f>VLOOKUP(Table1[[#This Row],[Order ID]],Status!A:B, 2,FALSE)</f>
        <v>Completed</v>
      </c>
      <c r="P986" s="2" t="s">
        <v>23</v>
      </c>
      <c r="Q986" s="2">
        <v>1</v>
      </c>
      <c r="R986" s="2" t="s">
        <v>37</v>
      </c>
      <c r="S986" s="11" t="str">
        <f t="shared" si="78"/>
        <v>Rendah</v>
      </c>
      <c r="T986" s="2" t="str">
        <f t="shared" si="79"/>
        <v>Sangat Rendah</v>
      </c>
    </row>
    <row r="987" spans="1:20" ht="15.75" customHeight="1" x14ac:dyDescent="0.3">
      <c r="A987" s="4" t="s">
        <v>1406</v>
      </c>
      <c r="B987" s="3">
        <v>45743.784884259258</v>
      </c>
      <c r="C987" s="2" t="s">
        <v>121</v>
      </c>
      <c r="D987" s="2" t="s">
        <v>122</v>
      </c>
      <c r="E987" s="2" t="s">
        <v>186</v>
      </c>
      <c r="F987" s="2">
        <v>45000</v>
      </c>
      <c r="G987" s="2">
        <v>3</v>
      </c>
      <c r="H987" s="2">
        <v>15</v>
      </c>
      <c r="I987">
        <f t="shared" si="75"/>
        <v>135000</v>
      </c>
      <c r="J987">
        <f t="shared" si="76"/>
        <v>20250</v>
      </c>
      <c r="K987" s="6">
        <f t="shared" si="77"/>
        <v>114750</v>
      </c>
      <c r="L987" s="2">
        <v>78000</v>
      </c>
      <c r="M987" s="6">
        <f>Table1[[#This Row],[Total Sales]]+Table1[[#This Row],[Shipping Fee]]</f>
        <v>192750</v>
      </c>
      <c r="N987" s="2" t="s">
        <v>22</v>
      </c>
      <c r="O987" t="str">
        <f>VLOOKUP(Table1[[#This Row],[Order ID]],Status!A:B, 2,FALSE)</f>
        <v>Returned</v>
      </c>
      <c r="P987" s="2" t="s">
        <v>30</v>
      </c>
      <c r="Q987" s="2">
        <v>5</v>
      </c>
      <c r="R987" s="2" t="s">
        <v>24</v>
      </c>
      <c r="S987" s="11" t="str">
        <f t="shared" si="78"/>
        <v>Bagus</v>
      </c>
      <c r="T987" s="2" t="str">
        <f t="shared" si="79"/>
        <v>Tinggi</v>
      </c>
    </row>
    <row r="988" spans="1:20" ht="15.75" customHeight="1" x14ac:dyDescent="0.3">
      <c r="A988" s="4" t="s">
        <v>1405</v>
      </c>
      <c r="B988" s="3">
        <v>45743.454618055563</v>
      </c>
      <c r="C988" s="2" t="s">
        <v>451</v>
      </c>
      <c r="D988" s="2" t="s">
        <v>116</v>
      </c>
      <c r="E988" s="2" t="s">
        <v>54</v>
      </c>
      <c r="F988" s="2">
        <v>16000</v>
      </c>
      <c r="G988" s="2">
        <v>1</v>
      </c>
      <c r="H988" s="2">
        <v>5</v>
      </c>
      <c r="I988">
        <f t="shared" si="75"/>
        <v>16000</v>
      </c>
      <c r="J988">
        <f t="shared" si="76"/>
        <v>800</v>
      </c>
      <c r="K988" s="6">
        <f t="shared" si="77"/>
        <v>15200</v>
      </c>
      <c r="L988" s="2">
        <v>72000</v>
      </c>
      <c r="M988" s="6">
        <f>Table1[[#This Row],[Total Sales]]+Table1[[#This Row],[Shipping Fee]]</f>
        <v>87200</v>
      </c>
      <c r="N988" s="2" t="s">
        <v>29</v>
      </c>
      <c r="O988" t="str">
        <f>VLOOKUP(Table1[[#This Row],[Order ID]],Status!A:B, 2,FALSE)</f>
        <v>Returned</v>
      </c>
      <c r="P988" s="2" t="s">
        <v>30</v>
      </c>
      <c r="Q988" s="2">
        <v>5</v>
      </c>
      <c r="R988" s="2" t="s">
        <v>24</v>
      </c>
      <c r="S988" s="11" t="str">
        <f t="shared" si="78"/>
        <v>Bagus</v>
      </c>
      <c r="T988" s="2" t="str">
        <f t="shared" si="79"/>
        <v>Sangat Rendah</v>
      </c>
    </row>
    <row r="989" spans="1:20" ht="15.75" customHeight="1" x14ac:dyDescent="0.3">
      <c r="A989" s="4" t="s">
        <v>1404</v>
      </c>
      <c r="B989" s="3">
        <v>45743.42528935185</v>
      </c>
      <c r="C989" s="2" t="s">
        <v>287</v>
      </c>
      <c r="D989" s="2" t="s">
        <v>262</v>
      </c>
      <c r="E989" s="2" t="s">
        <v>45</v>
      </c>
      <c r="F989" s="2">
        <v>40000</v>
      </c>
      <c r="G989" s="2">
        <v>1</v>
      </c>
      <c r="H989" s="2">
        <v>15</v>
      </c>
      <c r="I989">
        <f t="shared" si="75"/>
        <v>40000</v>
      </c>
      <c r="J989">
        <f t="shared" si="76"/>
        <v>6000</v>
      </c>
      <c r="K989" s="6">
        <f t="shared" si="77"/>
        <v>34000</v>
      </c>
      <c r="L989" s="2">
        <v>18000</v>
      </c>
      <c r="M989" s="6">
        <f>Table1[[#This Row],[Total Sales]]+Table1[[#This Row],[Shipping Fee]]</f>
        <v>52000</v>
      </c>
      <c r="N989" s="2" t="s">
        <v>35</v>
      </c>
      <c r="O989" t="str">
        <f>VLOOKUP(Table1[[#This Row],[Order ID]],Status!A:B, 2,FALSE)</f>
        <v>Completed</v>
      </c>
      <c r="P989" s="2" t="s">
        <v>46</v>
      </c>
      <c r="Q989" s="2">
        <v>5</v>
      </c>
      <c r="R989" s="2" t="s">
        <v>24</v>
      </c>
      <c r="S989" s="11" t="str">
        <f t="shared" si="78"/>
        <v>Bagus</v>
      </c>
      <c r="T989" s="2" t="str">
        <f t="shared" si="79"/>
        <v>Rendah</v>
      </c>
    </row>
    <row r="990" spans="1:20" ht="15.75" customHeight="1" x14ac:dyDescent="0.3">
      <c r="A990" s="4" t="s">
        <v>1403</v>
      </c>
      <c r="B990" s="3">
        <v>45743.376828703702</v>
      </c>
      <c r="C990" s="2" t="s">
        <v>188</v>
      </c>
      <c r="D990" s="2" t="s">
        <v>189</v>
      </c>
      <c r="E990" s="2" t="s">
        <v>41</v>
      </c>
      <c r="F990" s="2">
        <v>4000</v>
      </c>
      <c r="G990" s="2">
        <v>2</v>
      </c>
      <c r="H990" s="2">
        <v>0</v>
      </c>
      <c r="I990">
        <f t="shared" si="75"/>
        <v>8000</v>
      </c>
      <c r="J990">
        <f t="shared" si="76"/>
        <v>0</v>
      </c>
      <c r="K990" s="6">
        <f t="shared" si="77"/>
        <v>8000</v>
      </c>
      <c r="L990" s="2">
        <v>0</v>
      </c>
      <c r="M990" s="6">
        <f>Table1[[#This Row],[Total Sales]]+Table1[[#This Row],[Shipping Fee]]</f>
        <v>8000</v>
      </c>
      <c r="N990" s="2" t="s">
        <v>29</v>
      </c>
      <c r="O990" t="str">
        <f>VLOOKUP(Table1[[#This Row],[Order ID]],Status!A:B, 2,FALSE)</f>
        <v>Completed</v>
      </c>
      <c r="P990" s="2" t="s">
        <v>30</v>
      </c>
      <c r="Q990" s="2">
        <v>3</v>
      </c>
      <c r="R990" s="2" t="s">
        <v>24</v>
      </c>
      <c r="S990" s="11" t="str">
        <f t="shared" si="78"/>
        <v>Standar</v>
      </c>
      <c r="T990" s="2" t="str">
        <f t="shared" si="79"/>
        <v>Sangat Rendah</v>
      </c>
    </row>
    <row r="991" spans="1:20" ht="15.75" customHeight="1" x14ac:dyDescent="0.3">
      <c r="A991" s="4" t="s">
        <v>1403</v>
      </c>
      <c r="B991" s="3">
        <v>45743.376828703702</v>
      </c>
      <c r="C991" s="2" t="s">
        <v>188</v>
      </c>
      <c r="D991" s="2" t="s">
        <v>189</v>
      </c>
      <c r="E991" s="2" t="s">
        <v>186</v>
      </c>
      <c r="F991" s="2">
        <v>45000</v>
      </c>
      <c r="G991" s="2">
        <v>3</v>
      </c>
      <c r="H991" s="2">
        <v>15</v>
      </c>
      <c r="I991">
        <f t="shared" si="75"/>
        <v>135000</v>
      </c>
      <c r="J991">
        <f t="shared" si="76"/>
        <v>20250</v>
      </c>
      <c r="K991" s="6">
        <f t="shared" si="77"/>
        <v>114750</v>
      </c>
      <c r="L991" s="2">
        <v>57000</v>
      </c>
      <c r="M991" s="6">
        <f>Table1[[#This Row],[Total Sales]]+Table1[[#This Row],[Shipping Fee]]</f>
        <v>171750</v>
      </c>
      <c r="N991" s="2" t="s">
        <v>29</v>
      </c>
      <c r="O991" t="str">
        <f>VLOOKUP(Table1[[#This Row],[Order ID]],Status!A:B, 2,FALSE)</f>
        <v>Completed</v>
      </c>
      <c r="P991" s="2" t="s">
        <v>30</v>
      </c>
      <c r="Q991" s="2">
        <v>3</v>
      </c>
      <c r="R991" s="2" t="s">
        <v>24</v>
      </c>
      <c r="S991" s="11" t="str">
        <f t="shared" si="78"/>
        <v>Standar</v>
      </c>
      <c r="T991" s="2" t="str">
        <f t="shared" si="79"/>
        <v>Tinggi</v>
      </c>
    </row>
    <row r="992" spans="1:20" ht="15.75" customHeight="1" x14ac:dyDescent="0.3">
      <c r="A992" s="4" t="s">
        <v>1402</v>
      </c>
      <c r="B992" s="3">
        <v>45743.156956018523</v>
      </c>
      <c r="C992" s="2" t="s">
        <v>883</v>
      </c>
      <c r="D992" s="2" t="s">
        <v>44</v>
      </c>
      <c r="E992" s="2" t="s">
        <v>38</v>
      </c>
      <c r="F992" s="2">
        <v>28000</v>
      </c>
      <c r="G992" s="2">
        <v>2</v>
      </c>
      <c r="H992" s="2">
        <v>20</v>
      </c>
      <c r="I992">
        <f t="shared" si="75"/>
        <v>56000</v>
      </c>
      <c r="J992">
        <f t="shared" si="76"/>
        <v>11200</v>
      </c>
      <c r="K992" s="6">
        <f t="shared" si="77"/>
        <v>44800</v>
      </c>
      <c r="L992" s="2">
        <v>93000</v>
      </c>
      <c r="M992" s="6">
        <f>Table1[[#This Row],[Total Sales]]+Table1[[#This Row],[Shipping Fee]]</f>
        <v>137800</v>
      </c>
      <c r="N992" s="2" t="s">
        <v>63</v>
      </c>
      <c r="O992" t="str">
        <f>VLOOKUP(Table1[[#This Row],[Order ID]],Status!A:B, 2,FALSE)</f>
        <v>Completed</v>
      </c>
      <c r="P992" s="2" t="s">
        <v>23</v>
      </c>
      <c r="Q992" s="2">
        <v>1</v>
      </c>
      <c r="R992" s="2" t="s">
        <v>37</v>
      </c>
      <c r="S992" s="11" t="str">
        <f t="shared" si="78"/>
        <v>Rendah</v>
      </c>
      <c r="T992" s="2" t="str">
        <f t="shared" si="79"/>
        <v>Normal</v>
      </c>
    </row>
    <row r="993" spans="1:20" ht="15.75" customHeight="1" x14ac:dyDescent="0.3">
      <c r="A993" s="4" t="s">
        <v>1401</v>
      </c>
      <c r="B993" s="3">
        <v>45743.153726851851</v>
      </c>
      <c r="C993" s="2" t="s">
        <v>203</v>
      </c>
      <c r="D993" s="2" t="s">
        <v>20</v>
      </c>
      <c r="E993" s="2" t="s">
        <v>93</v>
      </c>
      <c r="F993" s="2">
        <v>25000</v>
      </c>
      <c r="G993" s="2">
        <v>1</v>
      </c>
      <c r="H993" s="2">
        <v>20</v>
      </c>
      <c r="I993">
        <f t="shared" si="75"/>
        <v>25000</v>
      </c>
      <c r="J993">
        <f t="shared" si="76"/>
        <v>5000</v>
      </c>
      <c r="K993" s="6">
        <f t="shared" si="77"/>
        <v>20000</v>
      </c>
      <c r="L993" s="2">
        <v>15000</v>
      </c>
      <c r="M993" s="6">
        <f>Table1[[#This Row],[Total Sales]]+Table1[[#This Row],[Shipping Fee]]</f>
        <v>35000</v>
      </c>
      <c r="N993" s="2" t="s">
        <v>22</v>
      </c>
      <c r="O993" t="str">
        <f>VLOOKUP(Table1[[#This Row],[Order ID]],Status!A:B, 2,FALSE)</f>
        <v>Completed</v>
      </c>
      <c r="P993" s="2" t="s">
        <v>30</v>
      </c>
      <c r="Q993" s="2">
        <v>5</v>
      </c>
      <c r="R993" s="2" t="s">
        <v>24</v>
      </c>
      <c r="S993" s="11" t="str">
        <f t="shared" si="78"/>
        <v>Bagus</v>
      </c>
      <c r="T993" s="2" t="str">
        <f t="shared" si="79"/>
        <v>Sangat Rendah</v>
      </c>
    </row>
    <row r="994" spans="1:20" ht="15.75" customHeight="1" x14ac:dyDescent="0.3">
      <c r="A994" s="4" t="s">
        <v>1400</v>
      </c>
      <c r="B994" s="3">
        <v>45743.113888888889</v>
      </c>
      <c r="C994" s="2" t="s">
        <v>1005</v>
      </c>
      <c r="D994" s="2" t="s">
        <v>122</v>
      </c>
      <c r="E994" s="2" t="s">
        <v>190</v>
      </c>
      <c r="F994" s="2">
        <v>35000</v>
      </c>
      <c r="G994" s="2">
        <v>4</v>
      </c>
      <c r="H994" s="2">
        <v>20</v>
      </c>
      <c r="I994">
        <f t="shared" si="75"/>
        <v>140000</v>
      </c>
      <c r="J994">
        <f t="shared" si="76"/>
        <v>28000</v>
      </c>
      <c r="K994" s="6">
        <f t="shared" si="77"/>
        <v>112000</v>
      </c>
      <c r="L994" s="2">
        <v>78000</v>
      </c>
      <c r="M994" s="6">
        <f>Table1[[#This Row],[Total Sales]]+Table1[[#This Row],[Shipping Fee]]</f>
        <v>190000</v>
      </c>
      <c r="N994" s="2" t="s">
        <v>22</v>
      </c>
      <c r="O994" t="str">
        <f>VLOOKUP(Table1[[#This Row],[Order ID]],Status!A:B, 2,FALSE)</f>
        <v>Returned</v>
      </c>
      <c r="P994" s="2" t="s">
        <v>82</v>
      </c>
      <c r="Q994" s="2">
        <v>5</v>
      </c>
      <c r="R994" s="2" t="s">
        <v>24</v>
      </c>
      <c r="S994" s="11" t="str">
        <f t="shared" si="78"/>
        <v>Bagus</v>
      </c>
      <c r="T994" s="2" t="str">
        <f t="shared" si="79"/>
        <v>Tinggi</v>
      </c>
    </row>
    <row r="995" spans="1:20" ht="15.75" customHeight="1" x14ac:dyDescent="0.3">
      <c r="A995" s="4" t="s">
        <v>1399</v>
      </c>
      <c r="B995" s="3">
        <v>45743.070451388892</v>
      </c>
      <c r="C995" s="2" t="s">
        <v>307</v>
      </c>
      <c r="D995" s="2" t="s">
        <v>70</v>
      </c>
      <c r="E995" s="2" t="s">
        <v>104</v>
      </c>
      <c r="F995" s="2">
        <v>30000</v>
      </c>
      <c r="G995" s="2">
        <v>2</v>
      </c>
      <c r="H995" s="2">
        <v>10</v>
      </c>
      <c r="I995">
        <f t="shared" si="75"/>
        <v>60000</v>
      </c>
      <c r="J995">
        <f t="shared" si="76"/>
        <v>6000</v>
      </c>
      <c r="K995" s="6">
        <f t="shared" si="77"/>
        <v>54000</v>
      </c>
      <c r="L995" s="2">
        <v>89000</v>
      </c>
      <c r="M995" s="6">
        <f>Table1[[#This Row],[Total Sales]]+Table1[[#This Row],[Shipping Fee]]</f>
        <v>143000</v>
      </c>
      <c r="N995" s="2" t="s">
        <v>35</v>
      </c>
      <c r="O995" t="str">
        <f>VLOOKUP(Table1[[#This Row],[Order ID]],Status!A:B, 2,FALSE)</f>
        <v>Completed</v>
      </c>
      <c r="P995" s="2" t="s">
        <v>30</v>
      </c>
      <c r="Q995" s="2">
        <v>1</v>
      </c>
      <c r="R995" s="2" t="s">
        <v>24</v>
      </c>
      <c r="S995" s="11" t="str">
        <f t="shared" si="78"/>
        <v>Rendah</v>
      </c>
      <c r="T995" s="2" t="str">
        <f t="shared" si="79"/>
        <v>Rendah</v>
      </c>
    </row>
    <row r="996" spans="1:20" ht="15.75" customHeight="1" x14ac:dyDescent="0.3">
      <c r="A996" s="4" t="s">
        <v>1398</v>
      </c>
      <c r="B996" s="3">
        <v>45742.488703703697</v>
      </c>
      <c r="C996" s="2" t="s">
        <v>502</v>
      </c>
      <c r="D996" s="2" t="s">
        <v>107</v>
      </c>
      <c r="E996" s="2" t="s">
        <v>21</v>
      </c>
      <c r="F996" s="2">
        <v>45000</v>
      </c>
      <c r="G996" s="2">
        <v>1</v>
      </c>
      <c r="H996" s="2">
        <v>15</v>
      </c>
      <c r="I996">
        <f t="shared" si="75"/>
        <v>45000</v>
      </c>
      <c r="J996">
        <f t="shared" si="76"/>
        <v>6750</v>
      </c>
      <c r="K996" s="6">
        <f t="shared" si="77"/>
        <v>38250</v>
      </c>
      <c r="L996" s="2">
        <v>97000</v>
      </c>
      <c r="M996" s="6">
        <f>Table1[[#This Row],[Total Sales]]+Table1[[#This Row],[Shipping Fee]]</f>
        <v>135250</v>
      </c>
      <c r="N996" s="2" t="s">
        <v>22</v>
      </c>
      <c r="O996" t="str">
        <f>VLOOKUP(Table1[[#This Row],[Order ID]],Status!A:B, 2,FALSE)</f>
        <v>Completed</v>
      </c>
      <c r="P996" s="2" t="s">
        <v>36</v>
      </c>
      <c r="Q996" s="2">
        <v>1</v>
      </c>
      <c r="R996" s="2" t="s">
        <v>24</v>
      </c>
      <c r="S996" s="11" t="str">
        <f t="shared" si="78"/>
        <v>Rendah</v>
      </c>
      <c r="T996" s="2" t="str">
        <f t="shared" si="79"/>
        <v>Rendah</v>
      </c>
    </row>
    <row r="997" spans="1:20" ht="15.75" customHeight="1" x14ac:dyDescent="0.3">
      <c r="A997" s="4" t="s">
        <v>1397</v>
      </c>
      <c r="B997" s="3">
        <v>45742.446446759262</v>
      </c>
      <c r="C997" s="2" t="s">
        <v>1263</v>
      </c>
      <c r="D997" s="2" t="s">
        <v>435</v>
      </c>
      <c r="E997" s="2" t="s">
        <v>45</v>
      </c>
      <c r="F997" s="2">
        <v>40000</v>
      </c>
      <c r="G997" s="2">
        <v>2</v>
      </c>
      <c r="H997" s="2">
        <v>10</v>
      </c>
      <c r="I997">
        <f t="shared" si="75"/>
        <v>80000</v>
      </c>
      <c r="J997">
        <f t="shared" si="76"/>
        <v>8000</v>
      </c>
      <c r="K997" s="6">
        <f t="shared" si="77"/>
        <v>72000</v>
      </c>
      <c r="L997" s="2">
        <v>67000</v>
      </c>
      <c r="M997" s="6">
        <f>Table1[[#This Row],[Total Sales]]+Table1[[#This Row],[Shipping Fee]]</f>
        <v>139000</v>
      </c>
      <c r="N997" s="2" t="s">
        <v>35</v>
      </c>
      <c r="O997" t="str">
        <f>VLOOKUP(Table1[[#This Row],[Order ID]],Status!A:B, 2,FALSE)</f>
        <v>Completed</v>
      </c>
      <c r="P997" s="2" t="s">
        <v>46</v>
      </c>
      <c r="Q997" s="2">
        <v>2</v>
      </c>
      <c r="R997" s="2" t="s">
        <v>24</v>
      </c>
      <c r="S997" s="11" t="str">
        <f t="shared" si="78"/>
        <v>Rendah</v>
      </c>
      <c r="T997" s="2" t="str">
        <f t="shared" si="79"/>
        <v>Rendah</v>
      </c>
    </row>
    <row r="998" spans="1:20" ht="15.75" customHeight="1" x14ac:dyDescent="0.3">
      <c r="A998" s="4" t="s">
        <v>1395</v>
      </c>
      <c r="B998" s="3">
        <v>45742.256909722222</v>
      </c>
      <c r="C998" s="2" t="s">
        <v>1396</v>
      </c>
      <c r="D998" s="2" t="s">
        <v>435</v>
      </c>
      <c r="E998" s="2" t="s">
        <v>50</v>
      </c>
      <c r="F998" s="2">
        <v>14000</v>
      </c>
      <c r="G998" s="2">
        <v>4</v>
      </c>
      <c r="H998" s="2">
        <v>0</v>
      </c>
      <c r="I998">
        <f t="shared" si="75"/>
        <v>56000</v>
      </c>
      <c r="J998">
        <f t="shared" si="76"/>
        <v>0</v>
      </c>
      <c r="K998" s="6">
        <f t="shared" si="77"/>
        <v>56000</v>
      </c>
      <c r="L998" s="2">
        <v>67000</v>
      </c>
      <c r="M998" s="6">
        <f>Table1[[#This Row],[Total Sales]]+Table1[[#This Row],[Shipping Fee]]</f>
        <v>123000</v>
      </c>
      <c r="N998" s="2" t="s">
        <v>29</v>
      </c>
      <c r="O998" t="str">
        <f>VLOOKUP(Table1[[#This Row],[Order ID]],Status!A:B, 2,FALSE)</f>
        <v>Completed</v>
      </c>
      <c r="P998" s="2" t="s">
        <v>82</v>
      </c>
      <c r="Q998" s="2">
        <v>1</v>
      </c>
      <c r="R998" s="2" t="s">
        <v>24</v>
      </c>
      <c r="S998" s="11" t="str">
        <f t="shared" si="78"/>
        <v>Rendah</v>
      </c>
      <c r="T998" s="2" t="str">
        <f t="shared" si="79"/>
        <v>Sangat Rendah</v>
      </c>
    </row>
    <row r="999" spans="1:20" ht="15.75" customHeight="1" x14ac:dyDescent="0.3">
      <c r="A999" s="4" t="s">
        <v>1394</v>
      </c>
      <c r="B999" s="3">
        <v>45742.223946759259</v>
      </c>
      <c r="C999" s="2" t="s">
        <v>295</v>
      </c>
      <c r="D999" s="2" t="s">
        <v>296</v>
      </c>
      <c r="E999" s="2" t="s">
        <v>50</v>
      </c>
      <c r="F999" s="2">
        <v>14000</v>
      </c>
      <c r="G999" s="2">
        <v>5</v>
      </c>
      <c r="H999" s="2">
        <v>0</v>
      </c>
      <c r="I999">
        <f t="shared" si="75"/>
        <v>70000</v>
      </c>
      <c r="J999">
        <f t="shared" si="76"/>
        <v>0</v>
      </c>
      <c r="K999" s="6">
        <f t="shared" si="77"/>
        <v>70000</v>
      </c>
      <c r="L999" s="2">
        <v>79000</v>
      </c>
      <c r="M999" s="6">
        <f>Table1[[#This Row],[Total Sales]]+Table1[[#This Row],[Shipping Fee]]</f>
        <v>149000</v>
      </c>
      <c r="N999" s="2" t="s">
        <v>22</v>
      </c>
      <c r="O999" t="str">
        <f>VLOOKUP(Table1[[#This Row],[Order ID]],Status!A:B, 2,FALSE)</f>
        <v>Returned</v>
      </c>
      <c r="P999" s="2" t="s">
        <v>82</v>
      </c>
      <c r="Q999" s="2">
        <v>4</v>
      </c>
      <c r="R999" s="2" t="s">
        <v>24</v>
      </c>
      <c r="S999" s="11" t="str">
        <f t="shared" si="78"/>
        <v>Bagus</v>
      </c>
      <c r="T999" s="2" t="str">
        <f t="shared" si="79"/>
        <v>Sangat Rendah</v>
      </c>
    </row>
    <row r="1000" spans="1:20" ht="15.75" customHeight="1" x14ac:dyDescent="0.3">
      <c r="A1000" s="4" t="s">
        <v>1394</v>
      </c>
      <c r="B1000" s="3">
        <v>45742.223946759259</v>
      </c>
      <c r="C1000" s="2" t="s">
        <v>295</v>
      </c>
      <c r="D1000" s="2" t="s">
        <v>296</v>
      </c>
      <c r="E1000" s="2" t="s">
        <v>41</v>
      </c>
      <c r="F1000" s="2">
        <v>4000</v>
      </c>
      <c r="G1000" s="2">
        <v>1</v>
      </c>
      <c r="H1000" s="2">
        <v>5</v>
      </c>
      <c r="I1000">
        <f t="shared" si="75"/>
        <v>4000</v>
      </c>
      <c r="J1000">
        <f t="shared" si="76"/>
        <v>200</v>
      </c>
      <c r="K1000" s="6">
        <f t="shared" si="77"/>
        <v>3800</v>
      </c>
      <c r="L1000" s="2">
        <v>0</v>
      </c>
      <c r="M1000" s="6">
        <f>Table1[[#This Row],[Total Sales]]+Table1[[#This Row],[Shipping Fee]]</f>
        <v>3800</v>
      </c>
      <c r="N1000" s="2" t="s">
        <v>22</v>
      </c>
      <c r="O1000" t="str">
        <f>VLOOKUP(Table1[[#This Row],[Order ID]],Status!A:B, 2,FALSE)</f>
        <v>Returned</v>
      </c>
      <c r="P1000" s="2" t="s">
        <v>82</v>
      </c>
      <c r="Q1000" s="2">
        <v>4</v>
      </c>
      <c r="R1000" s="2" t="s">
        <v>24</v>
      </c>
      <c r="S1000" s="11" t="str">
        <f t="shared" si="78"/>
        <v>Bagus</v>
      </c>
      <c r="T1000" s="2" t="str">
        <f t="shared" si="79"/>
        <v>Sangat Rendah</v>
      </c>
    </row>
    <row r="1001" spans="1:20" ht="15.75" customHeight="1" x14ac:dyDescent="0.3">
      <c r="A1001" s="4" t="s">
        <v>1393</v>
      </c>
      <c r="B1001" s="3">
        <v>45742.000601851847</v>
      </c>
      <c r="C1001" s="2" t="s">
        <v>1053</v>
      </c>
      <c r="D1001" s="2" t="s">
        <v>80</v>
      </c>
      <c r="E1001" s="2" t="s">
        <v>136</v>
      </c>
      <c r="F1001" s="2">
        <v>12000</v>
      </c>
      <c r="G1001" s="2">
        <v>3</v>
      </c>
      <c r="H1001" s="2">
        <v>5</v>
      </c>
      <c r="I1001">
        <f t="shared" si="75"/>
        <v>36000</v>
      </c>
      <c r="J1001">
        <f t="shared" si="76"/>
        <v>1800</v>
      </c>
      <c r="K1001" s="6">
        <f t="shared" si="77"/>
        <v>34200</v>
      </c>
      <c r="L1001" s="2">
        <v>74000</v>
      </c>
      <c r="M1001" s="6">
        <f>Table1[[#This Row],[Total Sales]]+Table1[[#This Row],[Shipping Fee]]</f>
        <v>108200</v>
      </c>
      <c r="N1001" s="2" t="s">
        <v>63</v>
      </c>
      <c r="O1001" t="str">
        <f>VLOOKUP(Table1[[#This Row],[Order ID]],Status!A:B, 2,FALSE)</f>
        <v>Returned</v>
      </c>
      <c r="P1001" s="2" t="s">
        <v>46</v>
      </c>
      <c r="Q1001" s="2">
        <v>5</v>
      </c>
      <c r="R1001" s="2" t="s">
        <v>24</v>
      </c>
      <c r="S1001" s="11" t="str">
        <f t="shared" si="78"/>
        <v>Bagus</v>
      </c>
      <c r="T1001" s="2" t="str">
        <f t="shared" si="79"/>
        <v>Sangat Rendah</v>
      </c>
    </row>
    <row r="1002" spans="1:20" ht="15.75" customHeight="1" x14ac:dyDescent="0.3">
      <c r="A1002" s="4" t="s">
        <v>1392</v>
      </c>
      <c r="B1002" s="3">
        <v>45741.97420138889</v>
      </c>
      <c r="C1002" s="2" t="s">
        <v>1003</v>
      </c>
      <c r="D1002" s="2" t="s">
        <v>262</v>
      </c>
      <c r="E1002" s="2" t="s">
        <v>71</v>
      </c>
      <c r="F1002" s="2">
        <v>40000</v>
      </c>
      <c r="G1002" s="2">
        <v>2</v>
      </c>
      <c r="H1002" s="2">
        <v>0</v>
      </c>
      <c r="I1002">
        <f t="shared" si="75"/>
        <v>80000</v>
      </c>
      <c r="J1002">
        <f t="shared" si="76"/>
        <v>0</v>
      </c>
      <c r="K1002" s="6">
        <f t="shared" si="77"/>
        <v>80000</v>
      </c>
      <c r="L1002" s="2">
        <v>18000</v>
      </c>
      <c r="M1002" s="6">
        <f>Table1[[#This Row],[Total Sales]]+Table1[[#This Row],[Shipping Fee]]</f>
        <v>98000</v>
      </c>
      <c r="N1002" s="2" t="s">
        <v>29</v>
      </c>
      <c r="O1002" t="str">
        <f>VLOOKUP(Table1[[#This Row],[Order ID]],Status!A:B, 2,FALSE)</f>
        <v>Completed</v>
      </c>
      <c r="P1002" s="2" t="s">
        <v>46</v>
      </c>
      <c r="Q1002" s="2">
        <v>5</v>
      </c>
      <c r="R1002" s="2" t="s">
        <v>24</v>
      </c>
      <c r="S1002" s="11" t="str">
        <f t="shared" si="78"/>
        <v>Bagus</v>
      </c>
      <c r="T1002" s="2" t="str">
        <f t="shared" si="79"/>
        <v>Sangat Rendah</v>
      </c>
    </row>
    <row r="1003" spans="1:20" ht="15.75" customHeight="1" x14ac:dyDescent="0.3">
      <c r="A1003" s="4" t="s">
        <v>1391</v>
      </c>
      <c r="B1003" s="3">
        <v>45741.960219907407</v>
      </c>
      <c r="C1003" s="2" t="s">
        <v>1033</v>
      </c>
      <c r="D1003" s="2" t="s">
        <v>122</v>
      </c>
      <c r="E1003" s="2" t="s">
        <v>81</v>
      </c>
      <c r="F1003" s="2">
        <v>17000</v>
      </c>
      <c r="G1003" s="2">
        <v>2</v>
      </c>
      <c r="H1003" s="2">
        <v>5</v>
      </c>
      <c r="I1003">
        <f t="shared" si="75"/>
        <v>34000</v>
      </c>
      <c r="J1003">
        <f t="shared" si="76"/>
        <v>1700</v>
      </c>
      <c r="K1003" s="6">
        <f t="shared" si="77"/>
        <v>32300</v>
      </c>
      <c r="L1003" s="2">
        <v>78000</v>
      </c>
      <c r="M1003" s="6">
        <f>Table1[[#This Row],[Total Sales]]+Table1[[#This Row],[Shipping Fee]]</f>
        <v>110300</v>
      </c>
      <c r="N1003" s="2" t="s">
        <v>22</v>
      </c>
      <c r="O1003" t="str">
        <f>VLOOKUP(Table1[[#This Row],[Order ID]],Status!A:B, 2,FALSE)</f>
        <v>Completed</v>
      </c>
      <c r="P1003" s="2" t="s">
        <v>82</v>
      </c>
      <c r="Q1003" s="2">
        <v>4</v>
      </c>
      <c r="R1003" s="2" t="s">
        <v>24</v>
      </c>
      <c r="S1003" s="11" t="str">
        <f t="shared" si="78"/>
        <v>Bagus</v>
      </c>
      <c r="T1003" s="2" t="str">
        <f t="shared" si="79"/>
        <v>Sangat Rendah</v>
      </c>
    </row>
    <row r="1004" spans="1:20" ht="15.75" customHeight="1" x14ac:dyDescent="0.3">
      <c r="A1004" s="4" t="s">
        <v>1390</v>
      </c>
      <c r="B1004" s="3">
        <v>45741.848124999997</v>
      </c>
      <c r="C1004" s="2" t="s">
        <v>179</v>
      </c>
      <c r="D1004" s="2" t="s">
        <v>66</v>
      </c>
      <c r="E1004" s="2" t="s">
        <v>41</v>
      </c>
      <c r="F1004" s="2">
        <v>4000</v>
      </c>
      <c r="G1004" s="2">
        <v>5</v>
      </c>
      <c r="H1004" s="2">
        <v>15</v>
      </c>
      <c r="I1004">
        <f t="shared" si="75"/>
        <v>20000</v>
      </c>
      <c r="J1004">
        <f t="shared" si="76"/>
        <v>3000</v>
      </c>
      <c r="K1004" s="6">
        <f t="shared" si="77"/>
        <v>17000</v>
      </c>
      <c r="L1004" s="2">
        <v>59000</v>
      </c>
      <c r="M1004" s="6">
        <f>Table1[[#This Row],[Total Sales]]+Table1[[#This Row],[Shipping Fee]]</f>
        <v>76000</v>
      </c>
      <c r="N1004" s="2" t="s">
        <v>22</v>
      </c>
      <c r="O1004" t="str">
        <f>VLOOKUP(Table1[[#This Row],[Order ID]],Status!A:B, 2,FALSE)</f>
        <v>Completed</v>
      </c>
      <c r="P1004" s="2" t="s">
        <v>23</v>
      </c>
      <c r="Q1004" s="2">
        <v>5</v>
      </c>
      <c r="R1004" s="2" t="s">
        <v>24</v>
      </c>
      <c r="S1004" s="11" t="str">
        <f t="shared" si="78"/>
        <v>Bagus</v>
      </c>
      <c r="T1004" s="2" t="str">
        <f t="shared" si="79"/>
        <v>Sangat Rendah</v>
      </c>
    </row>
    <row r="1005" spans="1:20" ht="15.75" customHeight="1" x14ac:dyDescent="0.3">
      <c r="A1005" s="4" t="s">
        <v>1389</v>
      </c>
      <c r="B1005" s="3">
        <v>45741.821875000001</v>
      </c>
      <c r="C1005" s="2" t="s">
        <v>1061</v>
      </c>
      <c r="D1005" s="2" t="s">
        <v>44</v>
      </c>
      <c r="E1005" s="2" t="s">
        <v>250</v>
      </c>
      <c r="F1005" s="2">
        <v>18000</v>
      </c>
      <c r="G1005" s="2">
        <v>3</v>
      </c>
      <c r="H1005" s="2">
        <v>15</v>
      </c>
      <c r="I1005">
        <f t="shared" si="75"/>
        <v>54000</v>
      </c>
      <c r="J1005">
        <f t="shared" si="76"/>
        <v>8100</v>
      </c>
      <c r="K1005" s="6">
        <f t="shared" si="77"/>
        <v>45900</v>
      </c>
      <c r="L1005" s="2">
        <v>93000</v>
      </c>
      <c r="M1005" s="6">
        <f>Table1[[#This Row],[Total Sales]]+Table1[[#This Row],[Shipping Fee]]</f>
        <v>138900</v>
      </c>
      <c r="N1005" s="2" t="s">
        <v>63</v>
      </c>
      <c r="O1005" t="str">
        <f>VLOOKUP(Table1[[#This Row],[Order ID]],Status!A:B, 2,FALSE)</f>
        <v>Returned</v>
      </c>
      <c r="P1005" s="2" t="s">
        <v>36</v>
      </c>
      <c r="Q1005" s="2">
        <v>4</v>
      </c>
      <c r="R1005" s="2" t="s">
        <v>37</v>
      </c>
      <c r="S1005" s="11" t="str">
        <f t="shared" si="78"/>
        <v>Bagus</v>
      </c>
      <c r="T1005" s="2" t="str">
        <f t="shared" si="79"/>
        <v>Rendah</v>
      </c>
    </row>
    <row r="1006" spans="1:20" ht="15.75" customHeight="1" x14ac:dyDescent="0.3">
      <c r="A1006" s="4" t="s">
        <v>1388</v>
      </c>
      <c r="B1006" s="3">
        <v>45741.712824074071</v>
      </c>
      <c r="C1006" s="2" t="s">
        <v>821</v>
      </c>
      <c r="D1006" s="2" t="s">
        <v>131</v>
      </c>
      <c r="E1006" s="2" t="s">
        <v>136</v>
      </c>
      <c r="F1006" s="2">
        <v>12000</v>
      </c>
      <c r="G1006" s="2">
        <v>5</v>
      </c>
      <c r="H1006" s="2">
        <v>5</v>
      </c>
      <c r="I1006">
        <f t="shared" si="75"/>
        <v>60000</v>
      </c>
      <c r="J1006">
        <f t="shared" si="76"/>
        <v>3000</v>
      </c>
      <c r="K1006" s="6">
        <f t="shared" si="77"/>
        <v>57000</v>
      </c>
      <c r="L1006" s="2">
        <v>59000</v>
      </c>
      <c r="M1006" s="6">
        <f>Table1[[#This Row],[Total Sales]]+Table1[[#This Row],[Shipping Fee]]</f>
        <v>116000</v>
      </c>
      <c r="N1006" s="2" t="s">
        <v>35</v>
      </c>
      <c r="O1006" t="str">
        <f>VLOOKUP(Table1[[#This Row],[Order ID]],Status!A:B, 2,FALSE)</f>
        <v>Completed</v>
      </c>
      <c r="P1006" s="2" t="s">
        <v>23</v>
      </c>
      <c r="Q1006" s="2">
        <v>1</v>
      </c>
      <c r="R1006" s="2" t="s">
        <v>24</v>
      </c>
      <c r="S1006" s="11" t="str">
        <f t="shared" si="78"/>
        <v>Rendah</v>
      </c>
      <c r="T1006" s="2" t="str">
        <f t="shared" si="79"/>
        <v>Sangat Rendah</v>
      </c>
    </row>
    <row r="1007" spans="1:20" ht="15.75" customHeight="1" x14ac:dyDescent="0.3">
      <c r="A1007" s="4" t="s">
        <v>1387</v>
      </c>
      <c r="B1007" s="3">
        <v>45741.629004629627</v>
      </c>
      <c r="C1007" s="2" t="s">
        <v>1122</v>
      </c>
      <c r="D1007" s="2" t="s">
        <v>33</v>
      </c>
      <c r="E1007" s="2" t="s">
        <v>136</v>
      </c>
      <c r="F1007" s="2">
        <v>12000</v>
      </c>
      <c r="G1007" s="2">
        <v>4</v>
      </c>
      <c r="H1007" s="2">
        <v>5</v>
      </c>
      <c r="I1007">
        <f t="shared" si="75"/>
        <v>48000</v>
      </c>
      <c r="J1007">
        <f t="shared" si="76"/>
        <v>2400</v>
      </c>
      <c r="K1007" s="6">
        <f t="shared" si="77"/>
        <v>45600</v>
      </c>
      <c r="L1007" s="2">
        <v>76000</v>
      </c>
      <c r="M1007" s="6">
        <f>Table1[[#This Row],[Total Sales]]+Table1[[#This Row],[Shipping Fee]]</f>
        <v>121600</v>
      </c>
      <c r="N1007" s="2" t="s">
        <v>22</v>
      </c>
      <c r="O1007" t="str">
        <f>VLOOKUP(Table1[[#This Row],[Order ID]],Status!A:B, 2,FALSE)</f>
        <v>Completed</v>
      </c>
      <c r="P1007" s="2" t="s">
        <v>30</v>
      </c>
      <c r="Q1007" s="2">
        <v>4</v>
      </c>
      <c r="R1007" s="2" t="s">
        <v>24</v>
      </c>
      <c r="S1007" s="11" t="str">
        <f t="shared" si="78"/>
        <v>Bagus</v>
      </c>
      <c r="T1007" s="2" t="str">
        <f t="shared" si="79"/>
        <v>Sangat Rendah</v>
      </c>
    </row>
    <row r="1008" spans="1:20" ht="15.75" customHeight="1" x14ac:dyDescent="0.3">
      <c r="A1008" s="4" t="s">
        <v>1386</v>
      </c>
      <c r="B1008" s="3">
        <v>45741.51085648148</v>
      </c>
      <c r="C1008" s="2" t="s">
        <v>79</v>
      </c>
      <c r="D1008" s="2" t="s">
        <v>80</v>
      </c>
      <c r="E1008" s="2" t="s">
        <v>250</v>
      </c>
      <c r="F1008" s="2">
        <v>18000</v>
      </c>
      <c r="G1008" s="2">
        <v>2</v>
      </c>
      <c r="H1008" s="2">
        <v>10</v>
      </c>
      <c r="I1008">
        <f t="shared" si="75"/>
        <v>36000</v>
      </c>
      <c r="J1008">
        <f t="shared" si="76"/>
        <v>3600</v>
      </c>
      <c r="K1008" s="6">
        <f t="shared" si="77"/>
        <v>32400</v>
      </c>
      <c r="L1008" s="2">
        <v>74000</v>
      </c>
      <c r="M1008" s="6">
        <f>Table1[[#This Row],[Total Sales]]+Table1[[#This Row],[Shipping Fee]]</f>
        <v>106400</v>
      </c>
      <c r="N1008" s="2" t="s">
        <v>63</v>
      </c>
      <c r="O1008" t="str">
        <f>VLOOKUP(Table1[[#This Row],[Order ID]],Status!A:B, 2,FALSE)</f>
        <v>Completed</v>
      </c>
      <c r="P1008" s="2" t="s">
        <v>23</v>
      </c>
      <c r="Q1008" s="2">
        <v>4</v>
      </c>
      <c r="R1008" s="2" t="s">
        <v>24</v>
      </c>
      <c r="S1008" s="11" t="str">
        <f t="shared" si="78"/>
        <v>Bagus</v>
      </c>
      <c r="T1008" s="2" t="str">
        <f t="shared" si="79"/>
        <v>Sangat Rendah</v>
      </c>
    </row>
    <row r="1009" spans="1:20" ht="15.75" customHeight="1" x14ac:dyDescent="0.3">
      <c r="A1009" s="4" t="s">
        <v>1385</v>
      </c>
      <c r="B1009" s="3">
        <v>45740.333715277768</v>
      </c>
      <c r="C1009" s="2" t="s">
        <v>796</v>
      </c>
      <c r="D1009" s="2" t="s">
        <v>119</v>
      </c>
      <c r="E1009" s="2" t="s">
        <v>93</v>
      </c>
      <c r="F1009" s="2">
        <v>25000</v>
      </c>
      <c r="G1009" s="2">
        <v>4</v>
      </c>
      <c r="H1009" s="2">
        <v>15</v>
      </c>
      <c r="I1009">
        <f t="shared" si="75"/>
        <v>100000</v>
      </c>
      <c r="J1009">
        <f t="shared" si="76"/>
        <v>15000</v>
      </c>
      <c r="K1009" s="6">
        <f t="shared" si="77"/>
        <v>85000</v>
      </c>
      <c r="L1009" s="2">
        <v>0</v>
      </c>
      <c r="M1009" s="6">
        <f>Table1[[#This Row],[Total Sales]]+Table1[[#This Row],[Shipping Fee]]</f>
        <v>85000</v>
      </c>
      <c r="N1009" s="2" t="s">
        <v>35</v>
      </c>
      <c r="O1009" t="str">
        <f>VLOOKUP(Table1[[#This Row],[Order ID]],Status!A:B, 2,FALSE)</f>
        <v>Completed</v>
      </c>
      <c r="P1009" s="2" t="s">
        <v>36</v>
      </c>
      <c r="Q1009" s="2">
        <v>4</v>
      </c>
      <c r="R1009" s="2" t="s">
        <v>24</v>
      </c>
      <c r="S1009" s="11" t="str">
        <f t="shared" si="78"/>
        <v>Bagus</v>
      </c>
      <c r="T1009" s="2" t="str">
        <f t="shared" si="79"/>
        <v>Normal</v>
      </c>
    </row>
    <row r="1010" spans="1:20" ht="15.75" customHeight="1" x14ac:dyDescent="0.3">
      <c r="A1010" s="4" t="s">
        <v>1384</v>
      </c>
      <c r="B1010" s="3">
        <v>45739.852824074071</v>
      </c>
      <c r="C1010" s="2" t="s">
        <v>150</v>
      </c>
      <c r="D1010" s="2" t="s">
        <v>151</v>
      </c>
      <c r="E1010" s="2" t="s">
        <v>144</v>
      </c>
      <c r="F1010" s="2">
        <v>18000</v>
      </c>
      <c r="G1010" s="2">
        <v>3</v>
      </c>
      <c r="H1010" s="2">
        <v>20</v>
      </c>
      <c r="I1010">
        <f t="shared" si="75"/>
        <v>54000</v>
      </c>
      <c r="J1010">
        <f t="shared" si="76"/>
        <v>10800</v>
      </c>
      <c r="K1010" s="6">
        <f t="shared" si="77"/>
        <v>43200</v>
      </c>
      <c r="L1010" s="2">
        <v>55000</v>
      </c>
      <c r="M1010" s="6">
        <f>Table1[[#This Row],[Total Sales]]+Table1[[#This Row],[Shipping Fee]]</f>
        <v>98200</v>
      </c>
      <c r="N1010" s="2" t="s">
        <v>22</v>
      </c>
      <c r="O1010" t="str">
        <f>VLOOKUP(Table1[[#This Row],[Order ID]],Status!A:B, 2,FALSE)</f>
        <v>Cancelled</v>
      </c>
      <c r="P1010" s="2" t="s">
        <v>23</v>
      </c>
      <c r="Q1010" s="2">
        <v>1</v>
      </c>
      <c r="R1010" s="2" t="s">
        <v>37</v>
      </c>
      <c r="S1010" s="11" t="str">
        <f t="shared" si="78"/>
        <v>Rendah</v>
      </c>
      <c r="T1010" s="2" t="str">
        <f t="shared" si="79"/>
        <v>Normal</v>
      </c>
    </row>
    <row r="1011" spans="1:20" ht="15.75" customHeight="1" x14ac:dyDescent="0.3">
      <c r="A1011" s="4" t="s">
        <v>1383</v>
      </c>
      <c r="B1011" s="3">
        <v>45739.2190625</v>
      </c>
      <c r="C1011" s="2" t="s">
        <v>355</v>
      </c>
      <c r="D1011" s="2" t="s">
        <v>116</v>
      </c>
      <c r="E1011" s="2" t="s">
        <v>104</v>
      </c>
      <c r="F1011" s="2">
        <v>30000</v>
      </c>
      <c r="G1011" s="2">
        <v>3</v>
      </c>
      <c r="H1011" s="2">
        <v>10</v>
      </c>
      <c r="I1011">
        <f t="shared" si="75"/>
        <v>90000</v>
      </c>
      <c r="J1011">
        <f t="shared" si="76"/>
        <v>9000</v>
      </c>
      <c r="K1011" s="6">
        <f t="shared" si="77"/>
        <v>81000</v>
      </c>
      <c r="L1011" s="2">
        <v>72000</v>
      </c>
      <c r="M1011" s="6">
        <f>Table1[[#This Row],[Total Sales]]+Table1[[#This Row],[Shipping Fee]]</f>
        <v>153000</v>
      </c>
      <c r="N1011" s="2" t="s">
        <v>29</v>
      </c>
      <c r="O1011" t="str">
        <f>VLOOKUP(Table1[[#This Row],[Order ID]],Status!A:B, 2,FALSE)</f>
        <v>Completed</v>
      </c>
      <c r="P1011" s="2" t="s">
        <v>23</v>
      </c>
      <c r="Q1011" s="2">
        <v>3</v>
      </c>
      <c r="R1011" s="2" t="s">
        <v>24</v>
      </c>
      <c r="S1011" s="11" t="str">
        <f t="shared" si="78"/>
        <v>Standar</v>
      </c>
      <c r="T1011" s="2" t="str">
        <f t="shared" si="79"/>
        <v>Rendah</v>
      </c>
    </row>
    <row r="1012" spans="1:20" ht="15.75" customHeight="1" x14ac:dyDescent="0.3">
      <c r="A1012" s="4" t="s">
        <v>1381</v>
      </c>
      <c r="B1012" s="3">
        <v>45739.073599537027</v>
      </c>
      <c r="C1012" s="2" t="s">
        <v>1382</v>
      </c>
      <c r="D1012" s="2" t="s">
        <v>74</v>
      </c>
      <c r="E1012" s="2" t="s">
        <v>93</v>
      </c>
      <c r="F1012" s="2">
        <v>25000</v>
      </c>
      <c r="G1012" s="2">
        <v>5</v>
      </c>
      <c r="H1012" s="2">
        <v>5</v>
      </c>
      <c r="I1012">
        <f t="shared" si="75"/>
        <v>125000</v>
      </c>
      <c r="J1012">
        <f t="shared" si="76"/>
        <v>6250</v>
      </c>
      <c r="K1012" s="6">
        <f t="shared" si="77"/>
        <v>118750</v>
      </c>
      <c r="L1012" s="2">
        <v>87000</v>
      </c>
      <c r="M1012" s="6">
        <f>Table1[[#This Row],[Total Sales]]+Table1[[#This Row],[Shipping Fee]]</f>
        <v>205750</v>
      </c>
      <c r="N1012" s="2" t="s">
        <v>29</v>
      </c>
      <c r="O1012" t="str">
        <f>VLOOKUP(Table1[[#This Row],[Order ID]],Status!A:B, 2,FALSE)</f>
        <v>Completed</v>
      </c>
      <c r="P1012" s="2" t="s">
        <v>30</v>
      </c>
      <c r="Q1012" s="2">
        <v>1</v>
      </c>
      <c r="R1012" s="2" t="s">
        <v>24</v>
      </c>
      <c r="S1012" s="11" t="str">
        <f t="shared" si="78"/>
        <v>Rendah</v>
      </c>
      <c r="T1012" s="2" t="str">
        <f t="shared" si="79"/>
        <v>Rendah</v>
      </c>
    </row>
    <row r="1013" spans="1:20" ht="15.75" customHeight="1" x14ac:dyDescent="0.3">
      <c r="A1013" s="4" t="s">
        <v>1380</v>
      </c>
      <c r="B1013" s="3">
        <v>45738.897222222222</v>
      </c>
      <c r="C1013" s="2" t="s">
        <v>983</v>
      </c>
      <c r="D1013" s="2" t="s">
        <v>262</v>
      </c>
      <c r="E1013" s="2" t="s">
        <v>41</v>
      </c>
      <c r="F1013" s="2">
        <v>4000</v>
      </c>
      <c r="G1013" s="2">
        <v>4</v>
      </c>
      <c r="H1013" s="2">
        <v>0</v>
      </c>
      <c r="I1013">
        <f t="shared" si="75"/>
        <v>16000</v>
      </c>
      <c r="J1013">
        <f t="shared" si="76"/>
        <v>0</v>
      </c>
      <c r="K1013" s="6">
        <f t="shared" si="77"/>
        <v>16000</v>
      </c>
      <c r="L1013" s="2">
        <v>18000</v>
      </c>
      <c r="M1013" s="6">
        <f>Table1[[#This Row],[Total Sales]]+Table1[[#This Row],[Shipping Fee]]</f>
        <v>34000</v>
      </c>
      <c r="N1013" s="2" t="s">
        <v>22</v>
      </c>
      <c r="O1013" t="str">
        <f>VLOOKUP(Table1[[#This Row],[Order ID]],Status!A:B, 2,FALSE)</f>
        <v>Completed</v>
      </c>
      <c r="P1013" s="2" t="s">
        <v>46</v>
      </c>
      <c r="Q1013" s="2">
        <v>3</v>
      </c>
      <c r="R1013" s="2" t="s">
        <v>37</v>
      </c>
      <c r="S1013" s="11" t="str">
        <f t="shared" si="78"/>
        <v>Standar</v>
      </c>
      <c r="T1013" s="2" t="str">
        <f t="shared" si="79"/>
        <v>Sangat Rendah</v>
      </c>
    </row>
    <row r="1014" spans="1:20" ht="15.75" customHeight="1" x14ac:dyDescent="0.3">
      <c r="A1014" s="4" t="s">
        <v>1379</v>
      </c>
      <c r="B1014" s="3">
        <v>45738.317511574067</v>
      </c>
      <c r="C1014" s="2" t="s">
        <v>425</v>
      </c>
      <c r="D1014" s="2" t="s">
        <v>44</v>
      </c>
      <c r="E1014" s="2" t="s">
        <v>190</v>
      </c>
      <c r="F1014" s="2">
        <v>35000</v>
      </c>
      <c r="G1014" s="2">
        <v>1</v>
      </c>
      <c r="H1014" s="2">
        <v>5</v>
      </c>
      <c r="I1014">
        <f t="shared" si="75"/>
        <v>35000</v>
      </c>
      <c r="J1014">
        <f t="shared" si="76"/>
        <v>1750</v>
      </c>
      <c r="K1014" s="6">
        <f t="shared" si="77"/>
        <v>33250</v>
      </c>
      <c r="L1014" s="2">
        <v>93000</v>
      </c>
      <c r="M1014" s="6">
        <f>Table1[[#This Row],[Total Sales]]+Table1[[#This Row],[Shipping Fee]]</f>
        <v>126250</v>
      </c>
      <c r="N1014" s="2" t="s">
        <v>35</v>
      </c>
      <c r="O1014" t="str">
        <f>VLOOKUP(Table1[[#This Row],[Order ID]],Status!A:B, 2,FALSE)</f>
        <v>Completed</v>
      </c>
      <c r="P1014" s="2" t="s">
        <v>46</v>
      </c>
      <c r="Q1014" s="2">
        <v>3</v>
      </c>
      <c r="R1014" s="2" t="s">
        <v>37</v>
      </c>
      <c r="S1014" s="11" t="str">
        <f t="shared" si="78"/>
        <v>Standar</v>
      </c>
      <c r="T1014" s="2" t="str">
        <f t="shared" si="79"/>
        <v>Sangat Rendah</v>
      </c>
    </row>
    <row r="1015" spans="1:20" ht="15.75" customHeight="1" x14ac:dyDescent="0.3">
      <c r="A1015" s="4" t="s">
        <v>1378</v>
      </c>
      <c r="B1015" s="3">
        <v>45738.016157407408</v>
      </c>
      <c r="C1015" s="2" t="s">
        <v>287</v>
      </c>
      <c r="D1015" s="2" t="s">
        <v>262</v>
      </c>
      <c r="E1015" s="2" t="s">
        <v>28</v>
      </c>
      <c r="F1015" s="2">
        <v>5000</v>
      </c>
      <c r="G1015" s="2">
        <v>2</v>
      </c>
      <c r="H1015" s="2">
        <v>10</v>
      </c>
      <c r="I1015">
        <f t="shared" si="75"/>
        <v>10000</v>
      </c>
      <c r="J1015">
        <f t="shared" si="76"/>
        <v>1000</v>
      </c>
      <c r="K1015" s="6">
        <f t="shared" si="77"/>
        <v>9000</v>
      </c>
      <c r="L1015" s="2">
        <v>18000</v>
      </c>
      <c r="M1015" s="6">
        <f>Table1[[#This Row],[Total Sales]]+Table1[[#This Row],[Shipping Fee]]</f>
        <v>27000</v>
      </c>
      <c r="N1015" s="2" t="s">
        <v>35</v>
      </c>
      <c r="O1015" t="str">
        <f>VLOOKUP(Table1[[#This Row],[Order ID]],Status!A:B, 2,FALSE)</f>
        <v>Completed</v>
      </c>
      <c r="P1015" s="2" t="s">
        <v>30</v>
      </c>
      <c r="Q1015" s="2">
        <v>4</v>
      </c>
      <c r="R1015" s="2" t="s">
        <v>24</v>
      </c>
      <c r="S1015" s="11" t="str">
        <f t="shared" si="78"/>
        <v>Bagus</v>
      </c>
      <c r="T1015" s="2" t="str">
        <f t="shared" si="79"/>
        <v>Sangat Rendah</v>
      </c>
    </row>
    <row r="1016" spans="1:20" ht="15.75" customHeight="1" x14ac:dyDescent="0.3">
      <c r="A1016" s="4" t="s">
        <v>1377</v>
      </c>
      <c r="B1016" s="3">
        <v>45737.589224537027</v>
      </c>
      <c r="C1016" s="2" t="s">
        <v>699</v>
      </c>
      <c r="D1016" s="2" t="s">
        <v>238</v>
      </c>
      <c r="E1016" s="2" t="s">
        <v>144</v>
      </c>
      <c r="F1016" s="2">
        <v>18000</v>
      </c>
      <c r="G1016" s="2">
        <v>3</v>
      </c>
      <c r="H1016" s="2">
        <v>0</v>
      </c>
      <c r="I1016">
        <f t="shared" si="75"/>
        <v>54000</v>
      </c>
      <c r="J1016">
        <f t="shared" si="76"/>
        <v>0</v>
      </c>
      <c r="K1016" s="6">
        <f t="shared" si="77"/>
        <v>54000</v>
      </c>
      <c r="L1016" s="2">
        <v>28000</v>
      </c>
      <c r="M1016" s="6">
        <f>Table1[[#This Row],[Total Sales]]+Table1[[#This Row],[Shipping Fee]]</f>
        <v>82000</v>
      </c>
      <c r="N1016" s="2" t="s">
        <v>22</v>
      </c>
      <c r="O1016" t="str">
        <f>VLOOKUP(Table1[[#This Row],[Order ID]],Status!A:B, 2,FALSE)</f>
        <v>Completed</v>
      </c>
      <c r="P1016" s="2" t="s">
        <v>36</v>
      </c>
      <c r="Q1016" s="2">
        <v>4</v>
      </c>
      <c r="R1016" s="2" t="s">
        <v>37</v>
      </c>
      <c r="S1016" s="11" t="str">
        <f t="shared" si="78"/>
        <v>Bagus</v>
      </c>
      <c r="T1016" s="2" t="str">
        <f t="shared" si="79"/>
        <v>Sangat Rendah</v>
      </c>
    </row>
    <row r="1017" spans="1:20" ht="15.75" customHeight="1" x14ac:dyDescent="0.3">
      <c r="A1017" s="4" t="s">
        <v>1376</v>
      </c>
      <c r="B1017" s="3">
        <v>45737.416400462957</v>
      </c>
      <c r="C1017" s="2" t="s">
        <v>459</v>
      </c>
      <c r="D1017" s="2" t="s">
        <v>61</v>
      </c>
      <c r="E1017" s="2" t="s">
        <v>41</v>
      </c>
      <c r="F1017" s="2">
        <v>4000</v>
      </c>
      <c r="G1017" s="2">
        <v>1</v>
      </c>
      <c r="H1017" s="2">
        <v>15</v>
      </c>
      <c r="I1017">
        <f t="shared" si="75"/>
        <v>4000</v>
      </c>
      <c r="J1017">
        <f t="shared" si="76"/>
        <v>600</v>
      </c>
      <c r="K1017" s="6">
        <f t="shared" si="77"/>
        <v>3400</v>
      </c>
      <c r="L1017" s="2">
        <v>26000</v>
      </c>
      <c r="M1017" s="6">
        <f>Table1[[#This Row],[Total Sales]]+Table1[[#This Row],[Shipping Fee]]</f>
        <v>29400</v>
      </c>
      <c r="N1017" s="2" t="s">
        <v>22</v>
      </c>
      <c r="O1017" t="str">
        <f>VLOOKUP(Table1[[#This Row],[Order ID]],Status!A:B, 2,FALSE)</f>
        <v>Returned</v>
      </c>
      <c r="P1017" s="2" t="s">
        <v>82</v>
      </c>
      <c r="Q1017" s="2">
        <v>1</v>
      </c>
      <c r="R1017" s="2" t="s">
        <v>24</v>
      </c>
      <c r="S1017" s="11" t="str">
        <f t="shared" si="78"/>
        <v>Rendah</v>
      </c>
      <c r="T1017" s="2" t="str">
        <f t="shared" si="79"/>
        <v>Sangat Rendah</v>
      </c>
    </row>
    <row r="1018" spans="1:20" ht="15.75" customHeight="1" x14ac:dyDescent="0.3">
      <c r="A1018" s="4" t="s">
        <v>1375</v>
      </c>
      <c r="B1018" s="3">
        <v>45737.274826388893</v>
      </c>
      <c r="C1018" s="2" t="s">
        <v>197</v>
      </c>
      <c r="D1018" s="2" t="s">
        <v>119</v>
      </c>
      <c r="E1018" s="2" t="s">
        <v>93</v>
      </c>
      <c r="F1018" s="2">
        <v>25000</v>
      </c>
      <c r="G1018" s="2">
        <v>2</v>
      </c>
      <c r="H1018" s="2">
        <v>0</v>
      </c>
      <c r="I1018">
        <f t="shared" si="75"/>
        <v>50000</v>
      </c>
      <c r="J1018">
        <f t="shared" si="76"/>
        <v>0</v>
      </c>
      <c r="K1018" s="6">
        <f t="shared" si="77"/>
        <v>50000</v>
      </c>
      <c r="L1018" s="2">
        <v>0</v>
      </c>
      <c r="M1018" s="6">
        <f>Table1[[#This Row],[Total Sales]]+Table1[[#This Row],[Shipping Fee]]</f>
        <v>50000</v>
      </c>
      <c r="N1018" s="2" t="s">
        <v>35</v>
      </c>
      <c r="O1018" t="str">
        <f>VLOOKUP(Table1[[#This Row],[Order ID]],Status!A:B, 2,FALSE)</f>
        <v>Completed</v>
      </c>
      <c r="P1018" s="2" t="s">
        <v>23</v>
      </c>
      <c r="Q1018" s="2">
        <v>1</v>
      </c>
      <c r="R1018" s="2" t="s">
        <v>37</v>
      </c>
      <c r="S1018" s="11" t="str">
        <f t="shared" si="78"/>
        <v>Rendah</v>
      </c>
      <c r="T1018" s="2" t="str">
        <f t="shared" si="79"/>
        <v>Sangat Rendah</v>
      </c>
    </row>
    <row r="1019" spans="1:20" ht="15.75" customHeight="1" x14ac:dyDescent="0.3">
      <c r="A1019" s="4" t="s">
        <v>1374</v>
      </c>
      <c r="B1019" s="3">
        <v>45737.262083333328</v>
      </c>
      <c r="C1019" s="2" t="s">
        <v>157</v>
      </c>
      <c r="D1019" s="2" t="s">
        <v>20</v>
      </c>
      <c r="E1019" s="2" t="s">
        <v>190</v>
      </c>
      <c r="F1019" s="2">
        <v>35000</v>
      </c>
      <c r="G1019" s="2">
        <v>1</v>
      </c>
      <c r="H1019" s="2">
        <v>15</v>
      </c>
      <c r="I1019">
        <f t="shared" si="75"/>
        <v>35000</v>
      </c>
      <c r="J1019">
        <f t="shared" si="76"/>
        <v>5250</v>
      </c>
      <c r="K1019" s="6">
        <f t="shared" si="77"/>
        <v>29750</v>
      </c>
      <c r="L1019" s="2">
        <v>15000</v>
      </c>
      <c r="M1019" s="6">
        <f>Table1[[#This Row],[Total Sales]]+Table1[[#This Row],[Shipping Fee]]</f>
        <v>44750</v>
      </c>
      <c r="N1019" s="2" t="s">
        <v>29</v>
      </c>
      <c r="O1019" t="str">
        <f>VLOOKUP(Table1[[#This Row],[Order ID]],Status!A:B, 2,FALSE)</f>
        <v>Completed</v>
      </c>
      <c r="P1019" s="2" t="s">
        <v>30</v>
      </c>
      <c r="Q1019" s="2">
        <v>2</v>
      </c>
      <c r="R1019" s="2" t="s">
        <v>24</v>
      </c>
      <c r="S1019" s="11" t="str">
        <f t="shared" si="78"/>
        <v>Rendah</v>
      </c>
      <c r="T1019" s="2" t="str">
        <f t="shared" si="79"/>
        <v>Rendah</v>
      </c>
    </row>
    <row r="1020" spans="1:20" ht="15.75" customHeight="1" x14ac:dyDescent="0.3">
      <c r="A1020" s="4" t="s">
        <v>1373</v>
      </c>
      <c r="B1020" s="3">
        <v>45737.182812500003</v>
      </c>
      <c r="C1020" s="2" t="s">
        <v>379</v>
      </c>
      <c r="D1020" s="2" t="s">
        <v>27</v>
      </c>
      <c r="E1020" s="2" t="s">
        <v>75</v>
      </c>
      <c r="F1020" s="2">
        <v>55000</v>
      </c>
      <c r="G1020" s="2">
        <v>4</v>
      </c>
      <c r="H1020" s="2">
        <v>20</v>
      </c>
      <c r="I1020">
        <f t="shared" si="75"/>
        <v>220000</v>
      </c>
      <c r="J1020">
        <f t="shared" si="76"/>
        <v>44000</v>
      </c>
      <c r="K1020" s="6">
        <f t="shared" si="77"/>
        <v>176000</v>
      </c>
      <c r="L1020" s="2">
        <v>17000</v>
      </c>
      <c r="M1020" s="6">
        <f>Table1[[#This Row],[Total Sales]]+Table1[[#This Row],[Shipping Fee]]</f>
        <v>193000</v>
      </c>
      <c r="N1020" s="2" t="s">
        <v>29</v>
      </c>
      <c r="O1020" t="str">
        <f>VLOOKUP(Table1[[#This Row],[Order ID]],Status!A:B, 2,FALSE)</f>
        <v>Returned</v>
      </c>
      <c r="P1020" s="2" t="s">
        <v>46</v>
      </c>
      <c r="Q1020" s="2">
        <v>1</v>
      </c>
      <c r="R1020" s="2" t="s">
        <v>24</v>
      </c>
      <c r="S1020" s="11" t="str">
        <f t="shared" si="78"/>
        <v>Rendah</v>
      </c>
      <c r="T1020" s="2" t="str">
        <f t="shared" si="79"/>
        <v>Sangat Tinggi</v>
      </c>
    </row>
    <row r="1021" spans="1:20" ht="15.75" customHeight="1" x14ac:dyDescent="0.3">
      <c r="A1021" s="4" t="s">
        <v>1372</v>
      </c>
      <c r="B1021" s="3">
        <v>45737.09814814815</v>
      </c>
      <c r="C1021" s="2" t="s">
        <v>530</v>
      </c>
      <c r="D1021" s="2" t="s">
        <v>151</v>
      </c>
      <c r="E1021" s="2" t="s">
        <v>75</v>
      </c>
      <c r="F1021" s="2">
        <v>55000</v>
      </c>
      <c r="G1021" s="2">
        <v>4</v>
      </c>
      <c r="H1021" s="2">
        <v>5</v>
      </c>
      <c r="I1021">
        <f t="shared" si="75"/>
        <v>220000</v>
      </c>
      <c r="J1021">
        <f t="shared" si="76"/>
        <v>11000</v>
      </c>
      <c r="K1021" s="6">
        <f t="shared" si="77"/>
        <v>209000</v>
      </c>
      <c r="L1021" s="2">
        <v>55000</v>
      </c>
      <c r="M1021" s="6">
        <f>Table1[[#This Row],[Total Sales]]+Table1[[#This Row],[Shipping Fee]]</f>
        <v>264000</v>
      </c>
      <c r="N1021" s="2" t="s">
        <v>22</v>
      </c>
      <c r="O1021" t="str">
        <f>VLOOKUP(Table1[[#This Row],[Order ID]],Status!A:B, 2,FALSE)</f>
        <v>Completed</v>
      </c>
      <c r="P1021" s="2" t="s">
        <v>82</v>
      </c>
      <c r="Q1021" s="2">
        <v>2</v>
      </c>
      <c r="R1021" s="2" t="s">
        <v>24</v>
      </c>
      <c r="S1021" s="11" t="str">
        <f t="shared" si="78"/>
        <v>Rendah</v>
      </c>
      <c r="T1021" s="2" t="str">
        <f t="shared" si="79"/>
        <v>Normal</v>
      </c>
    </row>
    <row r="1022" spans="1:20" ht="15.75" customHeight="1" x14ac:dyDescent="0.3">
      <c r="A1022" s="4" t="s">
        <v>1372</v>
      </c>
      <c r="B1022" s="3">
        <v>45737.09814814815</v>
      </c>
      <c r="C1022" s="2" t="s">
        <v>530</v>
      </c>
      <c r="D1022" s="2" t="s">
        <v>151</v>
      </c>
      <c r="E1022" s="2" t="s">
        <v>104</v>
      </c>
      <c r="F1022" s="2">
        <v>30000</v>
      </c>
      <c r="G1022" s="2">
        <v>3</v>
      </c>
      <c r="H1022" s="2">
        <v>5</v>
      </c>
      <c r="I1022">
        <f t="shared" si="75"/>
        <v>90000</v>
      </c>
      <c r="J1022">
        <f t="shared" si="76"/>
        <v>4500</v>
      </c>
      <c r="K1022" s="6">
        <f t="shared" si="77"/>
        <v>85500</v>
      </c>
      <c r="L1022" s="2">
        <v>0</v>
      </c>
      <c r="M1022" s="6">
        <f>Table1[[#This Row],[Total Sales]]+Table1[[#This Row],[Shipping Fee]]</f>
        <v>85500</v>
      </c>
      <c r="N1022" s="2" t="s">
        <v>22</v>
      </c>
      <c r="O1022" t="str">
        <f>VLOOKUP(Table1[[#This Row],[Order ID]],Status!A:B, 2,FALSE)</f>
        <v>Completed</v>
      </c>
      <c r="P1022" s="2" t="s">
        <v>82</v>
      </c>
      <c r="Q1022" s="2">
        <v>2</v>
      </c>
      <c r="R1022" s="2" t="s">
        <v>24</v>
      </c>
      <c r="S1022" s="11" t="str">
        <f t="shared" si="78"/>
        <v>Rendah</v>
      </c>
      <c r="T1022" s="2" t="str">
        <f t="shared" si="79"/>
        <v>Sangat Rendah</v>
      </c>
    </row>
    <row r="1023" spans="1:20" ht="15.75" customHeight="1" x14ac:dyDescent="0.3">
      <c r="A1023" s="4" t="s">
        <v>1371</v>
      </c>
      <c r="B1023" s="3">
        <v>45737.027592592603</v>
      </c>
      <c r="C1023" s="2" t="s">
        <v>389</v>
      </c>
      <c r="D1023" s="2" t="s">
        <v>182</v>
      </c>
      <c r="E1023" s="2" t="s">
        <v>21</v>
      </c>
      <c r="F1023" s="2">
        <v>45000</v>
      </c>
      <c r="G1023" s="2">
        <v>3</v>
      </c>
      <c r="H1023" s="2">
        <v>20</v>
      </c>
      <c r="I1023">
        <f t="shared" si="75"/>
        <v>135000</v>
      </c>
      <c r="J1023">
        <f t="shared" si="76"/>
        <v>27000</v>
      </c>
      <c r="K1023" s="6">
        <f t="shared" si="77"/>
        <v>108000</v>
      </c>
      <c r="L1023" s="2">
        <v>48000</v>
      </c>
      <c r="M1023" s="6">
        <f>Table1[[#This Row],[Total Sales]]+Table1[[#This Row],[Shipping Fee]]</f>
        <v>156000</v>
      </c>
      <c r="N1023" s="2" t="s">
        <v>22</v>
      </c>
      <c r="O1023" t="str">
        <f>VLOOKUP(Table1[[#This Row],[Order ID]],Status!A:B, 2,FALSE)</f>
        <v>Completed</v>
      </c>
      <c r="P1023" s="2" t="s">
        <v>23</v>
      </c>
      <c r="Q1023" s="2">
        <v>1</v>
      </c>
      <c r="R1023" s="2" t="s">
        <v>24</v>
      </c>
      <c r="S1023" s="11" t="str">
        <f t="shared" si="78"/>
        <v>Rendah</v>
      </c>
      <c r="T1023" s="2" t="str">
        <f t="shared" si="79"/>
        <v>Tinggi</v>
      </c>
    </row>
    <row r="1024" spans="1:20" ht="15.75" customHeight="1" x14ac:dyDescent="0.3">
      <c r="A1024" s="4" t="s">
        <v>1370</v>
      </c>
      <c r="B1024" s="3">
        <v>45736.849074074067</v>
      </c>
      <c r="C1024" s="2" t="s">
        <v>520</v>
      </c>
      <c r="D1024" s="2" t="s">
        <v>103</v>
      </c>
      <c r="E1024" s="2" t="s">
        <v>174</v>
      </c>
      <c r="F1024" s="2">
        <v>10000</v>
      </c>
      <c r="G1024" s="2">
        <v>4</v>
      </c>
      <c r="H1024" s="2">
        <v>20</v>
      </c>
      <c r="I1024">
        <f t="shared" si="75"/>
        <v>40000</v>
      </c>
      <c r="J1024">
        <f t="shared" si="76"/>
        <v>8000</v>
      </c>
      <c r="K1024" s="6">
        <f t="shared" si="77"/>
        <v>32000</v>
      </c>
      <c r="L1024" s="2">
        <v>85000</v>
      </c>
      <c r="M1024" s="6">
        <f>Table1[[#This Row],[Total Sales]]+Table1[[#This Row],[Shipping Fee]]</f>
        <v>117000</v>
      </c>
      <c r="N1024" s="2" t="s">
        <v>29</v>
      </c>
      <c r="O1024" t="str">
        <f>VLOOKUP(Table1[[#This Row],[Order ID]],Status!A:B, 2,FALSE)</f>
        <v>Completed</v>
      </c>
      <c r="P1024" s="2" t="s">
        <v>30</v>
      </c>
      <c r="Q1024" s="2">
        <v>4</v>
      </c>
      <c r="R1024" s="2" t="s">
        <v>24</v>
      </c>
      <c r="S1024" s="11" t="str">
        <f t="shared" si="78"/>
        <v>Bagus</v>
      </c>
      <c r="T1024" s="2" t="str">
        <f t="shared" si="79"/>
        <v>Rendah</v>
      </c>
    </row>
    <row r="1025" spans="1:20" ht="15.75" customHeight="1" x14ac:dyDescent="0.3">
      <c r="A1025" s="4" t="s">
        <v>1369</v>
      </c>
      <c r="B1025" s="3">
        <v>45736.679571759261</v>
      </c>
      <c r="C1025" s="2" t="s">
        <v>477</v>
      </c>
      <c r="D1025" s="2" t="s">
        <v>182</v>
      </c>
      <c r="E1025" s="2" t="s">
        <v>75</v>
      </c>
      <c r="F1025" s="2">
        <v>55000</v>
      </c>
      <c r="G1025" s="2">
        <v>2</v>
      </c>
      <c r="H1025" s="2">
        <v>10</v>
      </c>
      <c r="I1025">
        <f t="shared" si="75"/>
        <v>110000</v>
      </c>
      <c r="J1025">
        <f t="shared" si="76"/>
        <v>11000</v>
      </c>
      <c r="K1025" s="6">
        <f t="shared" si="77"/>
        <v>99000</v>
      </c>
      <c r="L1025" s="2">
        <v>48000</v>
      </c>
      <c r="M1025" s="6">
        <f>Table1[[#This Row],[Total Sales]]+Table1[[#This Row],[Shipping Fee]]</f>
        <v>147000</v>
      </c>
      <c r="N1025" s="2" t="s">
        <v>35</v>
      </c>
      <c r="O1025" t="str">
        <f>VLOOKUP(Table1[[#This Row],[Order ID]],Status!A:B, 2,FALSE)</f>
        <v>Completed</v>
      </c>
      <c r="P1025" s="2" t="s">
        <v>46</v>
      </c>
      <c r="Q1025" s="2">
        <v>3</v>
      </c>
      <c r="R1025" s="2" t="s">
        <v>24</v>
      </c>
      <c r="S1025" s="11" t="str">
        <f t="shared" si="78"/>
        <v>Standar</v>
      </c>
      <c r="T1025" s="2" t="str">
        <f t="shared" si="79"/>
        <v>Normal</v>
      </c>
    </row>
    <row r="1026" spans="1:20" ht="15.75" customHeight="1" x14ac:dyDescent="0.3">
      <c r="A1026" s="4" t="s">
        <v>1368</v>
      </c>
      <c r="B1026" s="3">
        <v>45736.6719212963</v>
      </c>
      <c r="C1026" s="2" t="s">
        <v>100</v>
      </c>
      <c r="D1026" s="2" t="s">
        <v>66</v>
      </c>
      <c r="E1026" s="2" t="s">
        <v>85</v>
      </c>
      <c r="F1026" s="2">
        <v>35000</v>
      </c>
      <c r="G1026" s="2">
        <v>4</v>
      </c>
      <c r="H1026" s="2">
        <v>10</v>
      </c>
      <c r="I1026">
        <f t="shared" ref="I1026:I1089" si="80">F1026*G1026</f>
        <v>140000</v>
      </c>
      <c r="J1026">
        <f t="shared" ref="J1026:J1089" si="81">I1026*H1026/100</f>
        <v>14000</v>
      </c>
      <c r="K1026" s="6">
        <f t="shared" ref="K1026:K1089" si="82">I1026-J1026</f>
        <v>126000</v>
      </c>
      <c r="L1026" s="2">
        <v>59000</v>
      </c>
      <c r="M1026" s="6">
        <f>Table1[[#This Row],[Total Sales]]+Table1[[#This Row],[Shipping Fee]]</f>
        <v>185000</v>
      </c>
      <c r="N1026" s="2" t="s">
        <v>22</v>
      </c>
      <c r="O1026" t="str">
        <f>VLOOKUP(Table1[[#This Row],[Order ID]],Status!A:B, 2,FALSE)</f>
        <v>Completed</v>
      </c>
      <c r="P1026" s="2" t="s">
        <v>30</v>
      </c>
      <c r="Q1026" s="2">
        <v>2</v>
      </c>
      <c r="R1026" s="2" t="s">
        <v>24</v>
      </c>
      <c r="S1026" s="11" t="str">
        <f t="shared" ref="S1026:S1089" si="83">_xlfn.IFS(Q1026&gt;3,"Bagus",Q1026=3,"Standar",Q1026&lt;3,"Rendah")</f>
        <v>Rendah</v>
      </c>
      <c r="T1026" s="2" t="str">
        <f t="shared" ref="T1026:T1089" si="84">_xlfn.IFS(J1026&lt;=5000,"Sangat Rendah", J1026&lt;=10000,"Rendah", J1026&lt;=20000, "Normal", J1026&lt;=35000, "Tinggi", J1026&lt;= 50000, "Sangat Tinggi", J1026&gt;50000, "Clearance")</f>
        <v>Normal</v>
      </c>
    </row>
    <row r="1027" spans="1:20" ht="15.75" customHeight="1" x14ac:dyDescent="0.3">
      <c r="A1027" s="4" t="s">
        <v>1367</v>
      </c>
      <c r="B1027" s="3">
        <v>45736.34652777778</v>
      </c>
      <c r="C1027" s="2" t="s">
        <v>844</v>
      </c>
      <c r="D1027" s="2" t="s">
        <v>119</v>
      </c>
      <c r="E1027" s="2" t="s">
        <v>34</v>
      </c>
      <c r="F1027" s="2">
        <v>16000</v>
      </c>
      <c r="G1027" s="2">
        <v>3</v>
      </c>
      <c r="H1027" s="2">
        <v>0</v>
      </c>
      <c r="I1027">
        <f t="shared" si="80"/>
        <v>48000</v>
      </c>
      <c r="J1027">
        <f t="shared" si="81"/>
        <v>0</v>
      </c>
      <c r="K1027" s="6">
        <f t="shared" si="82"/>
        <v>48000</v>
      </c>
      <c r="L1027" s="2">
        <v>0</v>
      </c>
      <c r="M1027" s="6">
        <f>Table1[[#This Row],[Total Sales]]+Table1[[#This Row],[Shipping Fee]]</f>
        <v>48000</v>
      </c>
      <c r="N1027" s="2" t="s">
        <v>35</v>
      </c>
      <c r="O1027" t="str">
        <f>VLOOKUP(Table1[[#This Row],[Order ID]],Status!A:B, 2,FALSE)</f>
        <v>Completed</v>
      </c>
      <c r="P1027" s="2" t="s">
        <v>36</v>
      </c>
      <c r="Q1027" s="2">
        <v>4</v>
      </c>
      <c r="R1027" s="2" t="s">
        <v>24</v>
      </c>
      <c r="S1027" s="11" t="str">
        <f t="shared" si="83"/>
        <v>Bagus</v>
      </c>
      <c r="T1027" s="2" t="str">
        <f t="shared" si="84"/>
        <v>Sangat Rendah</v>
      </c>
    </row>
    <row r="1028" spans="1:20" ht="15.75" customHeight="1" x14ac:dyDescent="0.3">
      <c r="A1028" s="4" t="s">
        <v>1365</v>
      </c>
      <c r="B1028" s="3">
        <v>45736.322326388887</v>
      </c>
      <c r="C1028" s="2" t="s">
        <v>1366</v>
      </c>
      <c r="D1028" s="2" t="s">
        <v>126</v>
      </c>
      <c r="E1028" s="2" t="s">
        <v>123</v>
      </c>
      <c r="F1028" s="2">
        <v>22000</v>
      </c>
      <c r="G1028" s="2">
        <v>1</v>
      </c>
      <c r="H1028" s="2">
        <v>0</v>
      </c>
      <c r="I1028">
        <f t="shared" si="80"/>
        <v>22000</v>
      </c>
      <c r="J1028">
        <f t="shared" si="81"/>
        <v>0</v>
      </c>
      <c r="K1028" s="6">
        <f t="shared" si="82"/>
        <v>22000</v>
      </c>
      <c r="L1028" s="2">
        <v>84000</v>
      </c>
      <c r="M1028" s="6">
        <f>Table1[[#This Row],[Total Sales]]+Table1[[#This Row],[Shipping Fee]]</f>
        <v>106000</v>
      </c>
      <c r="N1028" s="2" t="s">
        <v>29</v>
      </c>
      <c r="O1028" t="str">
        <f>VLOOKUP(Table1[[#This Row],[Order ID]],Status!A:B, 2,FALSE)</f>
        <v>Completed</v>
      </c>
      <c r="P1028" s="2" t="s">
        <v>30</v>
      </c>
      <c r="Q1028" s="2">
        <v>1</v>
      </c>
      <c r="R1028" s="2" t="s">
        <v>24</v>
      </c>
      <c r="S1028" s="11" t="str">
        <f t="shared" si="83"/>
        <v>Rendah</v>
      </c>
      <c r="T1028" s="2" t="str">
        <f t="shared" si="84"/>
        <v>Sangat Rendah</v>
      </c>
    </row>
    <row r="1029" spans="1:20" ht="15.75" customHeight="1" x14ac:dyDescent="0.3">
      <c r="A1029" s="4" t="s">
        <v>1364</v>
      </c>
      <c r="B1029" s="3">
        <v>45736.284513888888</v>
      </c>
      <c r="C1029" s="2" t="s">
        <v>856</v>
      </c>
      <c r="D1029" s="2" t="s">
        <v>244</v>
      </c>
      <c r="E1029" s="2" t="s">
        <v>110</v>
      </c>
      <c r="F1029" s="2">
        <v>6000</v>
      </c>
      <c r="G1029" s="2">
        <v>5</v>
      </c>
      <c r="H1029" s="2">
        <v>0</v>
      </c>
      <c r="I1029">
        <f t="shared" si="80"/>
        <v>30000</v>
      </c>
      <c r="J1029">
        <f t="shared" si="81"/>
        <v>0</v>
      </c>
      <c r="K1029" s="6">
        <f t="shared" si="82"/>
        <v>30000</v>
      </c>
      <c r="L1029" s="2">
        <v>80000</v>
      </c>
      <c r="M1029" s="6">
        <f>Table1[[#This Row],[Total Sales]]+Table1[[#This Row],[Shipping Fee]]</f>
        <v>110000</v>
      </c>
      <c r="N1029" s="2" t="s">
        <v>63</v>
      </c>
      <c r="O1029" t="str">
        <f>VLOOKUP(Table1[[#This Row],[Order ID]],Status!A:B, 2,FALSE)</f>
        <v>Returned</v>
      </c>
      <c r="P1029" s="2" t="s">
        <v>23</v>
      </c>
      <c r="Q1029" s="2">
        <v>5</v>
      </c>
      <c r="R1029" s="2" t="s">
        <v>24</v>
      </c>
      <c r="S1029" s="11" t="str">
        <f t="shared" si="83"/>
        <v>Bagus</v>
      </c>
      <c r="T1029" s="2" t="str">
        <f t="shared" si="84"/>
        <v>Sangat Rendah</v>
      </c>
    </row>
    <row r="1030" spans="1:20" ht="15.75" customHeight="1" x14ac:dyDescent="0.3">
      <c r="A1030" s="4" t="s">
        <v>1363</v>
      </c>
      <c r="B1030" s="3">
        <v>45736.211562500001</v>
      </c>
      <c r="C1030" s="2" t="s">
        <v>576</v>
      </c>
      <c r="D1030" s="2" t="s">
        <v>57</v>
      </c>
      <c r="E1030" s="2" t="s">
        <v>38</v>
      </c>
      <c r="F1030" s="2">
        <v>28000</v>
      </c>
      <c r="G1030" s="2">
        <v>3</v>
      </c>
      <c r="H1030" s="2">
        <v>5</v>
      </c>
      <c r="I1030">
        <f t="shared" si="80"/>
        <v>84000</v>
      </c>
      <c r="J1030">
        <f t="shared" si="81"/>
        <v>4200</v>
      </c>
      <c r="K1030" s="6">
        <f t="shared" si="82"/>
        <v>79800</v>
      </c>
      <c r="L1030" s="2">
        <v>80000</v>
      </c>
      <c r="M1030" s="6">
        <f>Table1[[#This Row],[Total Sales]]+Table1[[#This Row],[Shipping Fee]]</f>
        <v>159800</v>
      </c>
      <c r="N1030" s="2" t="s">
        <v>29</v>
      </c>
      <c r="O1030" t="str">
        <f>VLOOKUP(Table1[[#This Row],[Order ID]],Status!A:B, 2,FALSE)</f>
        <v>Cancelled</v>
      </c>
      <c r="P1030" s="2" t="s">
        <v>23</v>
      </c>
      <c r="Q1030" s="2">
        <v>3</v>
      </c>
      <c r="R1030" s="2" t="s">
        <v>37</v>
      </c>
      <c r="S1030" s="11" t="str">
        <f t="shared" si="83"/>
        <v>Standar</v>
      </c>
      <c r="T1030" s="2" t="str">
        <f t="shared" si="84"/>
        <v>Sangat Rendah</v>
      </c>
    </row>
    <row r="1031" spans="1:20" ht="15.75" customHeight="1" x14ac:dyDescent="0.3">
      <c r="A1031" s="4" t="s">
        <v>1362</v>
      </c>
      <c r="B1031" s="3">
        <v>45736.070740740739</v>
      </c>
      <c r="C1031" s="2" t="s">
        <v>786</v>
      </c>
      <c r="D1031" s="2" t="s">
        <v>107</v>
      </c>
      <c r="E1031" s="2" t="s">
        <v>45</v>
      </c>
      <c r="F1031" s="2">
        <v>40000</v>
      </c>
      <c r="G1031" s="2">
        <v>3</v>
      </c>
      <c r="H1031" s="2">
        <v>15</v>
      </c>
      <c r="I1031">
        <f t="shared" si="80"/>
        <v>120000</v>
      </c>
      <c r="J1031">
        <f t="shared" si="81"/>
        <v>18000</v>
      </c>
      <c r="K1031" s="6">
        <f t="shared" si="82"/>
        <v>102000</v>
      </c>
      <c r="L1031" s="2">
        <v>97000</v>
      </c>
      <c r="M1031" s="6">
        <f>Table1[[#This Row],[Total Sales]]+Table1[[#This Row],[Shipping Fee]]</f>
        <v>199000</v>
      </c>
      <c r="N1031" s="2" t="s">
        <v>35</v>
      </c>
      <c r="O1031" t="str">
        <f>VLOOKUP(Table1[[#This Row],[Order ID]],Status!A:B, 2,FALSE)</f>
        <v>Completed</v>
      </c>
      <c r="P1031" s="2" t="s">
        <v>23</v>
      </c>
      <c r="Q1031" s="2">
        <v>3</v>
      </c>
      <c r="R1031" s="2" t="s">
        <v>24</v>
      </c>
      <c r="S1031" s="11" t="str">
        <f t="shared" si="83"/>
        <v>Standar</v>
      </c>
      <c r="T1031" s="2" t="str">
        <f t="shared" si="84"/>
        <v>Normal</v>
      </c>
    </row>
    <row r="1032" spans="1:20" ht="15.75" customHeight="1" x14ac:dyDescent="0.3">
      <c r="A1032" s="4" t="s">
        <v>1361</v>
      </c>
      <c r="B1032" s="3">
        <v>45736.038449074083</v>
      </c>
      <c r="C1032" s="2" t="s">
        <v>804</v>
      </c>
      <c r="D1032" s="2" t="s">
        <v>49</v>
      </c>
      <c r="E1032" s="2" t="s">
        <v>138</v>
      </c>
      <c r="F1032" s="2">
        <v>17000</v>
      </c>
      <c r="G1032" s="2">
        <v>4</v>
      </c>
      <c r="H1032" s="2">
        <v>10</v>
      </c>
      <c r="I1032">
        <f t="shared" si="80"/>
        <v>68000</v>
      </c>
      <c r="J1032">
        <f t="shared" si="81"/>
        <v>6800</v>
      </c>
      <c r="K1032" s="6">
        <f t="shared" si="82"/>
        <v>61200</v>
      </c>
      <c r="L1032" s="2">
        <v>43000</v>
      </c>
      <c r="M1032" s="6">
        <f>Table1[[#This Row],[Total Sales]]+Table1[[#This Row],[Shipping Fee]]</f>
        <v>104200</v>
      </c>
      <c r="N1032" s="2" t="s">
        <v>22</v>
      </c>
      <c r="O1032" t="str">
        <f>VLOOKUP(Table1[[#This Row],[Order ID]],Status!A:B, 2,FALSE)</f>
        <v>Completed</v>
      </c>
      <c r="P1032" s="2" t="s">
        <v>46</v>
      </c>
      <c r="Q1032" s="2">
        <v>3</v>
      </c>
      <c r="R1032" s="2" t="s">
        <v>24</v>
      </c>
      <c r="S1032" s="11" t="str">
        <f t="shared" si="83"/>
        <v>Standar</v>
      </c>
      <c r="T1032" s="2" t="str">
        <f t="shared" si="84"/>
        <v>Rendah</v>
      </c>
    </row>
    <row r="1033" spans="1:20" ht="15.75" customHeight="1" x14ac:dyDescent="0.3">
      <c r="A1033" s="4" t="s">
        <v>1360</v>
      </c>
      <c r="B1033" s="3">
        <v>45736.021226851852</v>
      </c>
      <c r="C1033" s="2" t="s">
        <v>649</v>
      </c>
      <c r="D1033" s="2" t="s">
        <v>177</v>
      </c>
      <c r="E1033" s="2" t="s">
        <v>136</v>
      </c>
      <c r="F1033" s="2">
        <v>12000</v>
      </c>
      <c r="G1033" s="2">
        <v>2</v>
      </c>
      <c r="H1033" s="2">
        <v>10</v>
      </c>
      <c r="I1033">
        <f t="shared" si="80"/>
        <v>24000</v>
      </c>
      <c r="J1033">
        <f t="shared" si="81"/>
        <v>2400</v>
      </c>
      <c r="K1033" s="6">
        <f t="shared" si="82"/>
        <v>21600</v>
      </c>
      <c r="L1033" s="2">
        <v>56000</v>
      </c>
      <c r="M1033" s="6">
        <f>Table1[[#This Row],[Total Sales]]+Table1[[#This Row],[Shipping Fee]]</f>
        <v>77600</v>
      </c>
      <c r="N1033" s="2" t="s">
        <v>29</v>
      </c>
      <c r="O1033" t="str">
        <f>VLOOKUP(Table1[[#This Row],[Order ID]],Status!A:B, 2,FALSE)</f>
        <v>Completed</v>
      </c>
      <c r="P1033" s="2" t="s">
        <v>46</v>
      </c>
      <c r="Q1033" s="2">
        <v>5</v>
      </c>
      <c r="R1033" s="2" t="s">
        <v>24</v>
      </c>
      <c r="S1033" s="11" t="str">
        <f t="shared" si="83"/>
        <v>Bagus</v>
      </c>
      <c r="T1033" s="2" t="str">
        <f t="shared" si="84"/>
        <v>Sangat Rendah</v>
      </c>
    </row>
    <row r="1034" spans="1:20" ht="15.75" customHeight="1" x14ac:dyDescent="0.3">
      <c r="A1034" s="4" t="s">
        <v>1358</v>
      </c>
      <c r="B1034" s="3">
        <v>45735.826261574082</v>
      </c>
      <c r="C1034" s="2" t="s">
        <v>1359</v>
      </c>
      <c r="D1034" s="2" t="s">
        <v>375</v>
      </c>
      <c r="E1034" s="2" t="s">
        <v>58</v>
      </c>
      <c r="F1034" s="2">
        <v>16000</v>
      </c>
      <c r="G1034" s="2">
        <v>5</v>
      </c>
      <c r="H1034" s="2">
        <v>0</v>
      </c>
      <c r="I1034">
        <f t="shared" si="80"/>
        <v>80000</v>
      </c>
      <c r="J1034">
        <f t="shared" si="81"/>
        <v>0</v>
      </c>
      <c r="K1034" s="6">
        <f t="shared" si="82"/>
        <v>80000</v>
      </c>
      <c r="L1034" s="2">
        <v>21000</v>
      </c>
      <c r="M1034" s="6">
        <f>Table1[[#This Row],[Total Sales]]+Table1[[#This Row],[Shipping Fee]]</f>
        <v>101000</v>
      </c>
      <c r="N1034" s="2" t="s">
        <v>22</v>
      </c>
      <c r="O1034" t="str">
        <f>VLOOKUP(Table1[[#This Row],[Order ID]],Status!A:B, 2,FALSE)</f>
        <v>Completed</v>
      </c>
      <c r="P1034" s="2" t="s">
        <v>23</v>
      </c>
      <c r="Q1034" s="2">
        <v>5</v>
      </c>
      <c r="R1034" s="2" t="s">
        <v>24</v>
      </c>
      <c r="S1034" s="11" t="str">
        <f t="shared" si="83"/>
        <v>Bagus</v>
      </c>
      <c r="T1034" s="2" t="str">
        <f t="shared" si="84"/>
        <v>Sangat Rendah</v>
      </c>
    </row>
    <row r="1035" spans="1:20" ht="15.75" customHeight="1" x14ac:dyDescent="0.3">
      <c r="A1035" s="4" t="s">
        <v>1357</v>
      </c>
      <c r="B1035" s="3">
        <v>45735.684131944443</v>
      </c>
      <c r="C1035" s="2" t="s">
        <v>461</v>
      </c>
      <c r="D1035" s="2" t="s">
        <v>92</v>
      </c>
      <c r="E1035" s="2" t="s">
        <v>50</v>
      </c>
      <c r="F1035" s="2">
        <v>14000</v>
      </c>
      <c r="G1035" s="2">
        <v>3</v>
      </c>
      <c r="H1035" s="2">
        <v>15</v>
      </c>
      <c r="I1035">
        <f t="shared" si="80"/>
        <v>42000</v>
      </c>
      <c r="J1035">
        <f t="shared" si="81"/>
        <v>6300</v>
      </c>
      <c r="K1035" s="6">
        <f t="shared" si="82"/>
        <v>35700</v>
      </c>
      <c r="L1035" s="2">
        <v>30000</v>
      </c>
      <c r="M1035" s="6">
        <f>Table1[[#This Row],[Total Sales]]+Table1[[#This Row],[Shipping Fee]]</f>
        <v>65700</v>
      </c>
      <c r="N1035" s="2" t="s">
        <v>22</v>
      </c>
      <c r="O1035" t="str">
        <f>VLOOKUP(Table1[[#This Row],[Order ID]],Status!A:B, 2,FALSE)</f>
        <v>Completed</v>
      </c>
      <c r="P1035" s="2" t="s">
        <v>46</v>
      </c>
      <c r="Q1035" s="2">
        <v>5</v>
      </c>
      <c r="R1035" s="2" t="s">
        <v>37</v>
      </c>
      <c r="S1035" s="11" t="str">
        <f t="shared" si="83"/>
        <v>Bagus</v>
      </c>
      <c r="T1035" s="2" t="str">
        <f t="shared" si="84"/>
        <v>Rendah</v>
      </c>
    </row>
    <row r="1036" spans="1:20" ht="15.75" customHeight="1" x14ac:dyDescent="0.3">
      <c r="A1036" s="4" t="s">
        <v>1356</v>
      </c>
      <c r="B1036" s="3">
        <v>45735.5234837963</v>
      </c>
      <c r="C1036" s="2" t="s">
        <v>557</v>
      </c>
      <c r="D1036" s="2" t="s">
        <v>173</v>
      </c>
      <c r="E1036" s="2" t="s">
        <v>250</v>
      </c>
      <c r="F1036" s="2">
        <v>18000</v>
      </c>
      <c r="G1036" s="2">
        <v>3</v>
      </c>
      <c r="H1036" s="2">
        <v>0</v>
      </c>
      <c r="I1036">
        <f t="shared" si="80"/>
        <v>54000</v>
      </c>
      <c r="J1036">
        <f t="shared" si="81"/>
        <v>0</v>
      </c>
      <c r="K1036" s="6">
        <f t="shared" si="82"/>
        <v>54000</v>
      </c>
      <c r="L1036" s="2">
        <v>49000</v>
      </c>
      <c r="M1036" s="6">
        <f>Table1[[#This Row],[Total Sales]]+Table1[[#This Row],[Shipping Fee]]</f>
        <v>103000</v>
      </c>
      <c r="N1036" s="2" t="s">
        <v>22</v>
      </c>
      <c r="O1036" t="str">
        <f>VLOOKUP(Table1[[#This Row],[Order ID]],Status!A:B, 2,FALSE)</f>
        <v>Completed</v>
      </c>
      <c r="P1036" s="2" t="s">
        <v>30</v>
      </c>
      <c r="Q1036" s="2">
        <v>3</v>
      </c>
      <c r="R1036" s="2" t="s">
        <v>24</v>
      </c>
      <c r="S1036" s="11" t="str">
        <f t="shared" si="83"/>
        <v>Standar</v>
      </c>
      <c r="T1036" s="2" t="str">
        <f t="shared" si="84"/>
        <v>Sangat Rendah</v>
      </c>
    </row>
    <row r="1037" spans="1:20" ht="15.75" customHeight="1" x14ac:dyDescent="0.3">
      <c r="A1037" s="4" t="s">
        <v>1355</v>
      </c>
      <c r="B1037" s="3">
        <v>45735.488240740742</v>
      </c>
      <c r="C1037" s="2" t="s">
        <v>73</v>
      </c>
      <c r="D1037" s="2" t="s">
        <v>74</v>
      </c>
      <c r="E1037" s="2" t="s">
        <v>54</v>
      </c>
      <c r="F1037" s="2">
        <v>16000</v>
      </c>
      <c r="G1037" s="2">
        <v>2</v>
      </c>
      <c r="H1037" s="2">
        <v>10</v>
      </c>
      <c r="I1037">
        <f t="shared" si="80"/>
        <v>32000</v>
      </c>
      <c r="J1037">
        <f t="shared" si="81"/>
        <v>3200</v>
      </c>
      <c r="K1037" s="6">
        <f t="shared" si="82"/>
        <v>28800</v>
      </c>
      <c r="L1037" s="2">
        <v>87000</v>
      </c>
      <c r="M1037" s="6">
        <f>Table1[[#This Row],[Total Sales]]+Table1[[#This Row],[Shipping Fee]]</f>
        <v>115800</v>
      </c>
      <c r="N1037" s="2" t="s">
        <v>63</v>
      </c>
      <c r="O1037" t="str">
        <f>VLOOKUP(Table1[[#This Row],[Order ID]],Status!A:B, 2,FALSE)</f>
        <v>Completed</v>
      </c>
      <c r="P1037" s="2" t="s">
        <v>23</v>
      </c>
      <c r="Q1037" s="2">
        <v>4</v>
      </c>
      <c r="R1037" s="2" t="s">
        <v>24</v>
      </c>
      <c r="S1037" s="11" t="str">
        <f t="shared" si="83"/>
        <v>Bagus</v>
      </c>
      <c r="T1037" s="2" t="str">
        <f t="shared" si="84"/>
        <v>Sangat Rendah</v>
      </c>
    </row>
    <row r="1038" spans="1:20" ht="15.75" customHeight="1" x14ac:dyDescent="0.3">
      <c r="A1038" s="4" t="s">
        <v>1354</v>
      </c>
      <c r="B1038" s="3">
        <v>45734.971296296288</v>
      </c>
      <c r="C1038" s="2" t="s">
        <v>209</v>
      </c>
      <c r="D1038" s="2" t="s">
        <v>143</v>
      </c>
      <c r="E1038" s="2" t="s">
        <v>190</v>
      </c>
      <c r="F1038" s="2">
        <v>35000</v>
      </c>
      <c r="G1038" s="2">
        <v>5</v>
      </c>
      <c r="H1038" s="2">
        <v>10</v>
      </c>
      <c r="I1038">
        <f t="shared" si="80"/>
        <v>175000</v>
      </c>
      <c r="J1038">
        <f t="shared" si="81"/>
        <v>17500</v>
      </c>
      <c r="K1038" s="6">
        <f t="shared" si="82"/>
        <v>157500</v>
      </c>
      <c r="L1038" s="2">
        <v>50000</v>
      </c>
      <c r="M1038" s="6">
        <f>Table1[[#This Row],[Total Sales]]+Table1[[#This Row],[Shipping Fee]]</f>
        <v>207500</v>
      </c>
      <c r="N1038" s="2" t="s">
        <v>22</v>
      </c>
      <c r="O1038" t="str">
        <f>VLOOKUP(Table1[[#This Row],[Order ID]],Status!A:B, 2,FALSE)</f>
        <v>Completed</v>
      </c>
      <c r="P1038" s="2" t="s">
        <v>82</v>
      </c>
      <c r="Q1038" s="2">
        <v>5</v>
      </c>
      <c r="R1038" s="2" t="s">
        <v>37</v>
      </c>
      <c r="S1038" s="11" t="str">
        <f t="shared" si="83"/>
        <v>Bagus</v>
      </c>
      <c r="T1038" s="2" t="str">
        <f t="shared" si="84"/>
        <v>Normal</v>
      </c>
    </row>
    <row r="1039" spans="1:20" ht="15.75" customHeight="1" x14ac:dyDescent="0.3">
      <c r="A1039" s="4" t="s">
        <v>1353</v>
      </c>
      <c r="B1039" s="3">
        <v>45734.5075</v>
      </c>
      <c r="C1039" s="2" t="s">
        <v>1117</v>
      </c>
      <c r="D1039" s="2" t="s">
        <v>126</v>
      </c>
      <c r="E1039" s="2" t="s">
        <v>186</v>
      </c>
      <c r="F1039" s="2">
        <v>45000</v>
      </c>
      <c r="G1039" s="2">
        <v>5</v>
      </c>
      <c r="H1039" s="2">
        <v>10</v>
      </c>
      <c r="I1039">
        <f t="shared" si="80"/>
        <v>225000</v>
      </c>
      <c r="J1039">
        <f t="shared" si="81"/>
        <v>22500</v>
      </c>
      <c r="K1039" s="6">
        <f t="shared" si="82"/>
        <v>202500</v>
      </c>
      <c r="L1039" s="2">
        <v>84000</v>
      </c>
      <c r="M1039" s="6">
        <f>Table1[[#This Row],[Total Sales]]+Table1[[#This Row],[Shipping Fee]]</f>
        <v>286500</v>
      </c>
      <c r="N1039" s="2" t="s">
        <v>35</v>
      </c>
      <c r="O1039" t="str">
        <f>VLOOKUP(Table1[[#This Row],[Order ID]],Status!A:B, 2,FALSE)</f>
        <v>Completed</v>
      </c>
      <c r="P1039" s="2" t="s">
        <v>30</v>
      </c>
      <c r="Q1039" s="2">
        <v>1</v>
      </c>
      <c r="R1039" s="2" t="s">
        <v>24</v>
      </c>
      <c r="S1039" s="11" t="str">
        <f t="shared" si="83"/>
        <v>Rendah</v>
      </c>
      <c r="T1039" s="2" t="str">
        <f t="shared" si="84"/>
        <v>Tinggi</v>
      </c>
    </row>
    <row r="1040" spans="1:20" ht="15.75" customHeight="1" x14ac:dyDescent="0.3">
      <c r="A1040" s="4" t="s">
        <v>1352</v>
      </c>
      <c r="B1040" s="3">
        <v>45734.148993055547</v>
      </c>
      <c r="C1040" s="2" t="s">
        <v>419</v>
      </c>
      <c r="D1040" s="2" t="s">
        <v>103</v>
      </c>
      <c r="E1040" s="2" t="s">
        <v>62</v>
      </c>
      <c r="F1040" s="2">
        <v>50000</v>
      </c>
      <c r="G1040" s="2">
        <v>4</v>
      </c>
      <c r="H1040" s="2">
        <v>15</v>
      </c>
      <c r="I1040">
        <f t="shared" si="80"/>
        <v>200000</v>
      </c>
      <c r="J1040">
        <f t="shared" si="81"/>
        <v>30000</v>
      </c>
      <c r="K1040" s="6">
        <f t="shared" si="82"/>
        <v>170000</v>
      </c>
      <c r="L1040" s="2">
        <v>85000</v>
      </c>
      <c r="M1040" s="6">
        <f>Table1[[#This Row],[Total Sales]]+Table1[[#This Row],[Shipping Fee]]</f>
        <v>255000</v>
      </c>
      <c r="N1040" s="2" t="s">
        <v>29</v>
      </c>
      <c r="O1040" t="str">
        <f>VLOOKUP(Table1[[#This Row],[Order ID]],Status!A:B, 2,FALSE)</f>
        <v>Completed</v>
      </c>
      <c r="P1040" s="2" t="s">
        <v>82</v>
      </c>
      <c r="Q1040" s="2">
        <v>1</v>
      </c>
      <c r="R1040" s="2" t="s">
        <v>37</v>
      </c>
      <c r="S1040" s="11" t="str">
        <f t="shared" si="83"/>
        <v>Rendah</v>
      </c>
      <c r="T1040" s="2" t="str">
        <f t="shared" si="84"/>
        <v>Tinggi</v>
      </c>
    </row>
    <row r="1041" spans="1:20" ht="15.75" customHeight="1" x14ac:dyDescent="0.3">
      <c r="A1041" s="4" t="s">
        <v>1351</v>
      </c>
      <c r="B1041" s="3">
        <v>45733.356956018521</v>
      </c>
      <c r="C1041" s="2" t="s">
        <v>922</v>
      </c>
      <c r="D1041" s="2" t="s">
        <v>33</v>
      </c>
      <c r="E1041" s="2" t="s">
        <v>21</v>
      </c>
      <c r="F1041" s="2">
        <v>45000</v>
      </c>
      <c r="G1041" s="2">
        <v>3</v>
      </c>
      <c r="H1041" s="2">
        <v>5</v>
      </c>
      <c r="I1041">
        <f t="shared" si="80"/>
        <v>135000</v>
      </c>
      <c r="J1041">
        <f t="shared" si="81"/>
        <v>6750</v>
      </c>
      <c r="K1041" s="6">
        <f t="shared" si="82"/>
        <v>128250</v>
      </c>
      <c r="L1041" s="2">
        <v>76000</v>
      </c>
      <c r="M1041" s="6">
        <f>Table1[[#This Row],[Total Sales]]+Table1[[#This Row],[Shipping Fee]]</f>
        <v>204250</v>
      </c>
      <c r="N1041" s="2" t="s">
        <v>29</v>
      </c>
      <c r="O1041" t="str">
        <f>VLOOKUP(Table1[[#This Row],[Order ID]],Status!A:B, 2,FALSE)</f>
        <v>Completed</v>
      </c>
      <c r="P1041" s="2" t="s">
        <v>30</v>
      </c>
      <c r="Q1041" s="2">
        <v>2</v>
      </c>
      <c r="R1041" s="2" t="s">
        <v>37</v>
      </c>
      <c r="S1041" s="11" t="str">
        <f t="shared" si="83"/>
        <v>Rendah</v>
      </c>
      <c r="T1041" s="2" t="str">
        <f t="shared" si="84"/>
        <v>Rendah</v>
      </c>
    </row>
    <row r="1042" spans="1:20" ht="15.75" customHeight="1" x14ac:dyDescent="0.3">
      <c r="A1042" s="4" t="s">
        <v>1350</v>
      </c>
      <c r="B1042" s="3">
        <v>45732.608958333331</v>
      </c>
      <c r="C1042" s="2" t="s">
        <v>443</v>
      </c>
      <c r="D1042" s="2" t="s">
        <v>53</v>
      </c>
      <c r="E1042" s="2" t="s">
        <v>67</v>
      </c>
      <c r="F1042" s="2">
        <v>15000</v>
      </c>
      <c r="G1042" s="2">
        <v>4</v>
      </c>
      <c r="H1042" s="2">
        <v>10</v>
      </c>
      <c r="I1042">
        <f t="shared" si="80"/>
        <v>60000</v>
      </c>
      <c r="J1042">
        <f t="shared" si="81"/>
        <v>6000</v>
      </c>
      <c r="K1042" s="6">
        <f t="shared" si="82"/>
        <v>54000</v>
      </c>
      <c r="L1042" s="2">
        <v>18000</v>
      </c>
      <c r="M1042" s="6">
        <f>Table1[[#This Row],[Total Sales]]+Table1[[#This Row],[Shipping Fee]]</f>
        <v>72000</v>
      </c>
      <c r="N1042" s="2" t="s">
        <v>35</v>
      </c>
      <c r="O1042" t="str">
        <f>VLOOKUP(Table1[[#This Row],[Order ID]],Status!A:B, 2,FALSE)</f>
        <v>Cancelled</v>
      </c>
      <c r="P1042" s="2" t="s">
        <v>23</v>
      </c>
      <c r="Q1042" s="2">
        <v>1</v>
      </c>
      <c r="R1042" s="2" t="s">
        <v>24</v>
      </c>
      <c r="S1042" s="11" t="str">
        <f t="shared" si="83"/>
        <v>Rendah</v>
      </c>
      <c r="T1042" s="2" t="str">
        <f t="shared" si="84"/>
        <v>Rendah</v>
      </c>
    </row>
    <row r="1043" spans="1:20" ht="15.75" customHeight="1" x14ac:dyDescent="0.3">
      <c r="A1043" s="4" t="s">
        <v>1349</v>
      </c>
      <c r="B1043" s="3">
        <v>45732.50613425926</v>
      </c>
      <c r="C1043" s="2" t="s">
        <v>374</v>
      </c>
      <c r="D1043" s="2" t="s">
        <v>375</v>
      </c>
      <c r="E1043" s="2" t="s">
        <v>190</v>
      </c>
      <c r="F1043" s="2">
        <v>35000</v>
      </c>
      <c r="G1043" s="2">
        <v>3</v>
      </c>
      <c r="H1043" s="2">
        <v>5</v>
      </c>
      <c r="I1043">
        <f t="shared" si="80"/>
        <v>105000</v>
      </c>
      <c r="J1043">
        <f t="shared" si="81"/>
        <v>5250</v>
      </c>
      <c r="K1043" s="6">
        <f t="shared" si="82"/>
        <v>99750</v>
      </c>
      <c r="L1043" s="2">
        <v>21000</v>
      </c>
      <c r="M1043" s="6">
        <f>Table1[[#This Row],[Total Sales]]+Table1[[#This Row],[Shipping Fee]]</f>
        <v>120750</v>
      </c>
      <c r="N1043" s="2" t="s">
        <v>29</v>
      </c>
      <c r="O1043" t="str">
        <f>VLOOKUP(Table1[[#This Row],[Order ID]],Status!A:B, 2,FALSE)</f>
        <v>Completed</v>
      </c>
      <c r="P1043" s="2" t="s">
        <v>82</v>
      </c>
      <c r="Q1043" s="2">
        <v>5</v>
      </c>
      <c r="R1043" s="2" t="s">
        <v>37</v>
      </c>
      <c r="S1043" s="11" t="str">
        <f t="shared" si="83"/>
        <v>Bagus</v>
      </c>
      <c r="T1043" s="2" t="str">
        <f t="shared" si="84"/>
        <v>Rendah</v>
      </c>
    </row>
    <row r="1044" spans="1:20" ht="15.75" customHeight="1" x14ac:dyDescent="0.3">
      <c r="A1044" s="4" t="s">
        <v>1347</v>
      </c>
      <c r="B1044" s="3">
        <v>45732.344641203701</v>
      </c>
      <c r="C1044" s="2" t="s">
        <v>1348</v>
      </c>
      <c r="D1044" s="2" t="s">
        <v>296</v>
      </c>
      <c r="E1044" s="2" t="s">
        <v>38</v>
      </c>
      <c r="F1044" s="2">
        <v>28000</v>
      </c>
      <c r="G1044" s="2">
        <v>2</v>
      </c>
      <c r="H1044" s="2">
        <v>10</v>
      </c>
      <c r="I1044">
        <f t="shared" si="80"/>
        <v>56000</v>
      </c>
      <c r="J1044">
        <f t="shared" si="81"/>
        <v>5600</v>
      </c>
      <c r="K1044" s="6">
        <f t="shared" si="82"/>
        <v>50400</v>
      </c>
      <c r="L1044" s="2">
        <v>79000</v>
      </c>
      <c r="M1044" s="6">
        <f>Table1[[#This Row],[Total Sales]]+Table1[[#This Row],[Shipping Fee]]</f>
        <v>129400</v>
      </c>
      <c r="N1044" s="2" t="s">
        <v>29</v>
      </c>
      <c r="O1044" t="str">
        <f>VLOOKUP(Table1[[#This Row],[Order ID]],Status!A:B, 2,FALSE)</f>
        <v>Returned</v>
      </c>
      <c r="P1044" s="2" t="s">
        <v>30</v>
      </c>
      <c r="Q1044" s="2">
        <v>3</v>
      </c>
      <c r="R1044" s="2" t="s">
        <v>24</v>
      </c>
      <c r="S1044" s="11" t="str">
        <f t="shared" si="83"/>
        <v>Standar</v>
      </c>
      <c r="T1044" s="2" t="str">
        <f t="shared" si="84"/>
        <v>Rendah</v>
      </c>
    </row>
    <row r="1045" spans="1:20" ht="15.75" customHeight="1" x14ac:dyDescent="0.3">
      <c r="A1045" s="4" t="s">
        <v>1346</v>
      </c>
      <c r="B1045" s="3">
        <v>45732.265682870369</v>
      </c>
      <c r="C1045" s="2" t="s">
        <v>100</v>
      </c>
      <c r="D1045" s="2" t="s">
        <v>66</v>
      </c>
      <c r="E1045" s="2" t="s">
        <v>174</v>
      </c>
      <c r="F1045" s="2">
        <v>10000</v>
      </c>
      <c r="G1045" s="2">
        <v>2</v>
      </c>
      <c r="H1045" s="2">
        <v>15</v>
      </c>
      <c r="I1045">
        <f t="shared" si="80"/>
        <v>20000</v>
      </c>
      <c r="J1045">
        <f t="shared" si="81"/>
        <v>3000</v>
      </c>
      <c r="K1045" s="6">
        <f t="shared" si="82"/>
        <v>17000</v>
      </c>
      <c r="L1045" s="2">
        <v>59000</v>
      </c>
      <c r="M1045" s="6">
        <f>Table1[[#This Row],[Total Sales]]+Table1[[#This Row],[Shipping Fee]]</f>
        <v>76000</v>
      </c>
      <c r="N1045" s="2" t="s">
        <v>63</v>
      </c>
      <c r="O1045" t="str">
        <f>VLOOKUP(Table1[[#This Row],[Order ID]],Status!A:B, 2,FALSE)</f>
        <v>Completed</v>
      </c>
      <c r="P1045" s="2" t="s">
        <v>30</v>
      </c>
      <c r="Q1045" s="2">
        <v>4</v>
      </c>
      <c r="R1045" s="2" t="s">
        <v>24</v>
      </c>
      <c r="S1045" s="11" t="str">
        <f t="shared" si="83"/>
        <v>Bagus</v>
      </c>
      <c r="T1045" s="2" t="str">
        <f t="shared" si="84"/>
        <v>Sangat Rendah</v>
      </c>
    </row>
    <row r="1046" spans="1:20" ht="15.75" customHeight="1" x14ac:dyDescent="0.3">
      <c r="A1046" s="4" t="s">
        <v>1345</v>
      </c>
      <c r="B1046" s="3">
        <v>45731.982557870368</v>
      </c>
      <c r="C1046" s="2" t="s">
        <v>834</v>
      </c>
      <c r="D1046" s="2" t="s">
        <v>177</v>
      </c>
      <c r="E1046" s="2" t="s">
        <v>34</v>
      </c>
      <c r="F1046" s="2">
        <v>16000</v>
      </c>
      <c r="G1046" s="2">
        <v>5</v>
      </c>
      <c r="H1046" s="2">
        <v>15</v>
      </c>
      <c r="I1046">
        <f t="shared" si="80"/>
        <v>80000</v>
      </c>
      <c r="J1046">
        <f t="shared" si="81"/>
        <v>12000</v>
      </c>
      <c r="K1046" s="6">
        <f t="shared" si="82"/>
        <v>68000</v>
      </c>
      <c r="L1046" s="2">
        <v>56000</v>
      </c>
      <c r="M1046" s="6">
        <f>Table1[[#This Row],[Total Sales]]+Table1[[#This Row],[Shipping Fee]]</f>
        <v>124000</v>
      </c>
      <c r="N1046" s="2" t="s">
        <v>22</v>
      </c>
      <c r="O1046" t="str">
        <f>VLOOKUP(Table1[[#This Row],[Order ID]],Status!A:B, 2,FALSE)</f>
        <v>Completed</v>
      </c>
      <c r="P1046" s="2" t="s">
        <v>46</v>
      </c>
      <c r="Q1046" s="2">
        <v>4</v>
      </c>
      <c r="R1046" s="2" t="s">
        <v>37</v>
      </c>
      <c r="S1046" s="11" t="str">
        <f t="shared" si="83"/>
        <v>Bagus</v>
      </c>
      <c r="T1046" s="2" t="str">
        <f t="shared" si="84"/>
        <v>Normal</v>
      </c>
    </row>
    <row r="1047" spans="1:20" ht="15.75" customHeight="1" x14ac:dyDescent="0.3">
      <c r="A1047" s="4" t="s">
        <v>1344</v>
      </c>
      <c r="B1047" s="3">
        <v>45731.654363425929</v>
      </c>
      <c r="C1047" s="2" t="s">
        <v>654</v>
      </c>
      <c r="D1047" s="2" t="s">
        <v>375</v>
      </c>
      <c r="E1047" s="2" t="s">
        <v>21</v>
      </c>
      <c r="F1047" s="2">
        <v>45000</v>
      </c>
      <c r="G1047" s="2">
        <v>5</v>
      </c>
      <c r="H1047" s="2">
        <v>20</v>
      </c>
      <c r="I1047">
        <f t="shared" si="80"/>
        <v>225000</v>
      </c>
      <c r="J1047">
        <f t="shared" si="81"/>
        <v>45000</v>
      </c>
      <c r="K1047" s="6">
        <f t="shared" si="82"/>
        <v>180000</v>
      </c>
      <c r="L1047" s="2">
        <v>21000</v>
      </c>
      <c r="M1047" s="6">
        <f>Table1[[#This Row],[Total Sales]]+Table1[[#This Row],[Shipping Fee]]</f>
        <v>201000</v>
      </c>
      <c r="N1047" s="2" t="s">
        <v>22</v>
      </c>
      <c r="O1047" t="str">
        <f>VLOOKUP(Table1[[#This Row],[Order ID]],Status!A:B, 2,FALSE)</f>
        <v>Completed</v>
      </c>
      <c r="P1047" s="2" t="s">
        <v>82</v>
      </c>
      <c r="Q1047" s="2">
        <v>2</v>
      </c>
      <c r="R1047" s="2" t="s">
        <v>24</v>
      </c>
      <c r="S1047" s="11" t="str">
        <f t="shared" si="83"/>
        <v>Rendah</v>
      </c>
      <c r="T1047" s="2" t="str">
        <f t="shared" si="84"/>
        <v>Sangat Tinggi</v>
      </c>
    </row>
    <row r="1048" spans="1:20" ht="15.75" customHeight="1" x14ac:dyDescent="0.3">
      <c r="A1048" s="4" t="s">
        <v>1343</v>
      </c>
      <c r="B1048" s="3">
        <v>45731.567349537043</v>
      </c>
      <c r="C1048" s="2" t="s">
        <v>549</v>
      </c>
      <c r="D1048" s="2" t="s">
        <v>107</v>
      </c>
      <c r="E1048" s="2" t="s">
        <v>71</v>
      </c>
      <c r="F1048" s="2">
        <v>40000</v>
      </c>
      <c r="G1048" s="2">
        <v>5</v>
      </c>
      <c r="H1048" s="2">
        <v>5</v>
      </c>
      <c r="I1048">
        <f t="shared" si="80"/>
        <v>200000</v>
      </c>
      <c r="J1048">
        <f t="shared" si="81"/>
        <v>10000</v>
      </c>
      <c r="K1048" s="6">
        <f t="shared" si="82"/>
        <v>190000</v>
      </c>
      <c r="L1048" s="2">
        <v>97000</v>
      </c>
      <c r="M1048" s="6">
        <f>Table1[[#This Row],[Total Sales]]+Table1[[#This Row],[Shipping Fee]]</f>
        <v>287000</v>
      </c>
      <c r="N1048" s="2" t="s">
        <v>22</v>
      </c>
      <c r="O1048" t="str">
        <f>VLOOKUP(Table1[[#This Row],[Order ID]],Status!A:B, 2,FALSE)</f>
        <v>Completed</v>
      </c>
      <c r="P1048" s="2" t="s">
        <v>82</v>
      </c>
      <c r="Q1048" s="2">
        <v>4</v>
      </c>
      <c r="R1048" s="2" t="s">
        <v>24</v>
      </c>
      <c r="S1048" s="11" t="str">
        <f t="shared" si="83"/>
        <v>Bagus</v>
      </c>
      <c r="T1048" s="2" t="str">
        <f t="shared" si="84"/>
        <v>Rendah</v>
      </c>
    </row>
    <row r="1049" spans="1:20" ht="15.75" customHeight="1" x14ac:dyDescent="0.3">
      <c r="A1049" s="4" t="s">
        <v>1342</v>
      </c>
      <c r="B1049" s="3">
        <v>45731.530219907407</v>
      </c>
      <c r="C1049" s="2" t="s">
        <v>508</v>
      </c>
      <c r="D1049" s="2" t="s">
        <v>20</v>
      </c>
      <c r="E1049" s="2" t="s">
        <v>62</v>
      </c>
      <c r="F1049" s="2">
        <v>50000</v>
      </c>
      <c r="G1049" s="2">
        <v>1</v>
      </c>
      <c r="H1049" s="2">
        <v>15</v>
      </c>
      <c r="I1049">
        <f t="shared" si="80"/>
        <v>50000</v>
      </c>
      <c r="J1049">
        <f t="shared" si="81"/>
        <v>7500</v>
      </c>
      <c r="K1049" s="6">
        <f t="shared" si="82"/>
        <v>42500</v>
      </c>
      <c r="L1049" s="2">
        <v>15000</v>
      </c>
      <c r="M1049" s="6">
        <f>Table1[[#This Row],[Total Sales]]+Table1[[#This Row],[Shipping Fee]]</f>
        <v>57500</v>
      </c>
      <c r="N1049" s="2" t="s">
        <v>22</v>
      </c>
      <c r="O1049" t="str">
        <f>VLOOKUP(Table1[[#This Row],[Order ID]],Status!A:B, 2,FALSE)</f>
        <v>Completed</v>
      </c>
      <c r="P1049" s="2" t="s">
        <v>36</v>
      </c>
      <c r="Q1049" s="2">
        <v>3</v>
      </c>
      <c r="R1049" s="2" t="s">
        <v>37</v>
      </c>
      <c r="S1049" s="11" t="str">
        <f t="shared" si="83"/>
        <v>Standar</v>
      </c>
      <c r="T1049" s="2" t="str">
        <f t="shared" si="84"/>
        <v>Rendah</v>
      </c>
    </row>
    <row r="1050" spans="1:20" ht="15.75" customHeight="1" x14ac:dyDescent="0.3">
      <c r="A1050" s="4" t="s">
        <v>1340</v>
      </c>
      <c r="B1050" s="3">
        <v>45731.37128472222</v>
      </c>
      <c r="C1050" s="2" t="s">
        <v>1341</v>
      </c>
      <c r="D1050" s="2" t="s">
        <v>107</v>
      </c>
      <c r="E1050" s="2" t="s">
        <v>41</v>
      </c>
      <c r="F1050" s="2">
        <v>4000</v>
      </c>
      <c r="G1050" s="2">
        <v>3</v>
      </c>
      <c r="H1050" s="2">
        <v>10</v>
      </c>
      <c r="I1050">
        <f t="shared" si="80"/>
        <v>12000</v>
      </c>
      <c r="J1050">
        <f t="shared" si="81"/>
        <v>1200</v>
      </c>
      <c r="K1050" s="6">
        <f t="shared" si="82"/>
        <v>10800</v>
      </c>
      <c r="L1050" s="2">
        <v>97000</v>
      </c>
      <c r="M1050" s="6">
        <f>Table1[[#This Row],[Total Sales]]+Table1[[#This Row],[Shipping Fee]]</f>
        <v>107800</v>
      </c>
      <c r="N1050" s="2" t="s">
        <v>29</v>
      </c>
      <c r="O1050" t="str">
        <f>VLOOKUP(Table1[[#This Row],[Order ID]],Status!A:B, 2,FALSE)</f>
        <v>Cancelled</v>
      </c>
      <c r="P1050" s="2" t="s">
        <v>23</v>
      </c>
      <c r="Q1050" s="2">
        <v>5</v>
      </c>
      <c r="R1050" s="2" t="s">
        <v>37</v>
      </c>
      <c r="S1050" s="11" t="str">
        <f t="shared" si="83"/>
        <v>Bagus</v>
      </c>
      <c r="T1050" s="2" t="str">
        <f t="shared" si="84"/>
        <v>Sangat Rendah</v>
      </c>
    </row>
    <row r="1051" spans="1:20" ht="15.75" customHeight="1" x14ac:dyDescent="0.3">
      <c r="A1051" s="4" t="s">
        <v>1339</v>
      </c>
      <c r="B1051" s="3">
        <v>45731.311550925922</v>
      </c>
      <c r="C1051" s="2" t="s">
        <v>523</v>
      </c>
      <c r="D1051" s="2" t="s">
        <v>113</v>
      </c>
      <c r="E1051" s="2" t="s">
        <v>186</v>
      </c>
      <c r="F1051" s="2">
        <v>45000</v>
      </c>
      <c r="G1051" s="2">
        <v>2</v>
      </c>
      <c r="H1051" s="2">
        <v>0</v>
      </c>
      <c r="I1051">
        <f t="shared" si="80"/>
        <v>90000</v>
      </c>
      <c r="J1051">
        <f t="shared" si="81"/>
        <v>0</v>
      </c>
      <c r="K1051" s="6">
        <f t="shared" si="82"/>
        <v>90000</v>
      </c>
      <c r="L1051" s="2">
        <v>18000</v>
      </c>
      <c r="M1051" s="6">
        <f>Table1[[#This Row],[Total Sales]]+Table1[[#This Row],[Shipping Fee]]</f>
        <v>108000</v>
      </c>
      <c r="N1051" s="2" t="s">
        <v>29</v>
      </c>
      <c r="O1051" t="str">
        <f>VLOOKUP(Table1[[#This Row],[Order ID]],Status!A:B, 2,FALSE)</f>
        <v>Completed</v>
      </c>
      <c r="P1051" s="2" t="s">
        <v>82</v>
      </c>
      <c r="Q1051" s="2">
        <v>3</v>
      </c>
      <c r="R1051" s="2" t="s">
        <v>24</v>
      </c>
      <c r="S1051" s="11" t="str">
        <f t="shared" si="83"/>
        <v>Standar</v>
      </c>
      <c r="T1051" s="2" t="str">
        <f t="shared" si="84"/>
        <v>Sangat Rendah</v>
      </c>
    </row>
    <row r="1052" spans="1:20" ht="15.75" customHeight="1" x14ac:dyDescent="0.3">
      <c r="A1052" s="4" t="s">
        <v>1338</v>
      </c>
      <c r="B1052" s="3">
        <v>45731.278726851851</v>
      </c>
      <c r="C1052" s="2" t="s">
        <v>1087</v>
      </c>
      <c r="D1052" s="2" t="s">
        <v>143</v>
      </c>
      <c r="E1052" s="2" t="s">
        <v>85</v>
      </c>
      <c r="F1052" s="2">
        <v>35000</v>
      </c>
      <c r="G1052" s="2">
        <v>1</v>
      </c>
      <c r="H1052" s="2">
        <v>5</v>
      </c>
      <c r="I1052">
        <f t="shared" si="80"/>
        <v>35000</v>
      </c>
      <c r="J1052">
        <f t="shared" si="81"/>
        <v>1750</v>
      </c>
      <c r="K1052" s="6">
        <f t="shared" si="82"/>
        <v>33250</v>
      </c>
      <c r="L1052" s="2">
        <v>50000</v>
      </c>
      <c r="M1052" s="6">
        <f>Table1[[#This Row],[Total Sales]]+Table1[[#This Row],[Shipping Fee]]</f>
        <v>83250</v>
      </c>
      <c r="N1052" s="2" t="s">
        <v>22</v>
      </c>
      <c r="O1052" t="str">
        <f>VLOOKUP(Table1[[#This Row],[Order ID]],Status!A:B, 2,FALSE)</f>
        <v>Completed</v>
      </c>
      <c r="P1052" s="2" t="s">
        <v>82</v>
      </c>
      <c r="Q1052" s="2">
        <v>5</v>
      </c>
      <c r="R1052" s="2" t="s">
        <v>24</v>
      </c>
      <c r="S1052" s="11" t="str">
        <f t="shared" si="83"/>
        <v>Bagus</v>
      </c>
      <c r="T1052" s="2" t="str">
        <f t="shared" si="84"/>
        <v>Sangat Rendah</v>
      </c>
    </row>
    <row r="1053" spans="1:20" ht="15.75" customHeight="1" x14ac:dyDescent="0.3">
      <c r="A1053" s="4" t="s">
        <v>1337</v>
      </c>
      <c r="B1053" s="3">
        <v>45731.213993055557</v>
      </c>
      <c r="C1053" s="2" t="s">
        <v>544</v>
      </c>
      <c r="D1053" s="2" t="s">
        <v>163</v>
      </c>
      <c r="E1053" s="2" t="s">
        <v>88</v>
      </c>
      <c r="F1053" s="2">
        <v>14000</v>
      </c>
      <c r="G1053" s="2">
        <v>4</v>
      </c>
      <c r="H1053" s="2">
        <v>0</v>
      </c>
      <c r="I1053">
        <f t="shared" si="80"/>
        <v>56000</v>
      </c>
      <c r="J1053">
        <f t="shared" si="81"/>
        <v>0</v>
      </c>
      <c r="K1053" s="6">
        <f t="shared" si="82"/>
        <v>56000</v>
      </c>
      <c r="L1053" s="2">
        <v>50000</v>
      </c>
      <c r="M1053" s="6">
        <f>Table1[[#This Row],[Total Sales]]+Table1[[#This Row],[Shipping Fee]]</f>
        <v>106000</v>
      </c>
      <c r="N1053" s="2" t="s">
        <v>29</v>
      </c>
      <c r="O1053" t="str">
        <f>VLOOKUP(Table1[[#This Row],[Order ID]],Status!A:B, 2,FALSE)</f>
        <v>Returned</v>
      </c>
      <c r="P1053" s="2" t="s">
        <v>82</v>
      </c>
      <c r="Q1053" s="2">
        <v>5</v>
      </c>
      <c r="R1053" s="2" t="s">
        <v>24</v>
      </c>
      <c r="S1053" s="11" t="str">
        <f t="shared" si="83"/>
        <v>Bagus</v>
      </c>
      <c r="T1053" s="2" t="str">
        <f t="shared" si="84"/>
        <v>Sangat Rendah</v>
      </c>
    </row>
    <row r="1054" spans="1:20" ht="15.75" customHeight="1" x14ac:dyDescent="0.3">
      <c r="A1054" s="4" t="s">
        <v>1335</v>
      </c>
      <c r="B1054" s="3">
        <v>45730.962870370371</v>
      </c>
      <c r="C1054" s="2" t="s">
        <v>1336</v>
      </c>
      <c r="D1054" s="2" t="s">
        <v>96</v>
      </c>
      <c r="E1054" s="2" t="s">
        <v>54</v>
      </c>
      <c r="F1054" s="2">
        <v>16000</v>
      </c>
      <c r="G1054" s="2">
        <v>3</v>
      </c>
      <c r="H1054" s="2">
        <v>5</v>
      </c>
      <c r="I1054">
        <f t="shared" si="80"/>
        <v>48000</v>
      </c>
      <c r="J1054">
        <f t="shared" si="81"/>
        <v>2400</v>
      </c>
      <c r="K1054" s="6">
        <f t="shared" si="82"/>
        <v>45600</v>
      </c>
      <c r="L1054" s="2">
        <v>49000</v>
      </c>
      <c r="M1054" s="6">
        <f>Table1[[#This Row],[Total Sales]]+Table1[[#This Row],[Shipping Fee]]</f>
        <v>94600</v>
      </c>
      <c r="N1054" s="2" t="s">
        <v>63</v>
      </c>
      <c r="O1054" t="str">
        <f>VLOOKUP(Table1[[#This Row],[Order ID]],Status!A:B, 2,FALSE)</f>
        <v>Completed</v>
      </c>
      <c r="P1054" s="2" t="s">
        <v>82</v>
      </c>
      <c r="Q1054" s="2">
        <v>2</v>
      </c>
      <c r="R1054" s="2" t="s">
        <v>37</v>
      </c>
      <c r="S1054" s="11" t="str">
        <f t="shared" si="83"/>
        <v>Rendah</v>
      </c>
      <c r="T1054" s="2" t="str">
        <f t="shared" si="84"/>
        <v>Sangat Rendah</v>
      </c>
    </row>
    <row r="1055" spans="1:20" ht="15.75" customHeight="1" x14ac:dyDescent="0.3">
      <c r="A1055" s="4" t="s">
        <v>1334</v>
      </c>
      <c r="B1055" s="3">
        <v>45730.645069444443</v>
      </c>
      <c r="C1055" s="2" t="s">
        <v>732</v>
      </c>
      <c r="D1055" s="2" t="s">
        <v>170</v>
      </c>
      <c r="E1055" s="2" t="s">
        <v>104</v>
      </c>
      <c r="F1055" s="2">
        <v>30000</v>
      </c>
      <c r="G1055" s="2">
        <v>1</v>
      </c>
      <c r="H1055" s="2">
        <v>10</v>
      </c>
      <c r="I1055">
        <f t="shared" si="80"/>
        <v>30000</v>
      </c>
      <c r="J1055">
        <f t="shared" si="81"/>
        <v>3000</v>
      </c>
      <c r="K1055" s="6">
        <f t="shared" si="82"/>
        <v>27000</v>
      </c>
      <c r="L1055" s="2">
        <v>46000</v>
      </c>
      <c r="M1055" s="6">
        <f>Table1[[#This Row],[Total Sales]]+Table1[[#This Row],[Shipping Fee]]</f>
        <v>73000</v>
      </c>
      <c r="N1055" s="2" t="s">
        <v>35</v>
      </c>
      <c r="O1055" t="str">
        <f>VLOOKUP(Table1[[#This Row],[Order ID]],Status!A:B, 2,FALSE)</f>
        <v>Cancelled</v>
      </c>
      <c r="P1055" s="2" t="s">
        <v>46</v>
      </c>
      <c r="Q1055" s="2">
        <v>5</v>
      </c>
      <c r="R1055" s="2" t="s">
        <v>24</v>
      </c>
      <c r="S1055" s="11" t="str">
        <f t="shared" si="83"/>
        <v>Bagus</v>
      </c>
      <c r="T1055" s="2" t="str">
        <f t="shared" si="84"/>
        <v>Sangat Rendah</v>
      </c>
    </row>
    <row r="1056" spans="1:20" ht="15.75" customHeight="1" x14ac:dyDescent="0.3">
      <c r="A1056" s="4" t="s">
        <v>1333</v>
      </c>
      <c r="B1056" s="3">
        <v>45730.360902777778</v>
      </c>
      <c r="C1056" s="2" t="s">
        <v>410</v>
      </c>
      <c r="D1056" s="2" t="s">
        <v>151</v>
      </c>
      <c r="E1056" s="2" t="s">
        <v>186</v>
      </c>
      <c r="F1056" s="2">
        <v>45000</v>
      </c>
      <c r="G1056" s="2">
        <v>3</v>
      </c>
      <c r="H1056" s="2">
        <v>0</v>
      </c>
      <c r="I1056">
        <f t="shared" si="80"/>
        <v>135000</v>
      </c>
      <c r="J1056">
        <f t="shared" si="81"/>
        <v>0</v>
      </c>
      <c r="K1056" s="6">
        <f t="shared" si="82"/>
        <v>135000</v>
      </c>
      <c r="L1056" s="2">
        <v>55000</v>
      </c>
      <c r="M1056" s="6">
        <f>Table1[[#This Row],[Total Sales]]+Table1[[#This Row],[Shipping Fee]]</f>
        <v>190000</v>
      </c>
      <c r="N1056" s="2" t="s">
        <v>29</v>
      </c>
      <c r="O1056" t="str">
        <f>VLOOKUP(Table1[[#This Row],[Order ID]],Status!A:B, 2,FALSE)</f>
        <v>Completed</v>
      </c>
      <c r="P1056" s="2" t="s">
        <v>30</v>
      </c>
      <c r="Q1056" s="2">
        <v>3</v>
      </c>
      <c r="R1056" s="2" t="s">
        <v>24</v>
      </c>
      <c r="S1056" s="11" t="str">
        <f t="shared" si="83"/>
        <v>Standar</v>
      </c>
      <c r="T1056" s="2" t="str">
        <f t="shared" si="84"/>
        <v>Sangat Rendah</v>
      </c>
    </row>
    <row r="1057" spans="1:20" ht="15.75" customHeight="1" x14ac:dyDescent="0.3">
      <c r="A1057" s="4" t="s">
        <v>1332</v>
      </c>
      <c r="B1057" s="3">
        <v>45730.175393518519</v>
      </c>
      <c r="C1057" s="2" t="s">
        <v>565</v>
      </c>
      <c r="D1057" s="2" t="s">
        <v>163</v>
      </c>
      <c r="E1057" s="2" t="s">
        <v>123</v>
      </c>
      <c r="F1057" s="2">
        <v>22000</v>
      </c>
      <c r="G1057" s="2">
        <v>3</v>
      </c>
      <c r="H1057" s="2">
        <v>0</v>
      </c>
      <c r="I1057">
        <f t="shared" si="80"/>
        <v>66000</v>
      </c>
      <c r="J1057">
        <f t="shared" si="81"/>
        <v>0</v>
      </c>
      <c r="K1057" s="6">
        <f t="shared" si="82"/>
        <v>66000</v>
      </c>
      <c r="L1057" s="2">
        <v>50000</v>
      </c>
      <c r="M1057" s="6">
        <f>Table1[[#This Row],[Total Sales]]+Table1[[#This Row],[Shipping Fee]]</f>
        <v>116000</v>
      </c>
      <c r="N1057" s="2" t="s">
        <v>63</v>
      </c>
      <c r="O1057" t="str">
        <f>VLOOKUP(Table1[[#This Row],[Order ID]],Status!A:B, 2,FALSE)</f>
        <v>Completed</v>
      </c>
      <c r="P1057" s="2" t="s">
        <v>23</v>
      </c>
      <c r="Q1057" s="2">
        <v>2</v>
      </c>
      <c r="R1057" s="2" t="s">
        <v>24</v>
      </c>
      <c r="S1057" s="11" t="str">
        <f t="shared" si="83"/>
        <v>Rendah</v>
      </c>
      <c r="T1057" s="2" t="str">
        <f t="shared" si="84"/>
        <v>Sangat Rendah</v>
      </c>
    </row>
    <row r="1058" spans="1:20" ht="15.75" customHeight="1" x14ac:dyDescent="0.3">
      <c r="A1058" s="4" t="s">
        <v>1332</v>
      </c>
      <c r="B1058" s="3">
        <v>45730.175393518519</v>
      </c>
      <c r="C1058" s="2" t="s">
        <v>565</v>
      </c>
      <c r="D1058" s="2" t="s">
        <v>163</v>
      </c>
      <c r="E1058" s="2" t="s">
        <v>104</v>
      </c>
      <c r="F1058" s="2">
        <v>30000</v>
      </c>
      <c r="G1058" s="2">
        <v>1</v>
      </c>
      <c r="H1058" s="2">
        <v>0</v>
      </c>
      <c r="I1058">
        <f t="shared" si="80"/>
        <v>30000</v>
      </c>
      <c r="J1058">
        <f t="shared" si="81"/>
        <v>0</v>
      </c>
      <c r="K1058" s="6">
        <f t="shared" si="82"/>
        <v>30000</v>
      </c>
      <c r="L1058" s="2">
        <v>0</v>
      </c>
      <c r="M1058" s="6">
        <f>Table1[[#This Row],[Total Sales]]+Table1[[#This Row],[Shipping Fee]]</f>
        <v>30000</v>
      </c>
      <c r="N1058" s="2" t="s">
        <v>63</v>
      </c>
      <c r="O1058" t="str">
        <f>VLOOKUP(Table1[[#This Row],[Order ID]],Status!A:B, 2,FALSE)</f>
        <v>Completed</v>
      </c>
      <c r="P1058" s="2" t="s">
        <v>23</v>
      </c>
      <c r="Q1058" s="2">
        <v>2</v>
      </c>
      <c r="R1058" s="2" t="s">
        <v>24</v>
      </c>
      <c r="S1058" s="11" t="str">
        <f t="shared" si="83"/>
        <v>Rendah</v>
      </c>
      <c r="T1058" s="2" t="str">
        <f t="shared" si="84"/>
        <v>Sangat Rendah</v>
      </c>
    </row>
    <row r="1059" spans="1:20" ht="15.75" customHeight="1" x14ac:dyDescent="0.3">
      <c r="A1059" s="4" t="s">
        <v>1331</v>
      </c>
      <c r="B1059" s="3">
        <v>45730.133055555547</v>
      </c>
      <c r="C1059" s="2" t="s">
        <v>570</v>
      </c>
      <c r="D1059" s="2" t="s">
        <v>80</v>
      </c>
      <c r="E1059" s="2" t="s">
        <v>38</v>
      </c>
      <c r="F1059" s="2">
        <v>28000</v>
      </c>
      <c r="G1059" s="2">
        <v>5</v>
      </c>
      <c r="H1059" s="2">
        <v>15</v>
      </c>
      <c r="I1059">
        <f t="shared" si="80"/>
        <v>140000</v>
      </c>
      <c r="J1059">
        <f t="shared" si="81"/>
        <v>21000</v>
      </c>
      <c r="K1059" s="6">
        <f t="shared" si="82"/>
        <v>119000</v>
      </c>
      <c r="L1059" s="2">
        <v>74000</v>
      </c>
      <c r="M1059" s="6">
        <f>Table1[[#This Row],[Total Sales]]+Table1[[#This Row],[Shipping Fee]]</f>
        <v>193000</v>
      </c>
      <c r="N1059" s="2" t="s">
        <v>22</v>
      </c>
      <c r="O1059" t="str">
        <f>VLOOKUP(Table1[[#This Row],[Order ID]],Status!A:B, 2,FALSE)</f>
        <v>Completed</v>
      </c>
      <c r="P1059" s="2" t="s">
        <v>82</v>
      </c>
      <c r="Q1059" s="2">
        <v>4</v>
      </c>
      <c r="R1059" s="2" t="s">
        <v>24</v>
      </c>
      <c r="S1059" s="11" t="str">
        <f t="shared" si="83"/>
        <v>Bagus</v>
      </c>
      <c r="T1059" s="2" t="str">
        <f t="shared" si="84"/>
        <v>Tinggi</v>
      </c>
    </row>
    <row r="1060" spans="1:20" ht="15.75" customHeight="1" x14ac:dyDescent="0.3">
      <c r="A1060" s="4" t="s">
        <v>1330</v>
      </c>
      <c r="B1060" s="3">
        <v>45730.104768518519</v>
      </c>
      <c r="C1060" s="2" t="s">
        <v>254</v>
      </c>
      <c r="D1060" s="2" t="s">
        <v>61</v>
      </c>
      <c r="E1060" s="2" t="s">
        <v>50</v>
      </c>
      <c r="F1060" s="2">
        <v>14000</v>
      </c>
      <c r="G1060" s="2">
        <v>2</v>
      </c>
      <c r="H1060" s="2">
        <v>5</v>
      </c>
      <c r="I1060">
        <f t="shared" si="80"/>
        <v>28000</v>
      </c>
      <c r="J1060">
        <f t="shared" si="81"/>
        <v>1400</v>
      </c>
      <c r="K1060" s="6">
        <f t="shared" si="82"/>
        <v>26600</v>
      </c>
      <c r="L1060" s="2">
        <v>26000</v>
      </c>
      <c r="M1060" s="6">
        <f>Table1[[#This Row],[Total Sales]]+Table1[[#This Row],[Shipping Fee]]</f>
        <v>52600</v>
      </c>
      <c r="N1060" s="2" t="s">
        <v>29</v>
      </c>
      <c r="O1060" t="str">
        <f>VLOOKUP(Table1[[#This Row],[Order ID]],Status!A:B, 2,FALSE)</f>
        <v>Cancelled</v>
      </c>
      <c r="P1060" s="2" t="s">
        <v>23</v>
      </c>
      <c r="Q1060" s="2">
        <v>4</v>
      </c>
      <c r="R1060" s="2" t="s">
        <v>24</v>
      </c>
      <c r="S1060" s="11" t="str">
        <f t="shared" si="83"/>
        <v>Bagus</v>
      </c>
      <c r="T1060" s="2" t="str">
        <f t="shared" si="84"/>
        <v>Sangat Rendah</v>
      </c>
    </row>
    <row r="1061" spans="1:20" ht="15.75" customHeight="1" x14ac:dyDescent="0.3">
      <c r="A1061" s="4" t="s">
        <v>1329</v>
      </c>
      <c r="B1061" s="3">
        <v>45729.67701388889</v>
      </c>
      <c r="C1061" s="2" t="s">
        <v>1120</v>
      </c>
      <c r="D1061" s="2" t="s">
        <v>173</v>
      </c>
      <c r="E1061" s="2" t="s">
        <v>174</v>
      </c>
      <c r="F1061" s="2">
        <v>10000</v>
      </c>
      <c r="G1061" s="2">
        <v>5</v>
      </c>
      <c r="H1061" s="2">
        <v>5</v>
      </c>
      <c r="I1061">
        <f t="shared" si="80"/>
        <v>50000</v>
      </c>
      <c r="J1061">
        <f t="shared" si="81"/>
        <v>2500</v>
      </c>
      <c r="K1061" s="6">
        <f t="shared" si="82"/>
        <v>47500</v>
      </c>
      <c r="L1061" s="2">
        <v>49000</v>
      </c>
      <c r="M1061" s="6">
        <f>Table1[[#This Row],[Total Sales]]+Table1[[#This Row],[Shipping Fee]]</f>
        <v>96500</v>
      </c>
      <c r="N1061" s="2" t="s">
        <v>29</v>
      </c>
      <c r="O1061" t="str">
        <f>VLOOKUP(Table1[[#This Row],[Order ID]],Status!A:B, 2,FALSE)</f>
        <v>Completed</v>
      </c>
      <c r="P1061" s="2" t="s">
        <v>46</v>
      </c>
      <c r="Q1061" s="2">
        <v>3</v>
      </c>
      <c r="R1061" s="2" t="s">
        <v>24</v>
      </c>
      <c r="S1061" s="11" t="str">
        <f t="shared" si="83"/>
        <v>Standar</v>
      </c>
      <c r="T1061" s="2" t="str">
        <f t="shared" si="84"/>
        <v>Sangat Rendah</v>
      </c>
    </row>
    <row r="1062" spans="1:20" ht="15.75" customHeight="1" x14ac:dyDescent="0.3">
      <c r="A1062" s="4" t="s">
        <v>1328</v>
      </c>
      <c r="B1062" s="3">
        <v>45729.425821759258</v>
      </c>
      <c r="C1062" s="2" t="s">
        <v>649</v>
      </c>
      <c r="D1062" s="2" t="s">
        <v>177</v>
      </c>
      <c r="E1062" s="2" t="s">
        <v>34</v>
      </c>
      <c r="F1062" s="2">
        <v>16000</v>
      </c>
      <c r="G1062" s="2">
        <v>4</v>
      </c>
      <c r="H1062" s="2">
        <v>0</v>
      </c>
      <c r="I1062">
        <f t="shared" si="80"/>
        <v>64000</v>
      </c>
      <c r="J1062">
        <f t="shared" si="81"/>
        <v>0</v>
      </c>
      <c r="K1062" s="6">
        <f t="shared" si="82"/>
        <v>64000</v>
      </c>
      <c r="L1062" s="2">
        <v>56000</v>
      </c>
      <c r="M1062" s="6">
        <f>Table1[[#This Row],[Total Sales]]+Table1[[#This Row],[Shipping Fee]]</f>
        <v>120000</v>
      </c>
      <c r="N1062" s="2" t="s">
        <v>63</v>
      </c>
      <c r="O1062" t="str">
        <f>VLOOKUP(Table1[[#This Row],[Order ID]],Status!A:B, 2,FALSE)</f>
        <v>Completed</v>
      </c>
      <c r="P1062" s="2" t="s">
        <v>30</v>
      </c>
      <c r="Q1062" s="2">
        <v>1</v>
      </c>
      <c r="R1062" s="2" t="s">
        <v>24</v>
      </c>
      <c r="S1062" s="11" t="str">
        <f t="shared" si="83"/>
        <v>Rendah</v>
      </c>
      <c r="T1062" s="2" t="str">
        <f t="shared" si="84"/>
        <v>Sangat Rendah</v>
      </c>
    </row>
    <row r="1063" spans="1:20" ht="15.75" customHeight="1" x14ac:dyDescent="0.3">
      <c r="A1063" s="4" t="s">
        <v>1327</v>
      </c>
      <c r="B1063" s="3">
        <v>45729.184178240743</v>
      </c>
      <c r="C1063" s="2" t="s">
        <v>222</v>
      </c>
      <c r="D1063" s="2" t="s">
        <v>49</v>
      </c>
      <c r="E1063" s="2" t="s">
        <v>34</v>
      </c>
      <c r="F1063" s="2">
        <v>16000</v>
      </c>
      <c r="G1063" s="2">
        <v>2</v>
      </c>
      <c r="H1063" s="2">
        <v>5</v>
      </c>
      <c r="I1063">
        <f t="shared" si="80"/>
        <v>32000</v>
      </c>
      <c r="J1063">
        <f t="shared" si="81"/>
        <v>1600</v>
      </c>
      <c r="K1063" s="6">
        <f t="shared" si="82"/>
        <v>30400</v>
      </c>
      <c r="L1063" s="2">
        <v>43000</v>
      </c>
      <c r="M1063" s="6">
        <f>Table1[[#This Row],[Total Sales]]+Table1[[#This Row],[Shipping Fee]]</f>
        <v>73400</v>
      </c>
      <c r="N1063" s="2" t="s">
        <v>35</v>
      </c>
      <c r="O1063" t="str">
        <f>VLOOKUP(Table1[[#This Row],[Order ID]],Status!A:B, 2,FALSE)</f>
        <v>Completed</v>
      </c>
      <c r="P1063" s="2" t="s">
        <v>23</v>
      </c>
      <c r="Q1063" s="2">
        <v>2</v>
      </c>
      <c r="R1063" s="2" t="s">
        <v>24</v>
      </c>
      <c r="S1063" s="11" t="str">
        <f t="shared" si="83"/>
        <v>Rendah</v>
      </c>
      <c r="T1063" s="2" t="str">
        <f t="shared" si="84"/>
        <v>Sangat Rendah</v>
      </c>
    </row>
    <row r="1064" spans="1:20" ht="15.75" customHeight="1" x14ac:dyDescent="0.3">
      <c r="A1064" s="4" t="s">
        <v>1326</v>
      </c>
      <c r="B1064" s="3">
        <v>45728.865740740737</v>
      </c>
      <c r="C1064" s="2" t="s">
        <v>688</v>
      </c>
      <c r="D1064" s="2" t="s">
        <v>92</v>
      </c>
      <c r="E1064" s="2" t="s">
        <v>190</v>
      </c>
      <c r="F1064" s="2">
        <v>35000</v>
      </c>
      <c r="G1064" s="2">
        <v>3</v>
      </c>
      <c r="H1064" s="2">
        <v>0</v>
      </c>
      <c r="I1064">
        <f t="shared" si="80"/>
        <v>105000</v>
      </c>
      <c r="J1064">
        <f t="shared" si="81"/>
        <v>0</v>
      </c>
      <c r="K1064" s="6">
        <f t="shared" si="82"/>
        <v>105000</v>
      </c>
      <c r="L1064" s="2">
        <v>30000</v>
      </c>
      <c r="M1064" s="6">
        <f>Table1[[#This Row],[Total Sales]]+Table1[[#This Row],[Shipping Fee]]</f>
        <v>135000</v>
      </c>
      <c r="N1064" s="2" t="s">
        <v>22</v>
      </c>
      <c r="O1064" t="str">
        <f>VLOOKUP(Table1[[#This Row],[Order ID]],Status!A:B, 2,FALSE)</f>
        <v>Completed</v>
      </c>
      <c r="P1064" s="2" t="s">
        <v>23</v>
      </c>
      <c r="Q1064" s="2">
        <v>3</v>
      </c>
      <c r="R1064" s="2" t="s">
        <v>24</v>
      </c>
      <c r="S1064" s="11" t="str">
        <f t="shared" si="83"/>
        <v>Standar</v>
      </c>
      <c r="T1064" s="2" t="str">
        <f t="shared" si="84"/>
        <v>Sangat Rendah</v>
      </c>
    </row>
    <row r="1065" spans="1:20" ht="15.75" customHeight="1" x14ac:dyDescent="0.3">
      <c r="A1065" s="4" t="s">
        <v>1325</v>
      </c>
      <c r="B1065" s="3">
        <v>45728.049456018518</v>
      </c>
      <c r="C1065" s="2" t="s">
        <v>169</v>
      </c>
      <c r="D1065" s="2" t="s">
        <v>170</v>
      </c>
      <c r="E1065" s="2" t="s">
        <v>38</v>
      </c>
      <c r="F1065" s="2">
        <v>28000</v>
      </c>
      <c r="G1065" s="2">
        <v>2</v>
      </c>
      <c r="H1065" s="2">
        <v>5</v>
      </c>
      <c r="I1065">
        <f t="shared" si="80"/>
        <v>56000</v>
      </c>
      <c r="J1065">
        <f t="shared" si="81"/>
        <v>2800</v>
      </c>
      <c r="K1065" s="6">
        <f t="shared" si="82"/>
        <v>53200</v>
      </c>
      <c r="L1065" s="2">
        <v>46000</v>
      </c>
      <c r="M1065" s="6">
        <f>Table1[[#This Row],[Total Sales]]+Table1[[#This Row],[Shipping Fee]]</f>
        <v>99200</v>
      </c>
      <c r="N1065" s="2" t="s">
        <v>22</v>
      </c>
      <c r="O1065" t="str">
        <f>VLOOKUP(Table1[[#This Row],[Order ID]],Status!A:B, 2,FALSE)</f>
        <v>Completed</v>
      </c>
      <c r="P1065" s="2" t="s">
        <v>23</v>
      </c>
      <c r="Q1065" s="2">
        <v>5</v>
      </c>
      <c r="R1065" s="2" t="s">
        <v>24</v>
      </c>
      <c r="S1065" s="11" t="str">
        <f t="shared" si="83"/>
        <v>Bagus</v>
      </c>
      <c r="T1065" s="2" t="str">
        <f t="shared" si="84"/>
        <v>Sangat Rendah</v>
      </c>
    </row>
    <row r="1066" spans="1:20" ht="15.75" customHeight="1" x14ac:dyDescent="0.3">
      <c r="A1066" s="4" t="s">
        <v>1324</v>
      </c>
      <c r="B1066" s="3">
        <v>45727.7344212963</v>
      </c>
      <c r="C1066" s="2" t="s">
        <v>150</v>
      </c>
      <c r="D1066" s="2" t="s">
        <v>151</v>
      </c>
      <c r="E1066" s="2" t="s">
        <v>138</v>
      </c>
      <c r="F1066" s="2">
        <v>17000</v>
      </c>
      <c r="G1066" s="2">
        <v>3</v>
      </c>
      <c r="H1066" s="2">
        <v>20</v>
      </c>
      <c r="I1066">
        <f t="shared" si="80"/>
        <v>51000</v>
      </c>
      <c r="J1066">
        <f t="shared" si="81"/>
        <v>10200</v>
      </c>
      <c r="K1066" s="6">
        <f t="shared" si="82"/>
        <v>40800</v>
      </c>
      <c r="L1066" s="2">
        <v>55000</v>
      </c>
      <c r="M1066" s="6">
        <f>Table1[[#This Row],[Total Sales]]+Table1[[#This Row],[Shipping Fee]]</f>
        <v>95800</v>
      </c>
      <c r="N1066" s="2" t="s">
        <v>22</v>
      </c>
      <c r="O1066" t="str">
        <f>VLOOKUP(Table1[[#This Row],[Order ID]],Status!A:B, 2,FALSE)</f>
        <v>Completed</v>
      </c>
      <c r="P1066" s="2" t="s">
        <v>36</v>
      </c>
      <c r="Q1066" s="2">
        <v>2</v>
      </c>
      <c r="R1066" s="2" t="s">
        <v>37</v>
      </c>
      <c r="S1066" s="11" t="str">
        <f t="shared" si="83"/>
        <v>Rendah</v>
      </c>
      <c r="T1066" s="2" t="str">
        <f t="shared" si="84"/>
        <v>Normal</v>
      </c>
    </row>
    <row r="1067" spans="1:20" ht="15.75" customHeight="1" x14ac:dyDescent="0.3">
      <c r="A1067" s="4" t="s">
        <v>1322</v>
      </c>
      <c r="B1067" s="3">
        <v>45727.602858796286</v>
      </c>
      <c r="C1067" s="2" t="s">
        <v>1323</v>
      </c>
      <c r="D1067" s="2" t="s">
        <v>74</v>
      </c>
      <c r="E1067" s="2" t="s">
        <v>174</v>
      </c>
      <c r="F1067" s="2">
        <v>10000</v>
      </c>
      <c r="G1067" s="2">
        <v>5</v>
      </c>
      <c r="H1067" s="2">
        <v>20</v>
      </c>
      <c r="I1067">
        <f t="shared" si="80"/>
        <v>50000</v>
      </c>
      <c r="J1067">
        <f t="shared" si="81"/>
        <v>10000</v>
      </c>
      <c r="K1067" s="6">
        <f t="shared" si="82"/>
        <v>40000</v>
      </c>
      <c r="L1067" s="2">
        <v>87000</v>
      </c>
      <c r="M1067" s="6">
        <f>Table1[[#This Row],[Total Sales]]+Table1[[#This Row],[Shipping Fee]]</f>
        <v>127000</v>
      </c>
      <c r="N1067" s="2" t="s">
        <v>35</v>
      </c>
      <c r="O1067" t="str">
        <f>VLOOKUP(Table1[[#This Row],[Order ID]],Status!A:B, 2,FALSE)</f>
        <v>Completed</v>
      </c>
      <c r="P1067" s="2" t="s">
        <v>23</v>
      </c>
      <c r="Q1067" s="2">
        <v>5</v>
      </c>
      <c r="R1067" s="2" t="s">
        <v>24</v>
      </c>
      <c r="S1067" s="11" t="str">
        <f t="shared" si="83"/>
        <v>Bagus</v>
      </c>
      <c r="T1067" s="2" t="str">
        <f t="shared" si="84"/>
        <v>Rendah</v>
      </c>
    </row>
    <row r="1068" spans="1:20" ht="15.75" customHeight="1" x14ac:dyDescent="0.3">
      <c r="A1068" s="4" t="s">
        <v>1320</v>
      </c>
      <c r="B1068" s="3">
        <v>45727.299363425933</v>
      </c>
      <c r="C1068" s="2" t="s">
        <v>1321</v>
      </c>
      <c r="D1068" s="2" t="s">
        <v>113</v>
      </c>
      <c r="E1068" s="2" t="s">
        <v>186</v>
      </c>
      <c r="F1068" s="2">
        <v>45000</v>
      </c>
      <c r="G1068" s="2">
        <v>5</v>
      </c>
      <c r="H1068" s="2">
        <v>5</v>
      </c>
      <c r="I1068">
        <f t="shared" si="80"/>
        <v>225000</v>
      </c>
      <c r="J1068">
        <f t="shared" si="81"/>
        <v>11250</v>
      </c>
      <c r="K1068" s="6">
        <f t="shared" si="82"/>
        <v>213750</v>
      </c>
      <c r="L1068" s="2">
        <v>18000</v>
      </c>
      <c r="M1068" s="6">
        <f>Table1[[#This Row],[Total Sales]]+Table1[[#This Row],[Shipping Fee]]</f>
        <v>231750</v>
      </c>
      <c r="N1068" s="2" t="s">
        <v>63</v>
      </c>
      <c r="O1068" t="str">
        <f>VLOOKUP(Table1[[#This Row],[Order ID]],Status!A:B, 2,FALSE)</f>
        <v>Completed</v>
      </c>
      <c r="P1068" s="2" t="s">
        <v>46</v>
      </c>
      <c r="Q1068" s="2">
        <v>4</v>
      </c>
      <c r="R1068" s="2" t="s">
        <v>24</v>
      </c>
      <c r="S1068" s="11" t="str">
        <f t="shared" si="83"/>
        <v>Bagus</v>
      </c>
      <c r="T1068" s="2" t="str">
        <f t="shared" si="84"/>
        <v>Normal</v>
      </c>
    </row>
    <row r="1069" spans="1:20" ht="15.75" customHeight="1" x14ac:dyDescent="0.3">
      <c r="A1069" s="4" t="s">
        <v>1319</v>
      </c>
      <c r="B1069" s="3">
        <v>45727.215324074074</v>
      </c>
      <c r="C1069" s="2" t="s">
        <v>959</v>
      </c>
      <c r="D1069" s="2" t="s">
        <v>182</v>
      </c>
      <c r="E1069" s="2" t="s">
        <v>54</v>
      </c>
      <c r="F1069" s="2">
        <v>16000</v>
      </c>
      <c r="G1069" s="2">
        <v>5</v>
      </c>
      <c r="H1069" s="2">
        <v>20</v>
      </c>
      <c r="I1069">
        <f t="shared" si="80"/>
        <v>80000</v>
      </c>
      <c r="J1069">
        <f t="shared" si="81"/>
        <v>16000</v>
      </c>
      <c r="K1069" s="6">
        <f t="shared" si="82"/>
        <v>64000</v>
      </c>
      <c r="L1069" s="2">
        <v>48000</v>
      </c>
      <c r="M1069" s="6">
        <f>Table1[[#This Row],[Total Sales]]+Table1[[#This Row],[Shipping Fee]]</f>
        <v>112000</v>
      </c>
      <c r="N1069" s="2" t="s">
        <v>29</v>
      </c>
      <c r="O1069" t="str">
        <f>VLOOKUP(Table1[[#This Row],[Order ID]],Status!A:B, 2,FALSE)</f>
        <v>Completed</v>
      </c>
      <c r="P1069" s="2" t="s">
        <v>82</v>
      </c>
      <c r="Q1069" s="2">
        <v>1</v>
      </c>
      <c r="R1069" s="2" t="s">
        <v>24</v>
      </c>
      <c r="S1069" s="11" t="str">
        <f t="shared" si="83"/>
        <v>Rendah</v>
      </c>
      <c r="T1069" s="2" t="str">
        <f t="shared" si="84"/>
        <v>Normal</v>
      </c>
    </row>
    <row r="1070" spans="1:20" ht="15.75" customHeight="1" x14ac:dyDescent="0.3">
      <c r="A1070" s="4" t="s">
        <v>1319</v>
      </c>
      <c r="B1070" s="3">
        <v>45727.215324074074</v>
      </c>
      <c r="C1070" s="2" t="s">
        <v>959</v>
      </c>
      <c r="D1070" s="2" t="s">
        <v>182</v>
      </c>
      <c r="E1070" s="2" t="s">
        <v>50</v>
      </c>
      <c r="F1070" s="2">
        <v>14000</v>
      </c>
      <c r="G1070" s="2">
        <v>3</v>
      </c>
      <c r="H1070" s="2">
        <v>20</v>
      </c>
      <c r="I1070">
        <f t="shared" si="80"/>
        <v>42000</v>
      </c>
      <c r="J1070">
        <f t="shared" si="81"/>
        <v>8400</v>
      </c>
      <c r="K1070" s="6">
        <f t="shared" si="82"/>
        <v>33600</v>
      </c>
      <c r="L1070" s="2">
        <v>0</v>
      </c>
      <c r="M1070" s="6">
        <f>Table1[[#This Row],[Total Sales]]+Table1[[#This Row],[Shipping Fee]]</f>
        <v>33600</v>
      </c>
      <c r="N1070" s="2" t="s">
        <v>29</v>
      </c>
      <c r="O1070" t="str">
        <f>VLOOKUP(Table1[[#This Row],[Order ID]],Status!A:B, 2,FALSE)</f>
        <v>Completed</v>
      </c>
      <c r="P1070" s="2" t="s">
        <v>82</v>
      </c>
      <c r="Q1070" s="2">
        <v>1</v>
      </c>
      <c r="R1070" s="2" t="s">
        <v>24</v>
      </c>
      <c r="S1070" s="11" t="str">
        <f t="shared" si="83"/>
        <v>Rendah</v>
      </c>
      <c r="T1070" s="2" t="str">
        <f t="shared" si="84"/>
        <v>Rendah</v>
      </c>
    </row>
    <row r="1071" spans="1:20" ht="15.75" customHeight="1" x14ac:dyDescent="0.3">
      <c r="A1071" s="4" t="s">
        <v>1318</v>
      </c>
      <c r="B1071" s="3">
        <v>45726.9840625</v>
      </c>
      <c r="C1071" s="2" t="s">
        <v>359</v>
      </c>
      <c r="D1071" s="2" t="s">
        <v>70</v>
      </c>
      <c r="E1071" s="2" t="s">
        <v>110</v>
      </c>
      <c r="F1071" s="2">
        <v>6000</v>
      </c>
      <c r="G1071" s="2">
        <v>4</v>
      </c>
      <c r="H1071" s="2">
        <v>0</v>
      </c>
      <c r="I1071">
        <f t="shared" si="80"/>
        <v>24000</v>
      </c>
      <c r="J1071">
        <f t="shared" si="81"/>
        <v>0</v>
      </c>
      <c r="K1071" s="6">
        <f t="shared" si="82"/>
        <v>24000</v>
      </c>
      <c r="L1071" s="2">
        <v>89000</v>
      </c>
      <c r="M1071" s="6">
        <f>Table1[[#This Row],[Total Sales]]+Table1[[#This Row],[Shipping Fee]]</f>
        <v>113000</v>
      </c>
      <c r="N1071" s="2" t="s">
        <v>35</v>
      </c>
      <c r="O1071" t="str">
        <f>VLOOKUP(Table1[[#This Row],[Order ID]],Status!A:B, 2,FALSE)</f>
        <v>Completed</v>
      </c>
      <c r="P1071" s="2" t="s">
        <v>30</v>
      </c>
      <c r="Q1071" s="2">
        <v>1</v>
      </c>
      <c r="R1071" s="2" t="s">
        <v>24</v>
      </c>
      <c r="S1071" s="11" t="str">
        <f t="shared" si="83"/>
        <v>Rendah</v>
      </c>
      <c r="T1071" s="2" t="str">
        <f t="shared" si="84"/>
        <v>Sangat Rendah</v>
      </c>
    </row>
    <row r="1072" spans="1:20" ht="15.75" customHeight="1" x14ac:dyDescent="0.3">
      <c r="A1072" s="4" t="s">
        <v>1316</v>
      </c>
      <c r="B1072" s="3">
        <v>45726.737812500003</v>
      </c>
      <c r="C1072" s="2" t="s">
        <v>1317</v>
      </c>
      <c r="D1072" s="2" t="s">
        <v>113</v>
      </c>
      <c r="E1072" s="2" t="s">
        <v>62</v>
      </c>
      <c r="F1072" s="2">
        <v>50000</v>
      </c>
      <c r="G1072" s="2">
        <v>3</v>
      </c>
      <c r="H1072" s="2">
        <v>15</v>
      </c>
      <c r="I1072">
        <f t="shared" si="80"/>
        <v>150000</v>
      </c>
      <c r="J1072">
        <f t="shared" si="81"/>
        <v>22500</v>
      </c>
      <c r="K1072" s="6">
        <f t="shared" si="82"/>
        <v>127500</v>
      </c>
      <c r="L1072" s="2">
        <v>18000</v>
      </c>
      <c r="M1072" s="6">
        <f>Table1[[#This Row],[Total Sales]]+Table1[[#This Row],[Shipping Fee]]</f>
        <v>145500</v>
      </c>
      <c r="N1072" s="2" t="s">
        <v>35</v>
      </c>
      <c r="O1072" t="str">
        <f>VLOOKUP(Table1[[#This Row],[Order ID]],Status!A:B, 2,FALSE)</f>
        <v>Returned</v>
      </c>
      <c r="P1072" s="2" t="s">
        <v>82</v>
      </c>
      <c r="Q1072" s="2">
        <v>2</v>
      </c>
      <c r="R1072" s="2" t="s">
        <v>37</v>
      </c>
      <c r="S1072" s="11" t="str">
        <f t="shared" si="83"/>
        <v>Rendah</v>
      </c>
      <c r="T1072" s="2" t="str">
        <f t="shared" si="84"/>
        <v>Tinggi</v>
      </c>
    </row>
    <row r="1073" spans="1:20" ht="15.75" customHeight="1" x14ac:dyDescent="0.3">
      <c r="A1073" s="4" t="s">
        <v>1315</v>
      </c>
      <c r="B1073" s="3">
        <v>45726.272233796299</v>
      </c>
      <c r="C1073" s="2" t="s">
        <v>237</v>
      </c>
      <c r="D1073" s="2" t="s">
        <v>238</v>
      </c>
      <c r="E1073" s="2" t="s">
        <v>58</v>
      </c>
      <c r="F1073" s="2">
        <v>16000</v>
      </c>
      <c r="G1073" s="2">
        <v>3</v>
      </c>
      <c r="H1073" s="2">
        <v>10</v>
      </c>
      <c r="I1073">
        <f t="shared" si="80"/>
        <v>48000</v>
      </c>
      <c r="J1073">
        <f t="shared" si="81"/>
        <v>4800</v>
      </c>
      <c r="K1073" s="6">
        <f t="shared" si="82"/>
        <v>43200</v>
      </c>
      <c r="L1073" s="2">
        <v>28000</v>
      </c>
      <c r="M1073" s="6">
        <f>Table1[[#This Row],[Total Sales]]+Table1[[#This Row],[Shipping Fee]]</f>
        <v>71200</v>
      </c>
      <c r="N1073" s="2" t="s">
        <v>29</v>
      </c>
      <c r="O1073" t="str">
        <f>VLOOKUP(Table1[[#This Row],[Order ID]],Status!A:B, 2,FALSE)</f>
        <v>Completed</v>
      </c>
      <c r="P1073" s="2" t="s">
        <v>30</v>
      </c>
      <c r="Q1073" s="2">
        <v>4</v>
      </c>
      <c r="R1073" s="2" t="s">
        <v>24</v>
      </c>
      <c r="S1073" s="11" t="str">
        <f t="shared" si="83"/>
        <v>Bagus</v>
      </c>
      <c r="T1073" s="2" t="str">
        <f t="shared" si="84"/>
        <v>Sangat Rendah</v>
      </c>
    </row>
    <row r="1074" spans="1:20" ht="15.75" customHeight="1" x14ac:dyDescent="0.3">
      <c r="A1074" s="4" t="s">
        <v>1314</v>
      </c>
      <c r="B1074" s="3">
        <v>45726.032893518517</v>
      </c>
      <c r="C1074" s="2" t="s">
        <v>1035</v>
      </c>
      <c r="D1074" s="2" t="s">
        <v>66</v>
      </c>
      <c r="E1074" s="2" t="s">
        <v>21</v>
      </c>
      <c r="F1074" s="2">
        <v>45000</v>
      </c>
      <c r="G1074" s="2">
        <v>4</v>
      </c>
      <c r="H1074" s="2">
        <v>15</v>
      </c>
      <c r="I1074">
        <f t="shared" si="80"/>
        <v>180000</v>
      </c>
      <c r="J1074">
        <f t="shared" si="81"/>
        <v>27000</v>
      </c>
      <c r="K1074" s="6">
        <f t="shared" si="82"/>
        <v>153000</v>
      </c>
      <c r="L1074" s="2">
        <v>59000</v>
      </c>
      <c r="M1074" s="6">
        <f>Table1[[#This Row],[Total Sales]]+Table1[[#This Row],[Shipping Fee]]</f>
        <v>212000</v>
      </c>
      <c r="N1074" s="2" t="s">
        <v>29</v>
      </c>
      <c r="O1074" t="str">
        <f>VLOOKUP(Table1[[#This Row],[Order ID]],Status!A:B, 2,FALSE)</f>
        <v>Completed</v>
      </c>
      <c r="P1074" s="2" t="s">
        <v>23</v>
      </c>
      <c r="Q1074" s="2">
        <v>1</v>
      </c>
      <c r="R1074" s="2" t="s">
        <v>24</v>
      </c>
      <c r="S1074" s="11" t="str">
        <f t="shared" si="83"/>
        <v>Rendah</v>
      </c>
      <c r="T1074" s="2" t="str">
        <f t="shared" si="84"/>
        <v>Tinggi</v>
      </c>
    </row>
    <row r="1075" spans="1:20" ht="15.75" customHeight="1" x14ac:dyDescent="0.3">
      <c r="A1075" s="4" t="s">
        <v>1312</v>
      </c>
      <c r="B1075" s="3">
        <v>45725.995694444442</v>
      </c>
      <c r="C1075" s="2" t="s">
        <v>1313</v>
      </c>
      <c r="D1075" s="2" t="s">
        <v>103</v>
      </c>
      <c r="E1075" s="2" t="s">
        <v>186</v>
      </c>
      <c r="F1075" s="2">
        <v>45000</v>
      </c>
      <c r="G1075" s="2">
        <v>5</v>
      </c>
      <c r="H1075" s="2">
        <v>5</v>
      </c>
      <c r="I1075">
        <f t="shared" si="80"/>
        <v>225000</v>
      </c>
      <c r="J1075">
        <f t="shared" si="81"/>
        <v>11250</v>
      </c>
      <c r="K1075" s="6">
        <f t="shared" si="82"/>
        <v>213750</v>
      </c>
      <c r="L1075" s="2">
        <v>85000</v>
      </c>
      <c r="M1075" s="6">
        <f>Table1[[#This Row],[Total Sales]]+Table1[[#This Row],[Shipping Fee]]</f>
        <v>298750</v>
      </c>
      <c r="N1075" s="2" t="s">
        <v>35</v>
      </c>
      <c r="O1075" t="str">
        <f>VLOOKUP(Table1[[#This Row],[Order ID]],Status!A:B, 2,FALSE)</f>
        <v>Returned</v>
      </c>
      <c r="P1075" s="2" t="s">
        <v>23</v>
      </c>
      <c r="Q1075" s="2">
        <v>2</v>
      </c>
      <c r="R1075" s="2" t="s">
        <v>24</v>
      </c>
      <c r="S1075" s="11" t="str">
        <f t="shared" si="83"/>
        <v>Rendah</v>
      </c>
      <c r="T1075" s="2" t="str">
        <f t="shared" si="84"/>
        <v>Normal</v>
      </c>
    </row>
    <row r="1076" spans="1:20" ht="15.75" customHeight="1" x14ac:dyDescent="0.3">
      <c r="A1076" s="4" t="s">
        <v>1310</v>
      </c>
      <c r="B1076" s="3">
        <v>45725.740613425929</v>
      </c>
      <c r="C1076" s="2" t="s">
        <v>1311</v>
      </c>
      <c r="D1076" s="2" t="s">
        <v>49</v>
      </c>
      <c r="E1076" s="2" t="s">
        <v>45</v>
      </c>
      <c r="F1076" s="2">
        <v>40000</v>
      </c>
      <c r="G1076" s="2">
        <v>4</v>
      </c>
      <c r="H1076" s="2">
        <v>10</v>
      </c>
      <c r="I1076">
        <f t="shared" si="80"/>
        <v>160000</v>
      </c>
      <c r="J1076">
        <f t="shared" si="81"/>
        <v>16000</v>
      </c>
      <c r="K1076" s="6">
        <f t="shared" si="82"/>
        <v>144000</v>
      </c>
      <c r="L1076" s="2">
        <v>43000</v>
      </c>
      <c r="M1076" s="6">
        <f>Table1[[#This Row],[Total Sales]]+Table1[[#This Row],[Shipping Fee]]</f>
        <v>187000</v>
      </c>
      <c r="N1076" s="2" t="s">
        <v>35</v>
      </c>
      <c r="O1076" t="str">
        <f>VLOOKUP(Table1[[#This Row],[Order ID]],Status!A:B, 2,FALSE)</f>
        <v>Completed</v>
      </c>
      <c r="P1076" s="2" t="s">
        <v>30</v>
      </c>
      <c r="Q1076" s="2">
        <v>2</v>
      </c>
      <c r="R1076" s="2" t="s">
        <v>24</v>
      </c>
      <c r="S1076" s="11" t="str">
        <f t="shared" si="83"/>
        <v>Rendah</v>
      </c>
      <c r="T1076" s="2" t="str">
        <f t="shared" si="84"/>
        <v>Normal</v>
      </c>
    </row>
    <row r="1077" spans="1:20" ht="15.75" customHeight="1" x14ac:dyDescent="0.3">
      <c r="A1077" s="4" t="s">
        <v>1309</v>
      </c>
      <c r="B1077" s="3">
        <v>45725.501157407409</v>
      </c>
      <c r="C1077" s="2" t="s">
        <v>19</v>
      </c>
      <c r="D1077" s="2" t="s">
        <v>20</v>
      </c>
      <c r="E1077" s="2" t="s">
        <v>21</v>
      </c>
      <c r="F1077" s="2">
        <v>45000</v>
      </c>
      <c r="G1077" s="2">
        <v>2</v>
      </c>
      <c r="H1077" s="2">
        <v>20</v>
      </c>
      <c r="I1077">
        <f t="shared" si="80"/>
        <v>90000</v>
      </c>
      <c r="J1077">
        <f t="shared" si="81"/>
        <v>18000</v>
      </c>
      <c r="K1077" s="6">
        <f t="shared" si="82"/>
        <v>72000</v>
      </c>
      <c r="L1077" s="2">
        <v>15000</v>
      </c>
      <c r="M1077" s="6">
        <f>Table1[[#This Row],[Total Sales]]+Table1[[#This Row],[Shipping Fee]]</f>
        <v>87000</v>
      </c>
      <c r="N1077" s="2" t="s">
        <v>63</v>
      </c>
      <c r="O1077" t="str">
        <f>VLOOKUP(Table1[[#This Row],[Order ID]],Status!A:B, 2,FALSE)</f>
        <v>Completed</v>
      </c>
      <c r="P1077" s="2" t="s">
        <v>46</v>
      </c>
      <c r="Q1077" s="2">
        <v>5</v>
      </c>
      <c r="R1077" s="2" t="s">
        <v>24</v>
      </c>
      <c r="S1077" s="11" t="str">
        <f t="shared" si="83"/>
        <v>Bagus</v>
      </c>
      <c r="T1077" s="2" t="str">
        <f t="shared" si="84"/>
        <v>Normal</v>
      </c>
    </row>
    <row r="1078" spans="1:20" ht="15.75" customHeight="1" x14ac:dyDescent="0.3">
      <c r="A1078" s="4" t="s">
        <v>1308</v>
      </c>
      <c r="B1078" s="3">
        <v>45725.410868055558</v>
      </c>
      <c r="C1078" s="2" t="s">
        <v>846</v>
      </c>
      <c r="D1078" s="2" t="s">
        <v>107</v>
      </c>
      <c r="E1078" s="2" t="s">
        <v>138</v>
      </c>
      <c r="F1078" s="2">
        <v>17000</v>
      </c>
      <c r="G1078" s="2">
        <v>1</v>
      </c>
      <c r="H1078" s="2">
        <v>20</v>
      </c>
      <c r="I1078">
        <f t="shared" si="80"/>
        <v>17000</v>
      </c>
      <c r="J1078">
        <f t="shared" si="81"/>
        <v>3400</v>
      </c>
      <c r="K1078" s="6">
        <f t="shared" si="82"/>
        <v>13600</v>
      </c>
      <c r="L1078" s="2">
        <v>97000</v>
      </c>
      <c r="M1078" s="6">
        <f>Table1[[#This Row],[Total Sales]]+Table1[[#This Row],[Shipping Fee]]</f>
        <v>110600</v>
      </c>
      <c r="N1078" s="2" t="s">
        <v>29</v>
      </c>
      <c r="O1078" t="str">
        <f>VLOOKUP(Table1[[#This Row],[Order ID]],Status!A:B, 2,FALSE)</f>
        <v>Completed</v>
      </c>
      <c r="P1078" s="2" t="s">
        <v>46</v>
      </c>
      <c r="Q1078" s="2">
        <v>2</v>
      </c>
      <c r="R1078" s="2" t="s">
        <v>24</v>
      </c>
      <c r="S1078" s="11" t="str">
        <f t="shared" si="83"/>
        <v>Rendah</v>
      </c>
      <c r="T1078" s="2" t="str">
        <f t="shared" si="84"/>
        <v>Sangat Rendah</v>
      </c>
    </row>
    <row r="1079" spans="1:20" ht="15.75" customHeight="1" x14ac:dyDescent="0.3">
      <c r="A1079" s="4" t="s">
        <v>1307</v>
      </c>
      <c r="B1079" s="3">
        <v>45725.31523148148</v>
      </c>
      <c r="C1079" s="2" t="s">
        <v>499</v>
      </c>
      <c r="D1079" s="2" t="s">
        <v>131</v>
      </c>
      <c r="E1079" s="2" t="s">
        <v>38</v>
      </c>
      <c r="F1079" s="2">
        <v>28000</v>
      </c>
      <c r="G1079" s="2">
        <v>5</v>
      </c>
      <c r="H1079" s="2">
        <v>5</v>
      </c>
      <c r="I1079">
        <f t="shared" si="80"/>
        <v>140000</v>
      </c>
      <c r="J1079">
        <f t="shared" si="81"/>
        <v>7000</v>
      </c>
      <c r="K1079" s="6">
        <f t="shared" si="82"/>
        <v>133000</v>
      </c>
      <c r="L1079" s="2">
        <v>59000</v>
      </c>
      <c r="M1079" s="6">
        <f>Table1[[#This Row],[Total Sales]]+Table1[[#This Row],[Shipping Fee]]</f>
        <v>192000</v>
      </c>
      <c r="N1079" s="2" t="s">
        <v>22</v>
      </c>
      <c r="O1079" t="str">
        <f>VLOOKUP(Table1[[#This Row],[Order ID]],Status!A:B, 2,FALSE)</f>
        <v>Completed</v>
      </c>
      <c r="P1079" s="2" t="s">
        <v>82</v>
      </c>
      <c r="Q1079" s="2">
        <v>2</v>
      </c>
      <c r="R1079" s="2" t="s">
        <v>24</v>
      </c>
      <c r="S1079" s="11" t="str">
        <f t="shared" si="83"/>
        <v>Rendah</v>
      </c>
      <c r="T1079" s="2" t="str">
        <f t="shared" si="84"/>
        <v>Rendah</v>
      </c>
    </row>
    <row r="1080" spans="1:20" ht="15.75" customHeight="1" x14ac:dyDescent="0.3">
      <c r="A1080" s="4" t="s">
        <v>1306</v>
      </c>
      <c r="B1080" s="3">
        <v>45725.204328703701</v>
      </c>
      <c r="C1080" s="2" t="s">
        <v>446</v>
      </c>
      <c r="D1080" s="2" t="s">
        <v>296</v>
      </c>
      <c r="E1080" s="2" t="s">
        <v>34</v>
      </c>
      <c r="F1080" s="2">
        <v>16000</v>
      </c>
      <c r="G1080" s="2">
        <v>1</v>
      </c>
      <c r="H1080" s="2">
        <v>5</v>
      </c>
      <c r="I1080">
        <f t="shared" si="80"/>
        <v>16000</v>
      </c>
      <c r="J1080">
        <f t="shared" si="81"/>
        <v>800</v>
      </c>
      <c r="K1080" s="6">
        <f t="shared" si="82"/>
        <v>15200</v>
      </c>
      <c r="L1080" s="2">
        <v>79000</v>
      </c>
      <c r="M1080" s="6">
        <f>Table1[[#This Row],[Total Sales]]+Table1[[#This Row],[Shipping Fee]]</f>
        <v>94200</v>
      </c>
      <c r="N1080" s="2" t="s">
        <v>22</v>
      </c>
      <c r="O1080" t="str">
        <f>VLOOKUP(Table1[[#This Row],[Order ID]],Status!A:B, 2,FALSE)</f>
        <v>Completed</v>
      </c>
      <c r="P1080" s="2" t="s">
        <v>30</v>
      </c>
      <c r="Q1080" s="2">
        <v>4</v>
      </c>
      <c r="R1080" s="2" t="s">
        <v>37</v>
      </c>
      <c r="S1080" s="11" t="str">
        <f t="shared" si="83"/>
        <v>Bagus</v>
      </c>
      <c r="T1080" s="2" t="str">
        <f t="shared" si="84"/>
        <v>Sangat Rendah</v>
      </c>
    </row>
    <row r="1081" spans="1:20" ht="15.75" customHeight="1" x14ac:dyDescent="0.3">
      <c r="A1081" s="4" t="s">
        <v>1305</v>
      </c>
      <c r="B1081" s="3">
        <v>45725.128101851849</v>
      </c>
      <c r="C1081" s="2" t="s">
        <v>642</v>
      </c>
      <c r="D1081" s="2" t="s">
        <v>160</v>
      </c>
      <c r="E1081" s="2" t="s">
        <v>34</v>
      </c>
      <c r="F1081" s="2">
        <v>16000</v>
      </c>
      <c r="G1081" s="2">
        <v>3</v>
      </c>
      <c r="H1081" s="2">
        <v>20</v>
      </c>
      <c r="I1081">
        <f t="shared" si="80"/>
        <v>48000</v>
      </c>
      <c r="J1081">
        <f t="shared" si="81"/>
        <v>9600</v>
      </c>
      <c r="K1081" s="6">
        <f t="shared" si="82"/>
        <v>38400</v>
      </c>
      <c r="L1081" s="2">
        <v>68000</v>
      </c>
      <c r="M1081" s="6">
        <f>Table1[[#This Row],[Total Sales]]+Table1[[#This Row],[Shipping Fee]]</f>
        <v>106400</v>
      </c>
      <c r="N1081" s="2" t="s">
        <v>63</v>
      </c>
      <c r="O1081" t="str">
        <f>VLOOKUP(Table1[[#This Row],[Order ID]],Status!A:B, 2,FALSE)</f>
        <v>Completed</v>
      </c>
      <c r="P1081" s="2" t="s">
        <v>30</v>
      </c>
      <c r="Q1081" s="2">
        <v>2</v>
      </c>
      <c r="R1081" s="2" t="s">
        <v>24</v>
      </c>
      <c r="S1081" s="11" t="str">
        <f t="shared" si="83"/>
        <v>Rendah</v>
      </c>
      <c r="T1081" s="2" t="str">
        <f t="shared" si="84"/>
        <v>Rendah</v>
      </c>
    </row>
    <row r="1082" spans="1:20" ht="15.75" customHeight="1" x14ac:dyDescent="0.3">
      <c r="A1082" s="4" t="s">
        <v>1304</v>
      </c>
      <c r="B1082" s="3">
        <v>45724.994201388887</v>
      </c>
      <c r="C1082" s="2" t="s">
        <v>197</v>
      </c>
      <c r="D1082" s="2" t="s">
        <v>119</v>
      </c>
      <c r="E1082" s="2" t="s">
        <v>123</v>
      </c>
      <c r="F1082" s="2">
        <v>22000</v>
      </c>
      <c r="G1082" s="2">
        <v>4</v>
      </c>
      <c r="H1082" s="2">
        <v>5</v>
      </c>
      <c r="I1082">
        <f t="shared" si="80"/>
        <v>88000</v>
      </c>
      <c r="J1082">
        <f t="shared" si="81"/>
        <v>4400</v>
      </c>
      <c r="K1082" s="6">
        <f t="shared" si="82"/>
        <v>83600</v>
      </c>
      <c r="L1082" s="2">
        <v>0</v>
      </c>
      <c r="M1082" s="6">
        <f>Table1[[#This Row],[Total Sales]]+Table1[[#This Row],[Shipping Fee]]</f>
        <v>83600</v>
      </c>
      <c r="N1082" s="2" t="s">
        <v>22</v>
      </c>
      <c r="O1082" t="str">
        <f>VLOOKUP(Table1[[#This Row],[Order ID]],Status!A:B, 2,FALSE)</f>
        <v>Completed</v>
      </c>
      <c r="P1082" s="2" t="s">
        <v>23</v>
      </c>
      <c r="Q1082" s="2">
        <v>2</v>
      </c>
      <c r="R1082" s="2" t="s">
        <v>37</v>
      </c>
      <c r="S1082" s="11" t="str">
        <f t="shared" si="83"/>
        <v>Rendah</v>
      </c>
      <c r="T1082" s="2" t="str">
        <f t="shared" si="84"/>
        <v>Sangat Rendah</v>
      </c>
    </row>
    <row r="1083" spans="1:20" ht="15.75" customHeight="1" x14ac:dyDescent="0.3">
      <c r="A1083" s="4" t="s">
        <v>1303</v>
      </c>
      <c r="B1083" s="3">
        <v>45724.549745370372</v>
      </c>
      <c r="C1083" s="2" t="s">
        <v>192</v>
      </c>
      <c r="D1083" s="2" t="s">
        <v>107</v>
      </c>
      <c r="E1083" s="2" t="s">
        <v>67</v>
      </c>
      <c r="F1083" s="2">
        <v>15000</v>
      </c>
      <c r="G1083" s="2">
        <v>1</v>
      </c>
      <c r="H1083" s="2">
        <v>5</v>
      </c>
      <c r="I1083">
        <f t="shared" si="80"/>
        <v>15000</v>
      </c>
      <c r="J1083">
        <f t="shared" si="81"/>
        <v>750</v>
      </c>
      <c r="K1083" s="6">
        <f t="shared" si="82"/>
        <v>14250</v>
      </c>
      <c r="L1083" s="2">
        <v>97000</v>
      </c>
      <c r="M1083" s="6">
        <f>Table1[[#This Row],[Total Sales]]+Table1[[#This Row],[Shipping Fee]]</f>
        <v>111250</v>
      </c>
      <c r="N1083" s="2" t="s">
        <v>22</v>
      </c>
      <c r="O1083" t="str">
        <f>VLOOKUP(Table1[[#This Row],[Order ID]],Status!A:B, 2,FALSE)</f>
        <v>Completed</v>
      </c>
      <c r="P1083" s="2" t="s">
        <v>82</v>
      </c>
      <c r="Q1083" s="2">
        <v>5</v>
      </c>
      <c r="R1083" s="2" t="s">
        <v>24</v>
      </c>
      <c r="S1083" s="11" t="str">
        <f t="shared" si="83"/>
        <v>Bagus</v>
      </c>
      <c r="T1083" s="2" t="str">
        <f t="shared" si="84"/>
        <v>Sangat Rendah</v>
      </c>
    </row>
    <row r="1084" spans="1:20" ht="15.75" customHeight="1" x14ac:dyDescent="0.3">
      <c r="A1084" s="4" t="s">
        <v>1302</v>
      </c>
      <c r="B1084" s="3">
        <v>45724.429675925923</v>
      </c>
      <c r="C1084" s="2" t="s">
        <v>165</v>
      </c>
      <c r="D1084" s="2" t="s">
        <v>143</v>
      </c>
      <c r="E1084" s="2" t="s">
        <v>62</v>
      </c>
      <c r="F1084" s="2">
        <v>50000</v>
      </c>
      <c r="G1084" s="2">
        <v>3</v>
      </c>
      <c r="H1084" s="2">
        <v>15</v>
      </c>
      <c r="I1084">
        <f t="shared" si="80"/>
        <v>150000</v>
      </c>
      <c r="J1084">
        <f t="shared" si="81"/>
        <v>22500</v>
      </c>
      <c r="K1084" s="6">
        <f t="shared" si="82"/>
        <v>127500</v>
      </c>
      <c r="L1084" s="2">
        <v>50000</v>
      </c>
      <c r="M1084" s="6">
        <f>Table1[[#This Row],[Total Sales]]+Table1[[#This Row],[Shipping Fee]]</f>
        <v>177500</v>
      </c>
      <c r="N1084" s="2" t="s">
        <v>22</v>
      </c>
      <c r="O1084" t="str">
        <f>VLOOKUP(Table1[[#This Row],[Order ID]],Status!A:B, 2,FALSE)</f>
        <v>Completed</v>
      </c>
      <c r="P1084" s="2" t="s">
        <v>36</v>
      </c>
      <c r="Q1084" s="2">
        <v>1</v>
      </c>
      <c r="R1084" s="2" t="s">
        <v>24</v>
      </c>
      <c r="S1084" s="11" t="str">
        <f t="shared" si="83"/>
        <v>Rendah</v>
      </c>
      <c r="T1084" s="2" t="str">
        <f t="shared" si="84"/>
        <v>Tinggi</v>
      </c>
    </row>
    <row r="1085" spans="1:20" ht="15.75" customHeight="1" x14ac:dyDescent="0.3">
      <c r="A1085" s="4" t="s">
        <v>1301</v>
      </c>
      <c r="B1085" s="3">
        <v>45723.839074074072</v>
      </c>
      <c r="C1085" s="2" t="s">
        <v>157</v>
      </c>
      <c r="D1085" s="2" t="s">
        <v>20</v>
      </c>
      <c r="E1085" s="2" t="s">
        <v>67</v>
      </c>
      <c r="F1085" s="2">
        <v>15000</v>
      </c>
      <c r="G1085" s="2">
        <v>4</v>
      </c>
      <c r="H1085" s="2">
        <v>10</v>
      </c>
      <c r="I1085">
        <f t="shared" si="80"/>
        <v>60000</v>
      </c>
      <c r="J1085">
        <f t="shared" si="81"/>
        <v>6000</v>
      </c>
      <c r="K1085" s="6">
        <f t="shared" si="82"/>
        <v>54000</v>
      </c>
      <c r="L1085" s="2">
        <v>15000</v>
      </c>
      <c r="M1085" s="6">
        <f>Table1[[#This Row],[Total Sales]]+Table1[[#This Row],[Shipping Fee]]</f>
        <v>69000</v>
      </c>
      <c r="N1085" s="2" t="s">
        <v>22</v>
      </c>
      <c r="O1085" t="str">
        <f>VLOOKUP(Table1[[#This Row],[Order ID]],Status!A:B, 2,FALSE)</f>
        <v>Completed</v>
      </c>
      <c r="P1085" s="2" t="s">
        <v>82</v>
      </c>
      <c r="Q1085" s="2">
        <v>1</v>
      </c>
      <c r="R1085" s="2" t="s">
        <v>24</v>
      </c>
      <c r="S1085" s="11" t="str">
        <f t="shared" si="83"/>
        <v>Rendah</v>
      </c>
      <c r="T1085" s="2" t="str">
        <f t="shared" si="84"/>
        <v>Rendah</v>
      </c>
    </row>
    <row r="1086" spans="1:20" ht="15.75" customHeight="1" x14ac:dyDescent="0.3">
      <c r="A1086" s="4" t="s">
        <v>1299</v>
      </c>
      <c r="B1086" s="3">
        <v>45723.540567129632</v>
      </c>
      <c r="C1086" s="2" t="s">
        <v>1300</v>
      </c>
      <c r="D1086" s="2" t="s">
        <v>262</v>
      </c>
      <c r="E1086" s="2" t="s">
        <v>123</v>
      </c>
      <c r="F1086" s="2">
        <v>22000</v>
      </c>
      <c r="G1086" s="2">
        <v>3</v>
      </c>
      <c r="H1086" s="2">
        <v>0</v>
      </c>
      <c r="I1086">
        <f t="shared" si="80"/>
        <v>66000</v>
      </c>
      <c r="J1086">
        <f t="shared" si="81"/>
        <v>0</v>
      </c>
      <c r="K1086" s="6">
        <f t="shared" si="82"/>
        <v>66000</v>
      </c>
      <c r="L1086" s="2">
        <v>18000</v>
      </c>
      <c r="M1086" s="6">
        <f>Table1[[#This Row],[Total Sales]]+Table1[[#This Row],[Shipping Fee]]</f>
        <v>84000</v>
      </c>
      <c r="N1086" s="2" t="s">
        <v>63</v>
      </c>
      <c r="O1086" t="str">
        <f>VLOOKUP(Table1[[#This Row],[Order ID]],Status!A:B, 2,FALSE)</f>
        <v>Completed</v>
      </c>
      <c r="P1086" s="2" t="s">
        <v>30</v>
      </c>
      <c r="Q1086" s="2">
        <v>3</v>
      </c>
      <c r="R1086" s="2" t="s">
        <v>24</v>
      </c>
      <c r="S1086" s="11" t="str">
        <f t="shared" si="83"/>
        <v>Standar</v>
      </c>
      <c r="T1086" s="2" t="str">
        <f t="shared" si="84"/>
        <v>Sangat Rendah</v>
      </c>
    </row>
    <row r="1087" spans="1:20" ht="15.75" customHeight="1" x14ac:dyDescent="0.3">
      <c r="A1087" s="4" t="s">
        <v>1298</v>
      </c>
      <c r="B1087" s="3">
        <v>45723.521898148138</v>
      </c>
      <c r="C1087" s="2" t="s">
        <v>638</v>
      </c>
      <c r="D1087" s="2" t="s">
        <v>195</v>
      </c>
      <c r="E1087" s="2" t="s">
        <v>104</v>
      </c>
      <c r="F1087" s="2">
        <v>30000</v>
      </c>
      <c r="G1087" s="2">
        <v>3</v>
      </c>
      <c r="H1087" s="2">
        <v>5</v>
      </c>
      <c r="I1087">
        <f t="shared" si="80"/>
        <v>90000</v>
      </c>
      <c r="J1087">
        <f t="shared" si="81"/>
        <v>4500</v>
      </c>
      <c r="K1087" s="6">
        <f t="shared" si="82"/>
        <v>85500</v>
      </c>
      <c r="L1087" s="2">
        <v>87000</v>
      </c>
      <c r="M1087" s="6">
        <f>Table1[[#This Row],[Total Sales]]+Table1[[#This Row],[Shipping Fee]]</f>
        <v>172500</v>
      </c>
      <c r="N1087" s="2" t="s">
        <v>22</v>
      </c>
      <c r="O1087" t="str">
        <f>VLOOKUP(Table1[[#This Row],[Order ID]],Status!A:B, 2,FALSE)</f>
        <v>Cancelled</v>
      </c>
      <c r="P1087" s="2" t="s">
        <v>82</v>
      </c>
      <c r="Q1087" s="2">
        <v>3</v>
      </c>
      <c r="R1087" s="2" t="s">
        <v>37</v>
      </c>
      <c r="S1087" s="11" t="str">
        <f t="shared" si="83"/>
        <v>Standar</v>
      </c>
      <c r="T1087" s="2" t="str">
        <f t="shared" si="84"/>
        <v>Sangat Rendah</v>
      </c>
    </row>
    <row r="1088" spans="1:20" ht="15.75" customHeight="1" x14ac:dyDescent="0.3">
      <c r="A1088" s="4" t="s">
        <v>1297</v>
      </c>
      <c r="B1088" s="3">
        <v>45723.228993055563</v>
      </c>
      <c r="C1088" s="2" t="s">
        <v>192</v>
      </c>
      <c r="D1088" s="2" t="s">
        <v>107</v>
      </c>
      <c r="E1088" s="2" t="s">
        <v>81</v>
      </c>
      <c r="F1088" s="2">
        <v>17000</v>
      </c>
      <c r="G1088" s="2">
        <v>2</v>
      </c>
      <c r="H1088" s="2">
        <v>10</v>
      </c>
      <c r="I1088">
        <f t="shared" si="80"/>
        <v>34000</v>
      </c>
      <c r="J1088">
        <f t="shared" si="81"/>
        <v>3400</v>
      </c>
      <c r="K1088" s="6">
        <f t="shared" si="82"/>
        <v>30600</v>
      </c>
      <c r="L1088" s="2">
        <v>97000</v>
      </c>
      <c r="M1088" s="6">
        <f>Table1[[#This Row],[Total Sales]]+Table1[[#This Row],[Shipping Fee]]</f>
        <v>127600</v>
      </c>
      <c r="N1088" s="2" t="s">
        <v>22</v>
      </c>
      <c r="O1088" t="str">
        <f>VLOOKUP(Table1[[#This Row],[Order ID]],Status!A:B, 2,FALSE)</f>
        <v>Returned</v>
      </c>
      <c r="P1088" s="2" t="s">
        <v>23</v>
      </c>
      <c r="Q1088" s="2">
        <v>2</v>
      </c>
      <c r="R1088" s="2" t="s">
        <v>24</v>
      </c>
      <c r="S1088" s="11" t="str">
        <f t="shared" si="83"/>
        <v>Rendah</v>
      </c>
      <c r="T1088" s="2" t="str">
        <f t="shared" si="84"/>
        <v>Sangat Rendah</v>
      </c>
    </row>
    <row r="1089" spans="1:20" ht="15.75" customHeight="1" x14ac:dyDescent="0.3">
      <c r="A1089" s="4" t="s">
        <v>1297</v>
      </c>
      <c r="B1089" s="3">
        <v>45723.228993055563</v>
      </c>
      <c r="C1089" s="2" t="s">
        <v>192</v>
      </c>
      <c r="D1089" s="2" t="s">
        <v>107</v>
      </c>
      <c r="E1089" s="2" t="s">
        <v>41</v>
      </c>
      <c r="F1089" s="2">
        <v>4000</v>
      </c>
      <c r="G1089" s="2">
        <v>4</v>
      </c>
      <c r="H1089" s="2">
        <v>0</v>
      </c>
      <c r="I1089">
        <f t="shared" si="80"/>
        <v>16000</v>
      </c>
      <c r="J1089">
        <f t="shared" si="81"/>
        <v>0</v>
      </c>
      <c r="K1089" s="6">
        <f t="shared" si="82"/>
        <v>16000</v>
      </c>
      <c r="L1089" s="2">
        <v>0</v>
      </c>
      <c r="M1089" s="6">
        <f>Table1[[#This Row],[Total Sales]]+Table1[[#This Row],[Shipping Fee]]</f>
        <v>16000</v>
      </c>
      <c r="N1089" s="2" t="s">
        <v>22</v>
      </c>
      <c r="O1089" t="str">
        <f>VLOOKUP(Table1[[#This Row],[Order ID]],Status!A:B, 2,FALSE)</f>
        <v>Returned</v>
      </c>
      <c r="P1089" s="2" t="s">
        <v>23</v>
      </c>
      <c r="Q1089" s="2">
        <v>2</v>
      </c>
      <c r="R1089" s="2" t="s">
        <v>24</v>
      </c>
      <c r="S1089" s="11" t="str">
        <f t="shared" si="83"/>
        <v>Rendah</v>
      </c>
      <c r="T1089" s="2" t="str">
        <f t="shared" si="84"/>
        <v>Sangat Rendah</v>
      </c>
    </row>
    <row r="1090" spans="1:20" ht="15.75" customHeight="1" x14ac:dyDescent="0.3">
      <c r="A1090" s="4" t="s">
        <v>1296</v>
      </c>
      <c r="B1090" s="3">
        <v>45723.156400462962</v>
      </c>
      <c r="C1090" s="2" t="s">
        <v>502</v>
      </c>
      <c r="D1090" s="2" t="s">
        <v>107</v>
      </c>
      <c r="E1090" s="2" t="s">
        <v>85</v>
      </c>
      <c r="F1090" s="2">
        <v>35000</v>
      </c>
      <c r="G1090" s="2">
        <v>3</v>
      </c>
      <c r="H1090" s="2">
        <v>15</v>
      </c>
      <c r="I1090">
        <f t="shared" ref="I1090:I1153" si="85">F1090*G1090</f>
        <v>105000</v>
      </c>
      <c r="J1090">
        <f t="shared" ref="J1090:J1153" si="86">I1090*H1090/100</f>
        <v>15750</v>
      </c>
      <c r="K1090" s="6">
        <f t="shared" ref="K1090:K1153" si="87">I1090-J1090</f>
        <v>89250</v>
      </c>
      <c r="L1090" s="2">
        <v>97000</v>
      </c>
      <c r="M1090" s="6">
        <f>Table1[[#This Row],[Total Sales]]+Table1[[#This Row],[Shipping Fee]]</f>
        <v>186250</v>
      </c>
      <c r="N1090" s="2" t="s">
        <v>29</v>
      </c>
      <c r="O1090" t="str">
        <f>VLOOKUP(Table1[[#This Row],[Order ID]],Status!A:B, 2,FALSE)</f>
        <v>Completed</v>
      </c>
      <c r="P1090" s="2" t="s">
        <v>23</v>
      </c>
      <c r="Q1090" s="2">
        <v>2</v>
      </c>
      <c r="R1090" s="2" t="s">
        <v>24</v>
      </c>
      <c r="S1090" s="11" t="str">
        <f t="shared" ref="S1090:S1153" si="88">_xlfn.IFS(Q1090&gt;3,"Bagus",Q1090=3,"Standar",Q1090&lt;3,"Rendah")</f>
        <v>Rendah</v>
      </c>
      <c r="T1090" s="2" t="str">
        <f t="shared" ref="T1090:T1153" si="89">_xlfn.IFS(J1090&lt;=5000,"Sangat Rendah", J1090&lt;=10000,"Rendah", J1090&lt;=20000, "Normal", J1090&lt;=35000, "Tinggi", J1090&lt;= 50000, "Sangat Tinggi", J1090&gt;50000, "Clearance")</f>
        <v>Normal</v>
      </c>
    </row>
    <row r="1091" spans="1:20" ht="15.75" customHeight="1" x14ac:dyDescent="0.3">
      <c r="A1091" s="4" t="s">
        <v>1295</v>
      </c>
      <c r="B1091" s="3">
        <v>45723.094317129631</v>
      </c>
      <c r="C1091" s="2" t="s">
        <v>192</v>
      </c>
      <c r="D1091" s="2" t="s">
        <v>107</v>
      </c>
      <c r="E1091" s="2" t="s">
        <v>88</v>
      </c>
      <c r="F1091" s="2">
        <v>14000</v>
      </c>
      <c r="G1091" s="2">
        <v>4</v>
      </c>
      <c r="H1091" s="2">
        <v>10</v>
      </c>
      <c r="I1091">
        <f t="shared" si="85"/>
        <v>56000</v>
      </c>
      <c r="J1091">
        <f t="shared" si="86"/>
        <v>5600</v>
      </c>
      <c r="K1091" s="6">
        <f t="shared" si="87"/>
        <v>50400</v>
      </c>
      <c r="L1091" s="2">
        <v>97000</v>
      </c>
      <c r="M1091" s="6">
        <f>Table1[[#This Row],[Total Sales]]+Table1[[#This Row],[Shipping Fee]]</f>
        <v>147400</v>
      </c>
      <c r="N1091" s="2" t="s">
        <v>35</v>
      </c>
      <c r="O1091" t="str">
        <f>VLOOKUP(Table1[[#This Row],[Order ID]],Status!A:B, 2,FALSE)</f>
        <v>Cancelled</v>
      </c>
      <c r="P1091" s="2" t="s">
        <v>23</v>
      </c>
      <c r="Q1091" s="2">
        <v>5</v>
      </c>
      <c r="R1091" s="2" t="s">
        <v>24</v>
      </c>
      <c r="S1091" s="11" t="str">
        <f t="shared" si="88"/>
        <v>Bagus</v>
      </c>
      <c r="T1091" s="2" t="str">
        <f t="shared" si="89"/>
        <v>Rendah</v>
      </c>
    </row>
    <row r="1092" spans="1:20" ht="15.75" customHeight="1" x14ac:dyDescent="0.3">
      <c r="A1092" s="4" t="s">
        <v>1295</v>
      </c>
      <c r="B1092" s="3">
        <v>45723.094317129631</v>
      </c>
      <c r="C1092" s="2" t="s">
        <v>192</v>
      </c>
      <c r="D1092" s="2" t="s">
        <v>107</v>
      </c>
      <c r="E1092" s="2" t="s">
        <v>93</v>
      </c>
      <c r="F1092" s="2">
        <v>25000</v>
      </c>
      <c r="G1092" s="2">
        <v>5</v>
      </c>
      <c r="H1092" s="2">
        <v>0</v>
      </c>
      <c r="I1092">
        <f t="shared" si="85"/>
        <v>125000</v>
      </c>
      <c r="J1092">
        <f t="shared" si="86"/>
        <v>0</v>
      </c>
      <c r="K1092" s="6">
        <f t="shared" si="87"/>
        <v>125000</v>
      </c>
      <c r="L1092" s="2">
        <v>0</v>
      </c>
      <c r="M1092" s="6">
        <f>Table1[[#This Row],[Total Sales]]+Table1[[#This Row],[Shipping Fee]]</f>
        <v>125000</v>
      </c>
      <c r="N1092" s="2" t="s">
        <v>35</v>
      </c>
      <c r="O1092" t="str">
        <f>VLOOKUP(Table1[[#This Row],[Order ID]],Status!A:B, 2,FALSE)</f>
        <v>Cancelled</v>
      </c>
      <c r="P1092" s="2" t="s">
        <v>23</v>
      </c>
      <c r="Q1092" s="2">
        <v>5</v>
      </c>
      <c r="R1092" s="2" t="s">
        <v>24</v>
      </c>
      <c r="S1092" s="11" t="str">
        <f t="shared" si="88"/>
        <v>Bagus</v>
      </c>
      <c r="T1092" s="2" t="str">
        <f t="shared" si="89"/>
        <v>Sangat Rendah</v>
      </c>
    </row>
    <row r="1093" spans="1:20" ht="15.75" customHeight="1" x14ac:dyDescent="0.3">
      <c r="A1093" s="4" t="s">
        <v>1294</v>
      </c>
      <c r="B1093" s="3">
        <v>45722.83053240741</v>
      </c>
      <c r="C1093" s="2" t="s">
        <v>87</v>
      </c>
      <c r="D1093" s="2" t="s">
        <v>80</v>
      </c>
      <c r="E1093" s="2" t="s">
        <v>38</v>
      </c>
      <c r="F1093" s="2">
        <v>28000</v>
      </c>
      <c r="G1093" s="2">
        <v>2</v>
      </c>
      <c r="H1093" s="2">
        <v>5</v>
      </c>
      <c r="I1093">
        <f t="shared" si="85"/>
        <v>56000</v>
      </c>
      <c r="J1093">
        <f t="shared" si="86"/>
        <v>2800</v>
      </c>
      <c r="K1093" s="6">
        <f t="shared" si="87"/>
        <v>53200</v>
      </c>
      <c r="L1093" s="2">
        <v>74000</v>
      </c>
      <c r="M1093" s="6">
        <f>Table1[[#This Row],[Total Sales]]+Table1[[#This Row],[Shipping Fee]]</f>
        <v>127200</v>
      </c>
      <c r="N1093" s="2" t="s">
        <v>22</v>
      </c>
      <c r="O1093" t="str">
        <f>VLOOKUP(Table1[[#This Row],[Order ID]],Status!A:B, 2,FALSE)</f>
        <v>Returned</v>
      </c>
      <c r="P1093" s="2" t="s">
        <v>36</v>
      </c>
      <c r="Q1093" s="2">
        <v>2</v>
      </c>
      <c r="R1093" s="2" t="s">
        <v>24</v>
      </c>
      <c r="S1093" s="11" t="str">
        <f t="shared" si="88"/>
        <v>Rendah</v>
      </c>
      <c r="T1093" s="2" t="str">
        <f t="shared" si="89"/>
        <v>Sangat Rendah</v>
      </c>
    </row>
    <row r="1094" spans="1:20" ht="15.75" customHeight="1" x14ac:dyDescent="0.3">
      <c r="A1094" s="4" t="s">
        <v>1292</v>
      </c>
      <c r="B1094" s="3">
        <v>45721.824803240743</v>
      </c>
      <c r="C1094" s="2" t="s">
        <v>1293</v>
      </c>
      <c r="D1094" s="2" t="s">
        <v>44</v>
      </c>
      <c r="E1094" s="2" t="s">
        <v>110</v>
      </c>
      <c r="F1094" s="2">
        <v>6000</v>
      </c>
      <c r="G1094" s="2">
        <v>3</v>
      </c>
      <c r="H1094" s="2">
        <v>0</v>
      </c>
      <c r="I1094">
        <f t="shared" si="85"/>
        <v>18000</v>
      </c>
      <c r="J1094">
        <f t="shared" si="86"/>
        <v>0</v>
      </c>
      <c r="K1094" s="6">
        <f t="shared" si="87"/>
        <v>18000</v>
      </c>
      <c r="L1094" s="2">
        <v>93000</v>
      </c>
      <c r="M1094" s="6">
        <f>Table1[[#This Row],[Total Sales]]+Table1[[#This Row],[Shipping Fee]]</f>
        <v>111000</v>
      </c>
      <c r="N1094" s="2" t="s">
        <v>35</v>
      </c>
      <c r="O1094" t="str">
        <f>VLOOKUP(Table1[[#This Row],[Order ID]],Status!A:B, 2,FALSE)</f>
        <v>Completed</v>
      </c>
      <c r="P1094" s="2" t="s">
        <v>36</v>
      </c>
      <c r="Q1094" s="2">
        <v>2</v>
      </c>
      <c r="R1094" s="2" t="s">
        <v>24</v>
      </c>
      <c r="S1094" s="11" t="str">
        <f t="shared" si="88"/>
        <v>Rendah</v>
      </c>
      <c r="T1094" s="2" t="str">
        <f t="shared" si="89"/>
        <v>Sangat Rendah</v>
      </c>
    </row>
    <row r="1095" spans="1:20" ht="15.75" customHeight="1" x14ac:dyDescent="0.3">
      <c r="A1095" s="4" t="s">
        <v>1291</v>
      </c>
      <c r="B1095" s="3">
        <v>45721.627256944441</v>
      </c>
      <c r="C1095" s="2" t="s">
        <v>716</v>
      </c>
      <c r="D1095" s="2" t="s">
        <v>66</v>
      </c>
      <c r="E1095" s="2" t="s">
        <v>136</v>
      </c>
      <c r="F1095" s="2">
        <v>12000</v>
      </c>
      <c r="G1095" s="2">
        <v>1</v>
      </c>
      <c r="H1095" s="2">
        <v>0</v>
      </c>
      <c r="I1095">
        <f t="shared" si="85"/>
        <v>12000</v>
      </c>
      <c r="J1095">
        <f t="shared" si="86"/>
        <v>0</v>
      </c>
      <c r="K1095" s="6">
        <f t="shared" si="87"/>
        <v>12000</v>
      </c>
      <c r="L1095" s="2">
        <v>59000</v>
      </c>
      <c r="M1095" s="6">
        <f>Table1[[#This Row],[Total Sales]]+Table1[[#This Row],[Shipping Fee]]</f>
        <v>71000</v>
      </c>
      <c r="N1095" s="2" t="s">
        <v>63</v>
      </c>
      <c r="O1095" t="str">
        <f>VLOOKUP(Table1[[#This Row],[Order ID]],Status!A:B, 2,FALSE)</f>
        <v>Completed</v>
      </c>
      <c r="P1095" s="2" t="s">
        <v>46</v>
      </c>
      <c r="Q1095" s="2">
        <v>3</v>
      </c>
      <c r="R1095" s="2" t="s">
        <v>24</v>
      </c>
      <c r="S1095" s="11" t="str">
        <f t="shared" si="88"/>
        <v>Standar</v>
      </c>
      <c r="T1095" s="2" t="str">
        <f t="shared" si="89"/>
        <v>Sangat Rendah</v>
      </c>
    </row>
    <row r="1096" spans="1:20" ht="15.75" customHeight="1" x14ac:dyDescent="0.3">
      <c r="A1096" s="4" t="s">
        <v>1290</v>
      </c>
      <c r="B1096" s="3">
        <v>45721.613692129627</v>
      </c>
      <c r="C1096" s="2" t="s">
        <v>576</v>
      </c>
      <c r="D1096" s="2" t="s">
        <v>57</v>
      </c>
      <c r="E1096" s="2" t="s">
        <v>58</v>
      </c>
      <c r="F1096" s="2">
        <v>16000</v>
      </c>
      <c r="G1096" s="2">
        <v>1</v>
      </c>
      <c r="H1096" s="2">
        <v>10</v>
      </c>
      <c r="I1096">
        <f t="shared" si="85"/>
        <v>16000</v>
      </c>
      <c r="J1096">
        <f t="shared" si="86"/>
        <v>1600</v>
      </c>
      <c r="K1096" s="6">
        <f t="shared" si="87"/>
        <v>14400</v>
      </c>
      <c r="L1096" s="2">
        <v>80000</v>
      </c>
      <c r="M1096" s="6">
        <f>Table1[[#This Row],[Total Sales]]+Table1[[#This Row],[Shipping Fee]]</f>
        <v>94400</v>
      </c>
      <c r="N1096" s="2" t="s">
        <v>35</v>
      </c>
      <c r="O1096" t="str">
        <f>VLOOKUP(Table1[[#This Row],[Order ID]],Status!A:B, 2,FALSE)</f>
        <v>Completed</v>
      </c>
      <c r="P1096" s="2" t="s">
        <v>36</v>
      </c>
      <c r="Q1096" s="2">
        <v>1</v>
      </c>
      <c r="R1096" s="2" t="s">
        <v>37</v>
      </c>
      <c r="S1096" s="11" t="str">
        <f t="shared" si="88"/>
        <v>Rendah</v>
      </c>
      <c r="T1096" s="2" t="str">
        <f t="shared" si="89"/>
        <v>Sangat Rendah</v>
      </c>
    </row>
    <row r="1097" spans="1:20" ht="15.75" customHeight="1" x14ac:dyDescent="0.3">
      <c r="A1097" s="4" t="s">
        <v>1289</v>
      </c>
      <c r="B1097" s="3">
        <v>45721.439282407409</v>
      </c>
      <c r="C1097" s="2" t="s">
        <v>615</v>
      </c>
      <c r="D1097" s="2" t="s">
        <v>92</v>
      </c>
      <c r="E1097" s="2" t="s">
        <v>21</v>
      </c>
      <c r="F1097" s="2">
        <v>45000</v>
      </c>
      <c r="G1097" s="2">
        <v>2</v>
      </c>
      <c r="H1097" s="2">
        <v>20</v>
      </c>
      <c r="I1097">
        <f t="shared" si="85"/>
        <v>90000</v>
      </c>
      <c r="J1097">
        <f t="shared" si="86"/>
        <v>18000</v>
      </c>
      <c r="K1097" s="6">
        <f t="shared" si="87"/>
        <v>72000</v>
      </c>
      <c r="L1097" s="2">
        <v>30000</v>
      </c>
      <c r="M1097" s="6">
        <f>Table1[[#This Row],[Total Sales]]+Table1[[#This Row],[Shipping Fee]]</f>
        <v>102000</v>
      </c>
      <c r="N1097" s="2" t="s">
        <v>35</v>
      </c>
      <c r="O1097" t="str">
        <f>VLOOKUP(Table1[[#This Row],[Order ID]],Status!A:B, 2,FALSE)</f>
        <v>Completed</v>
      </c>
      <c r="P1097" s="2" t="s">
        <v>30</v>
      </c>
      <c r="Q1097" s="2">
        <v>1</v>
      </c>
      <c r="R1097" s="2" t="s">
        <v>24</v>
      </c>
      <c r="S1097" s="11" t="str">
        <f t="shared" si="88"/>
        <v>Rendah</v>
      </c>
      <c r="T1097" s="2" t="str">
        <f t="shared" si="89"/>
        <v>Normal</v>
      </c>
    </row>
    <row r="1098" spans="1:20" ht="15.75" customHeight="1" x14ac:dyDescent="0.3">
      <c r="A1098" s="4" t="s">
        <v>1288</v>
      </c>
      <c r="B1098" s="3">
        <v>45721.158819444441</v>
      </c>
      <c r="C1098" s="2" t="s">
        <v>295</v>
      </c>
      <c r="D1098" s="2" t="s">
        <v>296</v>
      </c>
      <c r="E1098" s="2" t="s">
        <v>58</v>
      </c>
      <c r="F1098" s="2">
        <v>16000</v>
      </c>
      <c r="G1098" s="2">
        <v>5</v>
      </c>
      <c r="H1098" s="2">
        <v>5</v>
      </c>
      <c r="I1098">
        <f t="shared" si="85"/>
        <v>80000</v>
      </c>
      <c r="J1098">
        <f t="shared" si="86"/>
        <v>4000</v>
      </c>
      <c r="K1098" s="6">
        <f t="shared" si="87"/>
        <v>76000</v>
      </c>
      <c r="L1098" s="2">
        <v>79000</v>
      </c>
      <c r="M1098" s="6">
        <f>Table1[[#This Row],[Total Sales]]+Table1[[#This Row],[Shipping Fee]]</f>
        <v>155000</v>
      </c>
      <c r="N1098" s="2" t="s">
        <v>29</v>
      </c>
      <c r="O1098" t="str">
        <f>VLOOKUP(Table1[[#This Row],[Order ID]],Status!A:B, 2,FALSE)</f>
        <v>Completed</v>
      </c>
      <c r="P1098" s="2" t="s">
        <v>36</v>
      </c>
      <c r="Q1098" s="2">
        <v>3</v>
      </c>
      <c r="R1098" s="2" t="s">
        <v>24</v>
      </c>
      <c r="S1098" s="11" t="str">
        <f t="shared" si="88"/>
        <v>Standar</v>
      </c>
      <c r="T1098" s="2" t="str">
        <f t="shared" si="89"/>
        <v>Sangat Rendah</v>
      </c>
    </row>
    <row r="1099" spans="1:20" ht="15.75" customHeight="1" x14ac:dyDescent="0.3">
      <c r="A1099" s="4" t="s">
        <v>1287</v>
      </c>
      <c r="B1099" s="3">
        <v>45721.068078703713</v>
      </c>
      <c r="C1099" s="2" t="s">
        <v>557</v>
      </c>
      <c r="D1099" s="2" t="s">
        <v>173</v>
      </c>
      <c r="E1099" s="2" t="s">
        <v>123</v>
      </c>
      <c r="F1099" s="2">
        <v>22000</v>
      </c>
      <c r="G1099" s="2">
        <v>4</v>
      </c>
      <c r="H1099" s="2">
        <v>0</v>
      </c>
      <c r="I1099">
        <f t="shared" si="85"/>
        <v>88000</v>
      </c>
      <c r="J1099">
        <f t="shared" si="86"/>
        <v>0</v>
      </c>
      <c r="K1099" s="6">
        <f t="shared" si="87"/>
        <v>88000</v>
      </c>
      <c r="L1099" s="2">
        <v>49000</v>
      </c>
      <c r="M1099" s="6">
        <f>Table1[[#This Row],[Total Sales]]+Table1[[#This Row],[Shipping Fee]]</f>
        <v>137000</v>
      </c>
      <c r="N1099" s="2" t="s">
        <v>22</v>
      </c>
      <c r="O1099" t="str">
        <f>VLOOKUP(Table1[[#This Row],[Order ID]],Status!A:B, 2,FALSE)</f>
        <v>Completed</v>
      </c>
      <c r="P1099" s="2" t="s">
        <v>82</v>
      </c>
      <c r="Q1099" s="2">
        <v>3</v>
      </c>
      <c r="R1099" s="2" t="s">
        <v>24</v>
      </c>
      <c r="S1099" s="11" t="str">
        <f t="shared" si="88"/>
        <v>Standar</v>
      </c>
      <c r="T1099" s="2" t="str">
        <f t="shared" si="89"/>
        <v>Sangat Rendah</v>
      </c>
    </row>
    <row r="1100" spans="1:20" ht="15.75" customHeight="1" x14ac:dyDescent="0.3">
      <c r="A1100" s="4" t="s">
        <v>1286</v>
      </c>
      <c r="B1100" s="3">
        <v>45721.00445601852</v>
      </c>
      <c r="C1100" s="2" t="s">
        <v>350</v>
      </c>
      <c r="D1100" s="2" t="s">
        <v>195</v>
      </c>
      <c r="E1100" s="2" t="s">
        <v>81</v>
      </c>
      <c r="F1100" s="2">
        <v>17000</v>
      </c>
      <c r="G1100" s="2">
        <v>1</v>
      </c>
      <c r="H1100" s="2">
        <v>0</v>
      </c>
      <c r="I1100">
        <f t="shared" si="85"/>
        <v>17000</v>
      </c>
      <c r="J1100">
        <f t="shared" si="86"/>
        <v>0</v>
      </c>
      <c r="K1100" s="6">
        <f t="shared" si="87"/>
        <v>17000</v>
      </c>
      <c r="L1100" s="2">
        <v>87000</v>
      </c>
      <c r="M1100" s="6">
        <f>Table1[[#This Row],[Total Sales]]+Table1[[#This Row],[Shipping Fee]]</f>
        <v>104000</v>
      </c>
      <c r="N1100" s="2" t="s">
        <v>29</v>
      </c>
      <c r="O1100" t="str">
        <f>VLOOKUP(Table1[[#This Row],[Order ID]],Status!A:B, 2,FALSE)</f>
        <v>Cancelled</v>
      </c>
      <c r="P1100" s="2" t="s">
        <v>30</v>
      </c>
      <c r="Q1100" s="2">
        <v>2</v>
      </c>
      <c r="R1100" s="2" t="s">
        <v>37</v>
      </c>
      <c r="S1100" s="11" t="str">
        <f t="shared" si="88"/>
        <v>Rendah</v>
      </c>
      <c r="T1100" s="2" t="str">
        <f t="shared" si="89"/>
        <v>Sangat Rendah</v>
      </c>
    </row>
    <row r="1101" spans="1:20" ht="15.75" customHeight="1" x14ac:dyDescent="0.3">
      <c r="A1101" s="4" t="s">
        <v>1284</v>
      </c>
      <c r="B1101" s="3">
        <v>45720.880462962959</v>
      </c>
      <c r="C1101" s="2" t="s">
        <v>1285</v>
      </c>
      <c r="D1101" s="2" t="s">
        <v>163</v>
      </c>
      <c r="E1101" s="2" t="s">
        <v>250</v>
      </c>
      <c r="F1101" s="2">
        <v>18000</v>
      </c>
      <c r="G1101" s="2">
        <v>2</v>
      </c>
      <c r="H1101" s="2">
        <v>5</v>
      </c>
      <c r="I1101">
        <f t="shared" si="85"/>
        <v>36000</v>
      </c>
      <c r="J1101">
        <f t="shared" si="86"/>
        <v>1800</v>
      </c>
      <c r="K1101" s="6">
        <f t="shared" si="87"/>
        <v>34200</v>
      </c>
      <c r="L1101" s="2">
        <v>50000</v>
      </c>
      <c r="M1101" s="6">
        <f>Table1[[#This Row],[Total Sales]]+Table1[[#This Row],[Shipping Fee]]</f>
        <v>84200</v>
      </c>
      <c r="N1101" s="2" t="s">
        <v>29</v>
      </c>
      <c r="O1101" t="str">
        <f>VLOOKUP(Table1[[#This Row],[Order ID]],Status!A:B, 2,FALSE)</f>
        <v>Completed</v>
      </c>
      <c r="P1101" s="2" t="s">
        <v>82</v>
      </c>
      <c r="Q1101" s="2">
        <v>4</v>
      </c>
      <c r="R1101" s="2" t="s">
        <v>24</v>
      </c>
      <c r="S1101" s="11" t="str">
        <f t="shared" si="88"/>
        <v>Bagus</v>
      </c>
      <c r="T1101" s="2" t="str">
        <f t="shared" si="89"/>
        <v>Sangat Rendah</v>
      </c>
    </row>
    <row r="1102" spans="1:20" ht="15.75" customHeight="1" x14ac:dyDescent="0.3">
      <c r="A1102" s="4" t="s">
        <v>1283</v>
      </c>
      <c r="B1102" s="3">
        <v>45720.509108796286</v>
      </c>
      <c r="C1102" s="2" t="s">
        <v>488</v>
      </c>
      <c r="D1102" s="2" t="s">
        <v>49</v>
      </c>
      <c r="E1102" s="2" t="s">
        <v>21</v>
      </c>
      <c r="F1102" s="2">
        <v>45000</v>
      </c>
      <c r="G1102" s="2">
        <v>1</v>
      </c>
      <c r="H1102" s="2">
        <v>5</v>
      </c>
      <c r="I1102">
        <f t="shared" si="85"/>
        <v>45000</v>
      </c>
      <c r="J1102">
        <f t="shared" si="86"/>
        <v>2250</v>
      </c>
      <c r="K1102" s="6">
        <f t="shared" si="87"/>
        <v>42750</v>
      </c>
      <c r="L1102" s="2">
        <v>43000</v>
      </c>
      <c r="M1102" s="6">
        <f>Table1[[#This Row],[Total Sales]]+Table1[[#This Row],[Shipping Fee]]</f>
        <v>85750</v>
      </c>
      <c r="N1102" s="2" t="s">
        <v>35</v>
      </c>
      <c r="O1102" t="str">
        <f>VLOOKUP(Table1[[#This Row],[Order ID]],Status!A:B, 2,FALSE)</f>
        <v>Completed</v>
      </c>
      <c r="P1102" s="2" t="s">
        <v>46</v>
      </c>
      <c r="Q1102" s="2">
        <v>5</v>
      </c>
      <c r="R1102" s="2" t="s">
        <v>24</v>
      </c>
      <c r="S1102" s="11" t="str">
        <f t="shared" si="88"/>
        <v>Bagus</v>
      </c>
      <c r="T1102" s="2" t="str">
        <f t="shared" si="89"/>
        <v>Sangat Rendah</v>
      </c>
    </row>
    <row r="1103" spans="1:20" ht="15.75" customHeight="1" x14ac:dyDescent="0.3">
      <c r="A1103" s="4" t="s">
        <v>1283</v>
      </c>
      <c r="B1103" s="3">
        <v>45720.509108796286</v>
      </c>
      <c r="C1103" s="2" t="s">
        <v>488</v>
      </c>
      <c r="D1103" s="2" t="s">
        <v>49</v>
      </c>
      <c r="E1103" s="2" t="s">
        <v>104</v>
      </c>
      <c r="F1103" s="2">
        <v>30000</v>
      </c>
      <c r="G1103" s="2">
        <v>2</v>
      </c>
      <c r="H1103" s="2">
        <v>0</v>
      </c>
      <c r="I1103">
        <f t="shared" si="85"/>
        <v>60000</v>
      </c>
      <c r="J1103">
        <f t="shared" si="86"/>
        <v>0</v>
      </c>
      <c r="K1103" s="6">
        <f t="shared" si="87"/>
        <v>60000</v>
      </c>
      <c r="L1103" s="2">
        <v>0</v>
      </c>
      <c r="M1103" s="6">
        <f>Table1[[#This Row],[Total Sales]]+Table1[[#This Row],[Shipping Fee]]</f>
        <v>60000</v>
      </c>
      <c r="N1103" s="2" t="s">
        <v>35</v>
      </c>
      <c r="O1103" t="str">
        <f>VLOOKUP(Table1[[#This Row],[Order ID]],Status!A:B, 2,FALSE)</f>
        <v>Completed</v>
      </c>
      <c r="P1103" s="2" t="s">
        <v>46</v>
      </c>
      <c r="Q1103" s="2">
        <v>5</v>
      </c>
      <c r="R1103" s="2" t="s">
        <v>24</v>
      </c>
      <c r="S1103" s="11" t="str">
        <f t="shared" si="88"/>
        <v>Bagus</v>
      </c>
      <c r="T1103" s="2" t="str">
        <f t="shared" si="89"/>
        <v>Sangat Rendah</v>
      </c>
    </row>
    <row r="1104" spans="1:20" ht="15.75" customHeight="1" x14ac:dyDescent="0.3">
      <c r="A1104" s="4" t="s">
        <v>1282</v>
      </c>
      <c r="B1104" s="3">
        <v>45720.448784722219</v>
      </c>
      <c r="C1104" s="2" t="s">
        <v>796</v>
      </c>
      <c r="D1104" s="2" t="s">
        <v>119</v>
      </c>
      <c r="E1104" s="2" t="s">
        <v>144</v>
      </c>
      <c r="F1104" s="2">
        <v>18000</v>
      </c>
      <c r="G1104" s="2">
        <v>4</v>
      </c>
      <c r="H1104" s="2">
        <v>5</v>
      </c>
      <c r="I1104">
        <f t="shared" si="85"/>
        <v>72000</v>
      </c>
      <c r="J1104">
        <f t="shared" si="86"/>
        <v>3600</v>
      </c>
      <c r="K1104" s="6">
        <f t="shared" si="87"/>
        <v>68400</v>
      </c>
      <c r="L1104" s="2">
        <v>0</v>
      </c>
      <c r="M1104" s="6">
        <f>Table1[[#This Row],[Total Sales]]+Table1[[#This Row],[Shipping Fee]]</f>
        <v>68400</v>
      </c>
      <c r="N1104" s="2" t="s">
        <v>63</v>
      </c>
      <c r="O1104" t="str">
        <f>VLOOKUP(Table1[[#This Row],[Order ID]],Status!A:B, 2,FALSE)</f>
        <v>Completed</v>
      </c>
      <c r="P1104" s="2" t="s">
        <v>82</v>
      </c>
      <c r="Q1104" s="2">
        <v>1</v>
      </c>
      <c r="R1104" s="2" t="s">
        <v>24</v>
      </c>
      <c r="S1104" s="11" t="str">
        <f t="shared" si="88"/>
        <v>Rendah</v>
      </c>
      <c r="T1104" s="2" t="str">
        <f t="shared" si="89"/>
        <v>Sangat Rendah</v>
      </c>
    </row>
    <row r="1105" spans="1:20" ht="15.75" customHeight="1" x14ac:dyDescent="0.3">
      <c r="A1105" s="4" t="s">
        <v>1281</v>
      </c>
      <c r="B1105" s="3">
        <v>45720.294849537036</v>
      </c>
      <c r="C1105" s="2" t="s">
        <v>402</v>
      </c>
      <c r="D1105" s="2" t="s">
        <v>163</v>
      </c>
      <c r="E1105" s="2" t="s">
        <v>67</v>
      </c>
      <c r="F1105" s="2">
        <v>15000</v>
      </c>
      <c r="G1105" s="2">
        <v>2</v>
      </c>
      <c r="H1105" s="2">
        <v>10</v>
      </c>
      <c r="I1105">
        <f t="shared" si="85"/>
        <v>30000</v>
      </c>
      <c r="J1105">
        <f t="shared" si="86"/>
        <v>3000</v>
      </c>
      <c r="K1105" s="6">
        <f t="shared" si="87"/>
        <v>27000</v>
      </c>
      <c r="L1105" s="2">
        <v>50000</v>
      </c>
      <c r="M1105" s="6">
        <f>Table1[[#This Row],[Total Sales]]+Table1[[#This Row],[Shipping Fee]]</f>
        <v>77000</v>
      </c>
      <c r="N1105" s="2" t="s">
        <v>29</v>
      </c>
      <c r="O1105" t="str">
        <f>VLOOKUP(Table1[[#This Row],[Order ID]],Status!A:B, 2,FALSE)</f>
        <v>Completed</v>
      </c>
      <c r="P1105" s="2" t="s">
        <v>30</v>
      </c>
      <c r="Q1105" s="2">
        <v>2</v>
      </c>
      <c r="R1105" s="2" t="s">
        <v>24</v>
      </c>
      <c r="S1105" s="11" t="str">
        <f t="shared" si="88"/>
        <v>Rendah</v>
      </c>
      <c r="T1105" s="2" t="str">
        <f t="shared" si="89"/>
        <v>Sangat Rendah</v>
      </c>
    </row>
    <row r="1106" spans="1:20" ht="15.75" customHeight="1" x14ac:dyDescent="0.3">
      <c r="A1106" s="4" t="s">
        <v>1280</v>
      </c>
      <c r="B1106" s="3">
        <v>45720.173634259263</v>
      </c>
      <c r="C1106" s="2" t="s">
        <v>1091</v>
      </c>
      <c r="D1106" s="2" t="s">
        <v>160</v>
      </c>
      <c r="E1106" s="2" t="s">
        <v>41</v>
      </c>
      <c r="F1106" s="2">
        <v>4000</v>
      </c>
      <c r="G1106" s="2">
        <v>1</v>
      </c>
      <c r="H1106" s="2">
        <v>5</v>
      </c>
      <c r="I1106">
        <f t="shared" si="85"/>
        <v>4000</v>
      </c>
      <c r="J1106">
        <f t="shared" si="86"/>
        <v>200</v>
      </c>
      <c r="K1106" s="6">
        <f t="shared" si="87"/>
        <v>3800</v>
      </c>
      <c r="L1106" s="2">
        <v>68000</v>
      </c>
      <c r="M1106" s="6">
        <f>Table1[[#This Row],[Total Sales]]+Table1[[#This Row],[Shipping Fee]]</f>
        <v>71800</v>
      </c>
      <c r="N1106" s="2" t="s">
        <v>35</v>
      </c>
      <c r="O1106" t="str">
        <f>VLOOKUP(Table1[[#This Row],[Order ID]],Status!A:B, 2,FALSE)</f>
        <v>Completed</v>
      </c>
      <c r="P1106" s="2" t="s">
        <v>23</v>
      </c>
      <c r="Q1106" s="2">
        <v>4</v>
      </c>
      <c r="R1106" s="2" t="s">
        <v>37</v>
      </c>
      <c r="S1106" s="11" t="str">
        <f t="shared" si="88"/>
        <v>Bagus</v>
      </c>
      <c r="T1106" s="2" t="str">
        <f t="shared" si="89"/>
        <v>Sangat Rendah</v>
      </c>
    </row>
    <row r="1107" spans="1:20" ht="15.75" customHeight="1" x14ac:dyDescent="0.3">
      <c r="A1107" s="4" t="s">
        <v>1279</v>
      </c>
      <c r="B1107" s="3">
        <v>45720.108634259261</v>
      </c>
      <c r="C1107" s="2" t="s">
        <v>451</v>
      </c>
      <c r="D1107" s="2" t="s">
        <v>116</v>
      </c>
      <c r="E1107" s="2" t="s">
        <v>45</v>
      </c>
      <c r="F1107" s="2">
        <v>40000</v>
      </c>
      <c r="G1107" s="2">
        <v>4</v>
      </c>
      <c r="H1107" s="2">
        <v>0</v>
      </c>
      <c r="I1107">
        <f t="shared" si="85"/>
        <v>160000</v>
      </c>
      <c r="J1107">
        <f t="shared" si="86"/>
        <v>0</v>
      </c>
      <c r="K1107" s="6">
        <f t="shared" si="87"/>
        <v>160000</v>
      </c>
      <c r="L1107" s="2">
        <v>72000</v>
      </c>
      <c r="M1107" s="6">
        <f>Table1[[#This Row],[Total Sales]]+Table1[[#This Row],[Shipping Fee]]</f>
        <v>232000</v>
      </c>
      <c r="N1107" s="2" t="s">
        <v>29</v>
      </c>
      <c r="O1107" t="str">
        <f>VLOOKUP(Table1[[#This Row],[Order ID]],Status!A:B, 2,FALSE)</f>
        <v>Completed</v>
      </c>
      <c r="P1107" s="2" t="s">
        <v>23</v>
      </c>
      <c r="Q1107" s="2">
        <v>4</v>
      </c>
      <c r="R1107" s="2" t="s">
        <v>24</v>
      </c>
      <c r="S1107" s="11" t="str">
        <f t="shared" si="88"/>
        <v>Bagus</v>
      </c>
      <c r="T1107" s="2" t="str">
        <f t="shared" si="89"/>
        <v>Sangat Rendah</v>
      </c>
    </row>
    <row r="1108" spans="1:20" ht="15.75" customHeight="1" x14ac:dyDescent="0.3">
      <c r="A1108" s="4" t="s">
        <v>1277</v>
      </c>
      <c r="B1108" s="3">
        <v>45719.946967592587</v>
      </c>
      <c r="C1108" s="2" t="s">
        <v>1278</v>
      </c>
      <c r="D1108" s="2" t="s">
        <v>74</v>
      </c>
      <c r="E1108" s="2" t="s">
        <v>67</v>
      </c>
      <c r="F1108" s="2">
        <v>15000</v>
      </c>
      <c r="G1108" s="2">
        <v>1</v>
      </c>
      <c r="H1108" s="2">
        <v>10</v>
      </c>
      <c r="I1108">
        <f t="shared" si="85"/>
        <v>15000</v>
      </c>
      <c r="J1108">
        <f t="shared" si="86"/>
        <v>1500</v>
      </c>
      <c r="K1108" s="6">
        <f t="shared" si="87"/>
        <v>13500</v>
      </c>
      <c r="L1108" s="2">
        <v>87000</v>
      </c>
      <c r="M1108" s="6">
        <f>Table1[[#This Row],[Total Sales]]+Table1[[#This Row],[Shipping Fee]]</f>
        <v>100500</v>
      </c>
      <c r="N1108" s="2" t="s">
        <v>29</v>
      </c>
      <c r="O1108" t="str">
        <f>VLOOKUP(Table1[[#This Row],[Order ID]],Status!A:B, 2,FALSE)</f>
        <v>Returned</v>
      </c>
      <c r="P1108" s="2" t="s">
        <v>82</v>
      </c>
      <c r="Q1108" s="2">
        <v>1</v>
      </c>
      <c r="R1108" s="2" t="s">
        <v>24</v>
      </c>
      <c r="S1108" s="11" t="str">
        <f t="shared" si="88"/>
        <v>Rendah</v>
      </c>
      <c r="T1108" s="2" t="str">
        <f t="shared" si="89"/>
        <v>Sangat Rendah</v>
      </c>
    </row>
    <row r="1109" spans="1:20" ht="15.75" customHeight="1" x14ac:dyDescent="0.3">
      <c r="A1109" s="4" t="s">
        <v>1276</v>
      </c>
      <c r="B1109" s="3">
        <v>45719.933981481481</v>
      </c>
      <c r="C1109" s="2" t="s">
        <v>199</v>
      </c>
      <c r="D1109" s="2" t="s">
        <v>143</v>
      </c>
      <c r="E1109" s="2" t="s">
        <v>62</v>
      </c>
      <c r="F1109" s="2">
        <v>50000</v>
      </c>
      <c r="G1109" s="2">
        <v>1</v>
      </c>
      <c r="H1109" s="2">
        <v>0</v>
      </c>
      <c r="I1109">
        <f t="shared" si="85"/>
        <v>50000</v>
      </c>
      <c r="J1109">
        <f t="shared" si="86"/>
        <v>0</v>
      </c>
      <c r="K1109" s="6">
        <f t="shared" si="87"/>
        <v>50000</v>
      </c>
      <c r="L1109" s="2">
        <v>50000</v>
      </c>
      <c r="M1109" s="6">
        <f>Table1[[#This Row],[Total Sales]]+Table1[[#This Row],[Shipping Fee]]</f>
        <v>100000</v>
      </c>
      <c r="N1109" s="2" t="s">
        <v>63</v>
      </c>
      <c r="O1109" t="str">
        <f>VLOOKUP(Table1[[#This Row],[Order ID]],Status!A:B, 2,FALSE)</f>
        <v>Completed</v>
      </c>
      <c r="P1109" s="2" t="s">
        <v>36</v>
      </c>
      <c r="Q1109" s="2">
        <v>3</v>
      </c>
      <c r="R1109" s="2" t="s">
        <v>24</v>
      </c>
      <c r="S1109" s="11" t="str">
        <f t="shared" si="88"/>
        <v>Standar</v>
      </c>
      <c r="T1109" s="2" t="str">
        <f t="shared" si="89"/>
        <v>Sangat Rendah</v>
      </c>
    </row>
    <row r="1110" spans="1:20" ht="15.75" customHeight="1" x14ac:dyDescent="0.3">
      <c r="A1110" s="4" t="s">
        <v>1275</v>
      </c>
      <c r="B1110" s="3">
        <v>45719.600648148153</v>
      </c>
      <c r="C1110" s="2" t="s">
        <v>269</v>
      </c>
      <c r="D1110" s="2" t="s">
        <v>173</v>
      </c>
      <c r="E1110" s="2" t="s">
        <v>38</v>
      </c>
      <c r="F1110" s="2">
        <v>28000</v>
      </c>
      <c r="G1110" s="2">
        <v>1</v>
      </c>
      <c r="H1110" s="2">
        <v>15</v>
      </c>
      <c r="I1110">
        <f t="shared" si="85"/>
        <v>28000</v>
      </c>
      <c r="J1110">
        <f t="shared" si="86"/>
        <v>4200</v>
      </c>
      <c r="K1110" s="6">
        <f t="shared" si="87"/>
        <v>23800</v>
      </c>
      <c r="L1110" s="2">
        <v>49000</v>
      </c>
      <c r="M1110" s="6">
        <f>Table1[[#This Row],[Total Sales]]+Table1[[#This Row],[Shipping Fee]]</f>
        <v>72800</v>
      </c>
      <c r="N1110" s="2" t="s">
        <v>35</v>
      </c>
      <c r="O1110" t="str">
        <f>VLOOKUP(Table1[[#This Row],[Order ID]],Status!A:B, 2,FALSE)</f>
        <v>Completed</v>
      </c>
      <c r="P1110" s="2" t="s">
        <v>23</v>
      </c>
      <c r="Q1110" s="2">
        <v>3</v>
      </c>
      <c r="R1110" s="2" t="s">
        <v>37</v>
      </c>
      <c r="S1110" s="11" t="str">
        <f t="shared" si="88"/>
        <v>Standar</v>
      </c>
      <c r="T1110" s="2" t="str">
        <f t="shared" si="89"/>
        <v>Sangat Rendah</v>
      </c>
    </row>
    <row r="1111" spans="1:20" ht="15.75" customHeight="1" x14ac:dyDescent="0.3">
      <c r="A1111" s="4" t="s">
        <v>1274</v>
      </c>
      <c r="B1111" s="3">
        <v>45719.554074074083</v>
      </c>
      <c r="C1111" s="2" t="s">
        <v>959</v>
      </c>
      <c r="D1111" s="2" t="s">
        <v>182</v>
      </c>
      <c r="E1111" s="2" t="s">
        <v>41</v>
      </c>
      <c r="F1111" s="2">
        <v>4000</v>
      </c>
      <c r="G1111" s="2">
        <v>1</v>
      </c>
      <c r="H1111" s="2">
        <v>10</v>
      </c>
      <c r="I1111">
        <f t="shared" si="85"/>
        <v>4000</v>
      </c>
      <c r="J1111">
        <f t="shared" si="86"/>
        <v>400</v>
      </c>
      <c r="K1111" s="6">
        <f t="shared" si="87"/>
        <v>3600</v>
      </c>
      <c r="L1111" s="2">
        <v>48000</v>
      </c>
      <c r="M1111" s="6">
        <f>Table1[[#This Row],[Total Sales]]+Table1[[#This Row],[Shipping Fee]]</f>
        <v>51600</v>
      </c>
      <c r="N1111" s="2" t="s">
        <v>63</v>
      </c>
      <c r="O1111" t="str">
        <f>VLOOKUP(Table1[[#This Row],[Order ID]],Status!A:B, 2,FALSE)</f>
        <v>Returned</v>
      </c>
      <c r="P1111" s="2" t="s">
        <v>46</v>
      </c>
      <c r="Q1111" s="2">
        <v>1</v>
      </c>
      <c r="R1111" s="2" t="s">
        <v>24</v>
      </c>
      <c r="S1111" s="11" t="str">
        <f t="shared" si="88"/>
        <v>Rendah</v>
      </c>
      <c r="T1111" s="2" t="str">
        <f t="shared" si="89"/>
        <v>Sangat Rendah</v>
      </c>
    </row>
    <row r="1112" spans="1:20" ht="15.75" customHeight="1" x14ac:dyDescent="0.3">
      <c r="A1112" s="4" t="s">
        <v>1273</v>
      </c>
      <c r="B1112" s="3">
        <v>45719.348402777781</v>
      </c>
      <c r="C1112" s="2" t="s">
        <v>98</v>
      </c>
      <c r="D1112" s="2" t="s">
        <v>92</v>
      </c>
      <c r="E1112" s="2" t="s">
        <v>88</v>
      </c>
      <c r="F1112" s="2">
        <v>14000</v>
      </c>
      <c r="G1112" s="2">
        <v>1</v>
      </c>
      <c r="H1112" s="2">
        <v>10</v>
      </c>
      <c r="I1112">
        <f t="shared" si="85"/>
        <v>14000</v>
      </c>
      <c r="J1112">
        <f t="shared" si="86"/>
        <v>1400</v>
      </c>
      <c r="K1112" s="6">
        <f t="shared" si="87"/>
        <v>12600</v>
      </c>
      <c r="L1112" s="2">
        <v>30000</v>
      </c>
      <c r="M1112" s="6">
        <f>Table1[[#This Row],[Total Sales]]+Table1[[#This Row],[Shipping Fee]]</f>
        <v>42600</v>
      </c>
      <c r="N1112" s="2" t="s">
        <v>63</v>
      </c>
      <c r="O1112" t="str">
        <f>VLOOKUP(Table1[[#This Row],[Order ID]],Status!A:B, 2,FALSE)</f>
        <v>Completed</v>
      </c>
      <c r="P1112" s="2" t="s">
        <v>23</v>
      </c>
      <c r="Q1112" s="2">
        <v>5</v>
      </c>
      <c r="R1112" s="2" t="s">
        <v>24</v>
      </c>
      <c r="S1112" s="11" t="str">
        <f t="shared" si="88"/>
        <v>Bagus</v>
      </c>
      <c r="T1112" s="2" t="str">
        <f t="shared" si="89"/>
        <v>Sangat Rendah</v>
      </c>
    </row>
    <row r="1113" spans="1:20" ht="15.75" customHeight="1" x14ac:dyDescent="0.3">
      <c r="A1113" s="4" t="s">
        <v>1272</v>
      </c>
      <c r="B1113" s="3">
        <v>45718.805578703701</v>
      </c>
      <c r="C1113" s="2" t="s">
        <v>261</v>
      </c>
      <c r="D1113" s="2" t="s">
        <v>262</v>
      </c>
      <c r="E1113" s="2" t="s">
        <v>50</v>
      </c>
      <c r="F1113" s="2">
        <v>14000</v>
      </c>
      <c r="G1113" s="2">
        <v>1</v>
      </c>
      <c r="H1113" s="2">
        <v>5</v>
      </c>
      <c r="I1113">
        <f t="shared" si="85"/>
        <v>14000</v>
      </c>
      <c r="J1113">
        <f t="shared" si="86"/>
        <v>700</v>
      </c>
      <c r="K1113" s="6">
        <f t="shared" si="87"/>
        <v>13300</v>
      </c>
      <c r="L1113" s="2">
        <v>18000</v>
      </c>
      <c r="M1113" s="6">
        <f>Table1[[#This Row],[Total Sales]]+Table1[[#This Row],[Shipping Fee]]</f>
        <v>31300</v>
      </c>
      <c r="N1113" s="2" t="s">
        <v>29</v>
      </c>
      <c r="O1113" t="str">
        <f>VLOOKUP(Table1[[#This Row],[Order ID]],Status!A:B, 2,FALSE)</f>
        <v>Completed</v>
      </c>
      <c r="P1113" s="2" t="s">
        <v>30</v>
      </c>
      <c r="Q1113" s="2">
        <v>4</v>
      </c>
      <c r="R1113" s="2" t="s">
        <v>24</v>
      </c>
      <c r="S1113" s="11" t="str">
        <f t="shared" si="88"/>
        <v>Bagus</v>
      </c>
      <c r="T1113" s="2" t="str">
        <f t="shared" si="89"/>
        <v>Sangat Rendah</v>
      </c>
    </row>
    <row r="1114" spans="1:20" ht="15.75" customHeight="1" x14ac:dyDescent="0.3">
      <c r="A1114" s="4" t="s">
        <v>1271</v>
      </c>
      <c r="B1114" s="3">
        <v>45718.775312500002</v>
      </c>
      <c r="C1114" s="2" t="s">
        <v>385</v>
      </c>
      <c r="D1114" s="2" t="s">
        <v>375</v>
      </c>
      <c r="E1114" s="2" t="s">
        <v>174</v>
      </c>
      <c r="F1114" s="2">
        <v>10000</v>
      </c>
      <c r="G1114" s="2">
        <v>2</v>
      </c>
      <c r="H1114" s="2">
        <v>15</v>
      </c>
      <c r="I1114">
        <f t="shared" si="85"/>
        <v>20000</v>
      </c>
      <c r="J1114">
        <f t="shared" si="86"/>
        <v>3000</v>
      </c>
      <c r="K1114" s="6">
        <f t="shared" si="87"/>
        <v>17000</v>
      </c>
      <c r="L1114" s="2">
        <v>21000</v>
      </c>
      <c r="M1114" s="6">
        <f>Table1[[#This Row],[Total Sales]]+Table1[[#This Row],[Shipping Fee]]</f>
        <v>38000</v>
      </c>
      <c r="N1114" s="2" t="s">
        <v>29</v>
      </c>
      <c r="O1114" t="str">
        <f>VLOOKUP(Table1[[#This Row],[Order ID]],Status!A:B, 2,FALSE)</f>
        <v>Completed</v>
      </c>
      <c r="P1114" s="2" t="s">
        <v>30</v>
      </c>
      <c r="Q1114" s="2">
        <v>3</v>
      </c>
      <c r="R1114" s="2" t="s">
        <v>24</v>
      </c>
      <c r="S1114" s="11" t="str">
        <f t="shared" si="88"/>
        <v>Standar</v>
      </c>
      <c r="T1114" s="2" t="str">
        <f t="shared" si="89"/>
        <v>Sangat Rendah</v>
      </c>
    </row>
    <row r="1115" spans="1:20" ht="15.75" customHeight="1" x14ac:dyDescent="0.3">
      <c r="A1115" s="4" t="s">
        <v>1269</v>
      </c>
      <c r="B1115" s="3">
        <v>45718.266932870371</v>
      </c>
      <c r="C1115" s="2" t="s">
        <v>1270</v>
      </c>
      <c r="D1115" s="2" t="s">
        <v>182</v>
      </c>
      <c r="E1115" s="2" t="s">
        <v>123</v>
      </c>
      <c r="F1115" s="2">
        <v>22000</v>
      </c>
      <c r="G1115" s="2">
        <v>3</v>
      </c>
      <c r="H1115" s="2">
        <v>15</v>
      </c>
      <c r="I1115">
        <f t="shared" si="85"/>
        <v>66000</v>
      </c>
      <c r="J1115">
        <f t="shared" si="86"/>
        <v>9900</v>
      </c>
      <c r="K1115" s="6">
        <f t="shared" si="87"/>
        <v>56100</v>
      </c>
      <c r="L1115" s="2">
        <v>48000</v>
      </c>
      <c r="M1115" s="6">
        <f>Table1[[#This Row],[Total Sales]]+Table1[[#This Row],[Shipping Fee]]</f>
        <v>104100</v>
      </c>
      <c r="N1115" s="2" t="s">
        <v>29</v>
      </c>
      <c r="O1115" t="str">
        <f>VLOOKUP(Table1[[#This Row],[Order ID]],Status!A:B, 2,FALSE)</f>
        <v>Completed</v>
      </c>
      <c r="P1115" s="2" t="s">
        <v>36</v>
      </c>
      <c r="Q1115" s="2">
        <v>3</v>
      </c>
      <c r="R1115" s="2" t="s">
        <v>24</v>
      </c>
      <c r="S1115" s="11" t="str">
        <f t="shared" si="88"/>
        <v>Standar</v>
      </c>
      <c r="T1115" s="2" t="str">
        <f t="shared" si="89"/>
        <v>Rendah</v>
      </c>
    </row>
    <row r="1116" spans="1:20" ht="15.75" customHeight="1" x14ac:dyDescent="0.3">
      <c r="A1116" s="4" t="s">
        <v>1268</v>
      </c>
      <c r="B1116" s="3">
        <v>45717.837037037039</v>
      </c>
      <c r="C1116" s="2" t="s">
        <v>1098</v>
      </c>
      <c r="D1116" s="2" t="s">
        <v>126</v>
      </c>
      <c r="E1116" s="2" t="s">
        <v>75</v>
      </c>
      <c r="F1116" s="2">
        <v>55000</v>
      </c>
      <c r="G1116" s="2">
        <v>1</v>
      </c>
      <c r="H1116" s="2">
        <v>20</v>
      </c>
      <c r="I1116">
        <f t="shared" si="85"/>
        <v>55000</v>
      </c>
      <c r="J1116">
        <f t="shared" si="86"/>
        <v>11000</v>
      </c>
      <c r="K1116" s="6">
        <f t="shared" si="87"/>
        <v>44000</v>
      </c>
      <c r="L1116" s="2">
        <v>84000</v>
      </c>
      <c r="M1116" s="6">
        <f>Table1[[#This Row],[Total Sales]]+Table1[[#This Row],[Shipping Fee]]</f>
        <v>128000</v>
      </c>
      <c r="N1116" s="2" t="s">
        <v>35</v>
      </c>
      <c r="O1116" t="str">
        <f>VLOOKUP(Table1[[#This Row],[Order ID]],Status!A:B, 2,FALSE)</f>
        <v>Completed</v>
      </c>
      <c r="P1116" s="2" t="s">
        <v>36</v>
      </c>
      <c r="Q1116" s="2">
        <v>4</v>
      </c>
      <c r="R1116" s="2" t="s">
        <v>37</v>
      </c>
      <c r="S1116" s="11" t="str">
        <f t="shared" si="88"/>
        <v>Bagus</v>
      </c>
      <c r="T1116" s="2" t="str">
        <f t="shared" si="89"/>
        <v>Normal</v>
      </c>
    </row>
    <row r="1117" spans="1:20" ht="15.75" customHeight="1" x14ac:dyDescent="0.3">
      <c r="A1117" s="4" t="s">
        <v>1267</v>
      </c>
      <c r="B1117" s="3">
        <v>45717.831157407411</v>
      </c>
      <c r="C1117" s="2" t="s">
        <v>1053</v>
      </c>
      <c r="D1117" s="2" t="s">
        <v>80</v>
      </c>
      <c r="E1117" s="2" t="s">
        <v>75</v>
      </c>
      <c r="F1117" s="2">
        <v>55000</v>
      </c>
      <c r="G1117" s="2">
        <v>4</v>
      </c>
      <c r="H1117" s="2">
        <v>15</v>
      </c>
      <c r="I1117">
        <f t="shared" si="85"/>
        <v>220000</v>
      </c>
      <c r="J1117">
        <f t="shared" si="86"/>
        <v>33000</v>
      </c>
      <c r="K1117" s="6">
        <f t="shared" si="87"/>
        <v>187000</v>
      </c>
      <c r="L1117" s="2">
        <v>74000</v>
      </c>
      <c r="M1117" s="6">
        <f>Table1[[#This Row],[Total Sales]]+Table1[[#This Row],[Shipping Fee]]</f>
        <v>261000</v>
      </c>
      <c r="N1117" s="2" t="s">
        <v>63</v>
      </c>
      <c r="O1117" t="str">
        <f>VLOOKUP(Table1[[#This Row],[Order ID]],Status!A:B, 2,FALSE)</f>
        <v>Completed</v>
      </c>
      <c r="P1117" s="2" t="s">
        <v>23</v>
      </c>
      <c r="Q1117" s="2">
        <v>2</v>
      </c>
      <c r="R1117" s="2" t="s">
        <v>24</v>
      </c>
      <c r="S1117" s="11" t="str">
        <f t="shared" si="88"/>
        <v>Rendah</v>
      </c>
      <c r="T1117" s="2" t="str">
        <f t="shared" si="89"/>
        <v>Tinggi</v>
      </c>
    </row>
    <row r="1118" spans="1:20" ht="15.75" customHeight="1" x14ac:dyDescent="0.3">
      <c r="A1118" s="4" t="s">
        <v>1266</v>
      </c>
      <c r="B1118" s="3">
        <v>45717.747175925928</v>
      </c>
      <c r="C1118" s="2" t="s">
        <v>821</v>
      </c>
      <c r="D1118" s="2" t="s">
        <v>131</v>
      </c>
      <c r="E1118" s="2" t="s">
        <v>28</v>
      </c>
      <c r="F1118" s="2">
        <v>5000</v>
      </c>
      <c r="G1118" s="2">
        <v>4</v>
      </c>
      <c r="H1118" s="2">
        <v>0</v>
      </c>
      <c r="I1118">
        <f t="shared" si="85"/>
        <v>20000</v>
      </c>
      <c r="J1118">
        <f t="shared" si="86"/>
        <v>0</v>
      </c>
      <c r="K1118" s="6">
        <f t="shared" si="87"/>
        <v>20000</v>
      </c>
      <c r="L1118" s="2">
        <v>59000</v>
      </c>
      <c r="M1118" s="6">
        <f>Table1[[#This Row],[Total Sales]]+Table1[[#This Row],[Shipping Fee]]</f>
        <v>79000</v>
      </c>
      <c r="N1118" s="2" t="s">
        <v>35</v>
      </c>
      <c r="O1118" t="str">
        <f>VLOOKUP(Table1[[#This Row],[Order ID]],Status!A:B, 2,FALSE)</f>
        <v>Completed</v>
      </c>
      <c r="P1118" s="2" t="s">
        <v>36</v>
      </c>
      <c r="Q1118" s="2">
        <v>4</v>
      </c>
      <c r="R1118" s="2" t="s">
        <v>24</v>
      </c>
      <c r="S1118" s="11" t="str">
        <f t="shared" si="88"/>
        <v>Bagus</v>
      </c>
      <c r="T1118" s="2" t="str">
        <f t="shared" si="89"/>
        <v>Sangat Rendah</v>
      </c>
    </row>
    <row r="1119" spans="1:20" ht="15.75" customHeight="1" x14ac:dyDescent="0.3">
      <c r="A1119" s="4" t="s">
        <v>1265</v>
      </c>
      <c r="B1119" s="3">
        <v>45717.567476851851</v>
      </c>
      <c r="C1119" s="2" t="s">
        <v>1098</v>
      </c>
      <c r="D1119" s="2" t="s">
        <v>126</v>
      </c>
      <c r="E1119" s="2" t="s">
        <v>85</v>
      </c>
      <c r="F1119" s="2">
        <v>35000</v>
      </c>
      <c r="G1119" s="2">
        <v>2</v>
      </c>
      <c r="H1119" s="2">
        <v>15</v>
      </c>
      <c r="I1119">
        <f t="shared" si="85"/>
        <v>70000</v>
      </c>
      <c r="J1119">
        <f t="shared" si="86"/>
        <v>10500</v>
      </c>
      <c r="K1119" s="6">
        <f t="shared" si="87"/>
        <v>59500</v>
      </c>
      <c r="L1119" s="2">
        <v>84000</v>
      </c>
      <c r="M1119" s="6">
        <f>Table1[[#This Row],[Total Sales]]+Table1[[#This Row],[Shipping Fee]]</f>
        <v>143500</v>
      </c>
      <c r="N1119" s="2" t="s">
        <v>22</v>
      </c>
      <c r="O1119" t="str">
        <f>VLOOKUP(Table1[[#This Row],[Order ID]],Status!A:B, 2,FALSE)</f>
        <v>Completed</v>
      </c>
      <c r="P1119" s="2" t="s">
        <v>23</v>
      </c>
      <c r="Q1119" s="2">
        <v>4</v>
      </c>
      <c r="R1119" s="2" t="s">
        <v>37</v>
      </c>
      <c r="S1119" s="11" t="str">
        <f t="shared" si="88"/>
        <v>Bagus</v>
      </c>
      <c r="T1119" s="2" t="str">
        <f t="shared" si="89"/>
        <v>Normal</v>
      </c>
    </row>
    <row r="1120" spans="1:20" ht="15.75" customHeight="1" x14ac:dyDescent="0.3">
      <c r="A1120" s="4" t="s">
        <v>1264</v>
      </c>
      <c r="B1120" s="3">
        <v>45717.271678240737</v>
      </c>
      <c r="C1120" s="2" t="s">
        <v>162</v>
      </c>
      <c r="D1120" s="2" t="s">
        <v>163</v>
      </c>
      <c r="E1120" s="2" t="s">
        <v>45</v>
      </c>
      <c r="F1120" s="2">
        <v>40000</v>
      </c>
      <c r="G1120" s="2">
        <v>5</v>
      </c>
      <c r="H1120" s="2">
        <v>15</v>
      </c>
      <c r="I1120">
        <f t="shared" si="85"/>
        <v>200000</v>
      </c>
      <c r="J1120">
        <f t="shared" si="86"/>
        <v>30000</v>
      </c>
      <c r="K1120" s="6">
        <f t="shared" si="87"/>
        <v>170000</v>
      </c>
      <c r="L1120" s="2">
        <v>50000</v>
      </c>
      <c r="M1120" s="6">
        <f>Table1[[#This Row],[Total Sales]]+Table1[[#This Row],[Shipping Fee]]</f>
        <v>220000</v>
      </c>
      <c r="N1120" s="2" t="s">
        <v>35</v>
      </c>
      <c r="O1120" t="str">
        <f>VLOOKUP(Table1[[#This Row],[Order ID]],Status!A:B, 2,FALSE)</f>
        <v>Completed</v>
      </c>
      <c r="P1120" s="2" t="s">
        <v>30</v>
      </c>
      <c r="Q1120" s="2">
        <v>5</v>
      </c>
      <c r="R1120" s="2" t="s">
        <v>24</v>
      </c>
      <c r="S1120" s="11" t="str">
        <f t="shared" si="88"/>
        <v>Bagus</v>
      </c>
      <c r="T1120" s="2" t="str">
        <f t="shared" si="89"/>
        <v>Tinggi</v>
      </c>
    </row>
    <row r="1121" spans="1:20" ht="15.75" customHeight="1" x14ac:dyDescent="0.3">
      <c r="A1121" s="4" t="s">
        <v>1262</v>
      </c>
      <c r="B1121" s="3">
        <v>45717.145219907397</v>
      </c>
      <c r="C1121" s="2" t="s">
        <v>1263</v>
      </c>
      <c r="D1121" s="2" t="s">
        <v>435</v>
      </c>
      <c r="E1121" s="2" t="s">
        <v>85</v>
      </c>
      <c r="F1121" s="2">
        <v>35000</v>
      </c>
      <c r="G1121" s="2">
        <v>1</v>
      </c>
      <c r="H1121" s="2">
        <v>5</v>
      </c>
      <c r="I1121">
        <f t="shared" si="85"/>
        <v>35000</v>
      </c>
      <c r="J1121">
        <f t="shared" si="86"/>
        <v>1750</v>
      </c>
      <c r="K1121" s="6">
        <f t="shared" si="87"/>
        <v>33250</v>
      </c>
      <c r="L1121" s="2">
        <v>67000</v>
      </c>
      <c r="M1121" s="6">
        <f>Table1[[#This Row],[Total Sales]]+Table1[[#This Row],[Shipping Fee]]</f>
        <v>100250</v>
      </c>
      <c r="N1121" s="2" t="s">
        <v>22</v>
      </c>
      <c r="O1121" t="str">
        <f>VLOOKUP(Table1[[#This Row],[Order ID]],Status!A:B, 2,FALSE)</f>
        <v>Completed</v>
      </c>
      <c r="P1121" s="2" t="s">
        <v>23</v>
      </c>
      <c r="Q1121" s="2">
        <v>3</v>
      </c>
      <c r="R1121" s="2" t="s">
        <v>24</v>
      </c>
      <c r="S1121" s="11" t="str">
        <f t="shared" si="88"/>
        <v>Standar</v>
      </c>
      <c r="T1121" s="2" t="str">
        <f t="shared" si="89"/>
        <v>Sangat Rendah</v>
      </c>
    </row>
    <row r="1122" spans="1:20" ht="15.75" customHeight="1" x14ac:dyDescent="0.3">
      <c r="A1122" s="4" t="s">
        <v>1261</v>
      </c>
      <c r="B1122" s="3">
        <v>45716.935740740737</v>
      </c>
      <c r="C1122" s="2" t="s">
        <v>421</v>
      </c>
      <c r="D1122" s="2" t="s">
        <v>103</v>
      </c>
      <c r="E1122" s="2" t="s">
        <v>110</v>
      </c>
      <c r="F1122" s="2">
        <v>6000</v>
      </c>
      <c r="G1122" s="2">
        <v>4</v>
      </c>
      <c r="H1122" s="2">
        <v>0</v>
      </c>
      <c r="I1122">
        <f t="shared" si="85"/>
        <v>24000</v>
      </c>
      <c r="J1122">
        <f t="shared" si="86"/>
        <v>0</v>
      </c>
      <c r="K1122" s="6">
        <f t="shared" si="87"/>
        <v>24000</v>
      </c>
      <c r="L1122" s="2">
        <v>85000</v>
      </c>
      <c r="M1122" s="6">
        <f>Table1[[#This Row],[Total Sales]]+Table1[[#This Row],[Shipping Fee]]</f>
        <v>109000</v>
      </c>
      <c r="N1122" s="2" t="s">
        <v>22</v>
      </c>
      <c r="O1122" t="str">
        <f>VLOOKUP(Table1[[#This Row],[Order ID]],Status!A:B, 2,FALSE)</f>
        <v>Returned</v>
      </c>
      <c r="P1122" s="2" t="s">
        <v>46</v>
      </c>
      <c r="Q1122" s="2">
        <v>3</v>
      </c>
      <c r="R1122" s="2" t="s">
        <v>24</v>
      </c>
      <c r="S1122" s="11" t="str">
        <f t="shared" si="88"/>
        <v>Standar</v>
      </c>
      <c r="T1122" s="2" t="str">
        <f t="shared" si="89"/>
        <v>Sangat Rendah</v>
      </c>
    </row>
    <row r="1123" spans="1:20" ht="15.75" customHeight="1" x14ac:dyDescent="0.3">
      <c r="A1123" s="4" t="s">
        <v>1260</v>
      </c>
      <c r="B1123" s="3">
        <v>45716.888009259259</v>
      </c>
      <c r="C1123" s="2" t="s">
        <v>159</v>
      </c>
      <c r="D1123" s="2" t="s">
        <v>160</v>
      </c>
      <c r="E1123" s="2" t="s">
        <v>54</v>
      </c>
      <c r="F1123" s="2">
        <v>16000</v>
      </c>
      <c r="G1123" s="2">
        <v>2</v>
      </c>
      <c r="H1123" s="2">
        <v>0</v>
      </c>
      <c r="I1123">
        <f t="shared" si="85"/>
        <v>32000</v>
      </c>
      <c r="J1123">
        <f t="shared" si="86"/>
        <v>0</v>
      </c>
      <c r="K1123" s="6">
        <f t="shared" si="87"/>
        <v>32000</v>
      </c>
      <c r="L1123" s="2">
        <v>68000</v>
      </c>
      <c r="M1123" s="6">
        <f>Table1[[#This Row],[Total Sales]]+Table1[[#This Row],[Shipping Fee]]</f>
        <v>100000</v>
      </c>
      <c r="N1123" s="2" t="s">
        <v>22</v>
      </c>
      <c r="O1123" t="str">
        <f>VLOOKUP(Table1[[#This Row],[Order ID]],Status!A:B, 2,FALSE)</f>
        <v>Completed</v>
      </c>
      <c r="P1123" s="2" t="s">
        <v>30</v>
      </c>
      <c r="Q1123" s="2">
        <v>2</v>
      </c>
      <c r="R1123" s="2" t="s">
        <v>24</v>
      </c>
      <c r="S1123" s="11" t="str">
        <f t="shared" si="88"/>
        <v>Rendah</v>
      </c>
      <c r="T1123" s="2" t="str">
        <f t="shared" si="89"/>
        <v>Sangat Rendah</v>
      </c>
    </row>
    <row r="1124" spans="1:20" ht="15.75" customHeight="1" x14ac:dyDescent="0.3">
      <c r="A1124" s="4" t="s">
        <v>1258</v>
      </c>
      <c r="B1124" s="3">
        <v>45716.868668981479</v>
      </c>
      <c r="C1124" s="2" t="s">
        <v>1259</v>
      </c>
      <c r="D1124" s="2" t="s">
        <v>107</v>
      </c>
      <c r="E1124" s="2" t="s">
        <v>34</v>
      </c>
      <c r="F1124" s="2">
        <v>16000</v>
      </c>
      <c r="G1124" s="2">
        <v>5</v>
      </c>
      <c r="H1124" s="2">
        <v>15</v>
      </c>
      <c r="I1124">
        <f t="shared" si="85"/>
        <v>80000</v>
      </c>
      <c r="J1124">
        <f t="shared" si="86"/>
        <v>12000</v>
      </c>
      <c r="K1124" s="6">
        <f t="shared" si="87"/>
        <v>68000</v>
      </c>
      <c r="L1124" s="2">
        <v>97000</v>
      </c>
      <c r="M1124" s="6">
        <f>Table1[[#This Row],[Total Sales]]+Table1[[#This Row],[Shipping Fee]]</f>
        <v>165000</v>
      </c>
      <c r="N1124" s="2" t="s">
        <v>35</v>
      </c>
      <c r="O1124" t="str">
        <f>VLOOKUP(Table1[[#This Row],[Order ID]],Status!A:B, 2,FALSE)</f>
        <v>Completed</v>
      </c>
      <c r="P1124" s="2" t="s">
        <v>23</v>
      </c>
      <c r="Q1124" s="2">
        <v>4</v>
      </c>
      <c r="R1124" s="2" t="s">
        <v>37</v>
      </c>
      <c r="S1124" s="11" t="str">
        <f t="shared" si="88"/>
        <v>Bagus</v>
      </c>
      <c r="T1124" s="2" t="str">
        <f t="shared" si="89"/>
        <v>Normal</v>
      </c>
    </row>
    <row r="1125" spans="1:20" ht="15.75" customHeight="1" x14ac:dyDescent="0.3">
      <c r="A1125" s="4" t="s">
        <v>1257</v>
      </c>
      <c r="B1125" s="3">
        <v>45716.807546296302</v>
      </c>
      <c r="C1125" s="2" t="s">
        <v>979</v>
      </c>
      <c r="D1125" s="2" t="s">
        <v>49</v>
      </c>
      <c r="E1125" s="2" t="s">
        <v>34</v>
      </c>
      <c r="F1125" s="2">
        <v>16000</v>
      </c>
      <c r="G1125" s="2">
        <v>5</v>
      </c>
      <c r="H1125" s="2">
        <v>5</v>
      </c>
      <c r="I1125">
        <f t="shared" si="85"/>
        <v>80000</v>
      </c>
      <c r="J1125">
        <f t="shared" si="86"/>
        <v>4000</v>
      </c>
      <c r="K1125" s="6">
        <f t="shared" si="87"/>
        <v>76000</v>
      </c>
      <c r="L1125" s="2">
        <v>43000</v>
      </c>
      <c r="M1125" s="6">
        <f>Table1[[#This Row],[Total Sales]]+Table1[[#This Row],[Shipping Fee]]</f>
        <v>119000</v>
      </c>
      <c r="N1125" s="2" t="s">
        <v>22</v>
      </c>
      <c r="O1125" t="str">
        <f>VLOOKUP(Table1[[#This Row],[Order ID]],Status!A:B, 2,FALSE)</f>
        <v>Completed</v>
      </c>
      <c r="P1125" s="2" t="s">
        <v>23</v>
      </c>
      <c r="Q1125" s="2">
        <v>1</v>
      </c>
      <c r="R1125" s="2" t="s">
        <v>24</v>
      </c>
      <c r="S1125" s="11" t="str">
        <f t="shared" si="88"/>
        <v>Rendah</v>
      </c>
      <c r="T1125" s="2" t="str">
        <f t="shared" si="89"/>
        <v>Sangat Rendah</v>
      </c>
    </row>
    <row r="1126" spans="1:20" ht="15.75" customHeight="1" x14ac:dyDescent="0.3">
      <c r="A1126" s="4" t="s">
        <v>1256</v>
      </c>
      <c r="B1126" s="3">
        <v>45716.615949074083</v>
      </c>
      <c r="C1126" s="2" t="s">
        <v>102</v>
      </c>
      <c r="D1126" s="2" t="s">
        <v>103</v>
      </c>
      <c r="E1126" s="2" t="s">
        <v>67</v>
      </c>
      <c r="F1126" s="2">
        <v>15000</v>
      </c>
      <c r="G1126" s="2">
        <v>5</v>
      </c>
      <c r="H1126" s="2">
        <v>15</v>
      </c>
      <c r="I1126">
        <f t="shared" si="85"/>
        <v>75000</v>
      </c>
      <c r="J1126">
        <f t="shared" si="86"/>
        <v>11250</v>
      </c>
      <c r="K1126" s="6">
        <f t="shared" si="87"/>
        <v>63750</v>
      </c>
      <c r="L1126" s="2">
        <v>85000</v>
      </c>
      <c r="M1126" s="6">
        <f>Table1[[#This Row],[Total Sales]]+Table1[[#This Row],[Shipping Fee]]</f>
        <v>148750</v>
      </c>
      <c r="N1126" s="2" t="s">
        <v>63</v>
      </c>
      <c r="O1126" t="str">
        <f>VLOOKUP(Table1[[#This Row],[Order ID]],Status!A:B, 2,FALSE)</f>
        <v>Completed</v>
      </c>
      <c r="P1126" s="2" t="s">
        <v>82</v>
      </c>
      <c r="Q1126" s="2">
        <v>2</v>
      </c>
      <c r="R1126" s="2" t="s">
        <v>24</v>
      </c>
      <c r="S1126" s="11" t="str">
        <f t="shared" si="88"/>
        <v>Rendah</v>
      </c>
      <c r="T1126" s="2" t="str">
        <f t="shared" si="89"/>
        <v>Normal</v>
      </c>
    </row>
    <row r="1127" spans="1:20" ht="15.75" customHeight="1" x14ac:dyDescent="0.3">
      <c r="A1127" s="4" t="s">
        <v>1255</v>
      </c>
      <c r="B1127" s="3">
        <v>45716.335428240738</v>
      </c>
      <c r="C1127" s="2" t="s">
        <v>642</v>
      </c>
      <c r="D1127" s="2" t="s">
        <v>160</v>
      </c>
      <c r="E1127" s="2" t="s">
        <v>45</v>
      </c>
      <c r="F1127" s="2">
        <v>40000</v>
      </c>
      <c r="G1127" s="2">
        <v>4</v>
      </c>
      <c r="H1127" s="2">
        <v>5</v>
      </c>
      <c r="I1127">
        <f t="shared" si="85"/>
        <v>160000</v>
      </c>
      <c r="J1127">
        <f t="shared" si="86"/>
        <v>8000</v>
      </c>
      <c r="K1127" s="6">
        <f t="shared" si="87"/>
        <v>152000</v>
      </c>
      <c r="L1127" s="2">
        <v>68000</v>
      </c>
      <c r="M1127" s="6">
        <f>Table1[[#This Row],[Total Sales]]+Table1[[#This Row],[Shipping Fee]]</f>
        <v>220000</v>
      </c>
      <c r="N1127" s="2" t="s">
        <v>22</v>
      </c>
      <c r="O1127" t="str">
        <f>VLOOKUP(Table1[[#This Row],[Order ID]],Status!A:B, 2,FALSE)</f>
        <v>Completed</v>
      </c>
      <c r="P1127" s="2" t="s">
        <v>36</v>
      </c>
      <c r="Q1127" s="2">
        <v>1</v>
      </c>
      <c r="R1127" s="2" t="s">
        <v>24</v>
      </c>
      <c r="S1127" s="11" t="str">
        <f t="shared" si="88"/>
        <v>Rendah</v>
      </c>
      <c r="T1127" s="2" t="str">
        <f t="shared" si="89"/>
        <v>Rendah</v>
      </c>
    </row>
    <row r="1128" spans="1:20" ht="15.75" customHeight="1" x14ac:dyDescent="0.3">
      <c r="A1128" s="4" t="s">
        <v>1254</v>
      </c>
      <c r="B1128" s="3">
        <v>45716.313310185193</v>
      </c>
      <c r="C1128" s="2" t="s">
        <v>100</v>
      </c>
      <c r="D1128" s="2" t="s">
        <v>66</v>
      </c>
      <c r="E1128" s="2" t="s">
        <v>28</v>
      </c>
      <c r="F1128" s="2">
        <v>5000</v>
      </c>
      <c r="G1128" s="2">
        <v>1</v>
      </c>
      <c r="H1128" s="2">
        <v>0</v>
      </c>
      <c r="I1128">
        <f t="shared" si="85"/>
        <v>5000</v>
      </c>
      <c r="J1128">
        <f t="shared" si="86"/>
        <v>0</v>
      </c>
      <c r="K1128" s="6">
        <f t="shared" si="87"/>
        <v>5000</v>
      </c>
      <c r="L1128" s="2">
        <v>59000</v>
      </c>
      <c r="M1128" s="6">
        <f>Table1[[#This Row],[Total Sales]]+Table1[[#This Row],[Shipping Fee]]</f>
        <v>64000</v>
      </c>
      <c r="N1128" s="2" t="s">
        <v>29</v>
      </c>
      <c r="O1128" t="str">
        <f>VLOOKUP(Table1[[#This Row],[Order ID]],Status!A:B, 2,FALSE)</f>
        <v>Completed</v>
      </c>
      <c r="P1128" s="2" t="s">
        <v>23</v>
      </c>
      <c r="Q1128" s="2">
        <v>1</v>
      </c>
      <c r="R1128" s="2" t="s">
        <v>24</v>
      </c>
      <c r="S1128" s="11" t="str">
        <f t="shared" si="88"/>
        <v>Rendah</v>
      </c>
      <c r="T1128" s="2" t="str">
        <f t="shared" si="89"/>
        <v>Sangat Rendah</v>
      </c>
    </row>
    <row r="1129" spans="1:20" ht="15.75" customHeight="1" x14ac:dyDescent="0.3">
      <c r="A1129" s="4" t="s">
        <v>1253</v>
      </c>
      <c r="B1129" s="3">
        <v>45716.261458333327</v>
      </c>
      <c r="C1129" s="2" t="s">
        <v>708</v>
      </c>
      <c r="D1129" s="2" t="s">
        <v>116</v>
      </c>
      <c r="E1129" s="2" t="s">
        <v>34</v>
      </c>
      <c r="F1129" s="2">
        <v>16000</v>
      </c>
      <c r="G1129" s="2">
        <v>2</v>
      </c>
      <c r="H1129" s="2">
        <v>20</v>
      </c>
      <c r="I1129">
        <f t="shared" si="85"/>
        <v>32000</v>
      </c>
      <c r="J1129">
        <f t="shared" si="86"/>
        <v>6400</v>
      </c>
      <c r="K1129" s="6">
        <f t="shared" si="87"/>
        <v>25600</v>
      </c>
      <c r="L1129" s="2">
        <v>72000</v>
      </c>
      <c r="M1129" s="6">
        <f>Table1[[#This Row],[Total Sales]]+Table1[[#This Row],[Shipping Fee]]</f>
        <v>97600</v>
      </c>
      <c r="N1129" s="2" t="s">
        <v>63</v>
      </c>
      <c r="O1129" t="str">
        <f>VLOOKUP(Table1[[#This Row],[Order ID]],Status!A:B, 2,FALSE)</f>
        <v>Cancelled</v>
      </c>
      <c r="P1129" s="2" t="s">
        <v>23</v>
      </c>
      <c r="Q1129" s="2">
        <v>4</v>
      </c>
      <c r="R1129" s="2" t="s">
        <v>24</v>
      </c>
      <c r="S1129" s="11" t="str">
        <f t="shared" si="88"/>
        <v>Bagus</v>
      </c>
      <c r="T1129" s="2" t="str">
        <f t="shared" si="89"/>
        <v>Rendah</v>
      </c>
    </row>
    <row r="1130" spans="1:20" ht="15.75" customHeight="1" x14ac:dyDescent="0.3">
      <c r="A1130" s="4" t="s">
        <v>1252</v>
      </c>
      <c r="B1130" s="3">
        <v>45715.597060185188</v>
      </c>
      <c r="C1130" s="2" t="s">
        <v>451</v>
      </c>
      <c r="D1130" s="2" t="s">
        <v>116</v>
      </c>
      <c r="E1130" s="2" t="s">
        <v>38</v>
      </c>
      <c r="F1130" s="2">
        <v>28000</v>
      </c>
      <c r="G1130" s="2">
        <v>1</v>
      </c>
      <c r="H1130" s="2">
        <v>0</v>
      </c>
      <c r="I1130">
        <f t="shared" si="85"/>
        <v>28000</v>
      </c>
      <c r="J1130">
        <f t="shared" si="86"/>
        <v>0</v>
      </c>
      <c r="K1130" s="6">
        <f t="shared" si="87"/>
        <v>28000</v>
      </c>
      <c r="L1130" s="2">
        <v>72000</v>
      </c>
      <c r="M1130" s="6">
        <f>Table1[[#This Row],[Total Sales]]+Table1[[#This Row],[Shipping Fee]]</f>
        <v>100000</v>
      </c>
      <c r="N1130" s="2" t="s">
        <v>29</v>
      </c>
      <c r="O1130" t="str">
        <f>VLOOKUP(Table1[[#This Row],[Order ID]],Status!A:B, 2,FALSE)</f>
        <v>Completed</v>
      </c>
      <c r="P1130" s="2" t="s">
        <v>23</v>
      </c>
      <c r="Q1130" s="2">
        <v>1</v>
      </c>
      <c r="R1130" s="2" t="s">
        <v>24</v>
      </c>
      <c r="S1130" s="11" t="str">
        <f t="shared" si="88"/>
        <v>Rendah</v>
      </c>
      <c r="T1130" s="2" t="str">
        <f t="shared" si="89"/>
        <v>Sangat Rendah</v>
      </c>
    </row>
    <row r="1131" spans="1:20" ht="15.75" customHeight="1" x14ac:dyDescent="0.3">
      <c r="A1131" s="4" t="s">
        <v>1251</v>
      </c>
      <c r="B1131" s="3">
        <v>45715.583726851852</v>
      </c>
      <c r="C1131" s="2" t="s">
        <v>1130</v>
      </c>
      <c r="D1131" s="2" t="s">
        <v>122</v>
      </c>
      <c r="E1131" s="2" t="s">
        <v>81</v>
      </c>
      <c r="F1131" s="2">
        <v>17000</v>
      </c>
      <c r="G1131" s="2">
        <v>1</v>
      </c>
      <c r="H1131" s="2">
        <v>20</v>
      </c>
      <c r="I1131">
        <f t="shared" si="85"/>
        <v>17000</v>
      </c>
      <c r="J1131">
        <f t="shared" si="86"/>
        <v>3400</v>
      </c>
      <c r="K1131" s="6">
        <f t="shared" si="87"/>
        <v>13600</v>
      </c>
      <c r="L1131" s="2">
        <v>78000</v>
      </c>
      <c r="M1131" s="6">
        <f>Table1[[#This Row],[Total Sales]]+Table1[[#This Row],[Shipping Fee]]</f>
        <v>91600</v>
      </c>
      <c r="N1131" s="2" t="s">
        <v>22</v>
      </c>
      <c r="O1131" t="str">
        <f>VLOOKUP(Table1[[#This Row],[Order ID]],Status!A:B, 2,FALSE)</f>
        <v>Completed</v>
      </c>
      <c r="P1131" s="2" t="s">
        <v>23</v>
      </c>
      <c r="Q1131" s="2">
        <v>5</v>
      </c>
      <c r="R1131" s="2" t="s">
        <v>24</v>
      </c>
      <c r="S1131" s="11" t="str">
        <f t="shared" si="88"/>
        <v>Bagus</v>
      </c>
      <c r="T1131" s="2" t="str">
        <f t="shared" si="89"/>
        <v>Sangat Rendah</v>
      </c>
    </row>
    <row r="1132" spans="1:20" ht="15.75" customHeight="1" x14ac:dyDescent="0.3">
      <c r="A1132" s="4" t="s">
        <v>1249</v>
      </c>
      <c r="B1132" s="3">
        <v>45715.552372685182</v>
      </c>
      <c r="C1132" s="2" t="s">
        <v>1250</v>
      </c>
      <c r="D1132" s="2" t="s">
        <v>195</v>
      </c>
      <c r="E1132" s="2" t="s">
        <v>85</v>
      </c>
      <c r="F1132" s="2">
        <v>35000</v>
      </c>
      <c r="G1132" s="2">
        <v>5</v>
      </c>
      <c r="H1132" s="2">
        <v>10</v>
      </c>
      <c r="I1132">
        <f t="shared" si="85"/>
        <v>175000</v>
      </c>
      <c r="J1132">
        <f t="shared" si="86"/>
        <v>17500</v>
      </c>
      <c r="K1132" s="6">
        <f t="shared" si="87"/>
        <v>157500</v>
      </c>
      <c r="L1132" s="2">
        <v>87000</v>
      </c>
      <c r="M1132" s="6">
        <f>Table1[[#This Row],[Total Sales]]+Table1[[#This Row],[Shipping Fee]]</f>
        <v>244500</v>
      </c>
      <c r="N1132" s="2" t="s">
        <v>35</v>
      </c>
      <c r="O1132" t="str">
        <f>VLOOKUP(Table1[[#This Row],[Order ID]],Status!A:B, 2,FALSE)</f>
        <v>Completed</v>
      </c>
      <c r="P1132" s="2" t="s">
        <v>30</v>
      </c>
      <c r="Q1132" s="2">
        <v>4</v>
      </c>
      <c r="R1132" s="2" t="s">
        <v>24</v>
      </c>
      <c r="S1132" s="11" t="str">
        <f t="shared" si="88"/>
        <v>Bagus</v>
      </c>
      <c r="T1132" s="2" t="str">
        <f t="shared" si="89"/>
        <v>Normal</v>
      </c>
    </row>
    <row r="1133" spans="1:20" ht="15.75" customHeight="1" x14ac:dyDescent="0.3">
      <c r="A1133" s="4" t="s">
        <v>1248</v>
      </c>
      <c r="B1133" s="3">
        <v>45715.534409722219</v>
      </c>
      <c r="C1133" s="2" t="s">
        <v>56</v>
      </c>
      <c r="D1133" s="2" t="s">
        <v>57</v>
      </c>
      <c r="E1133" s="2" t="s">
        <v>67</v>
      </c>
      <c r="F1133" s="2">
        <v>15000</v>
      </c>
      <c r="G1133" s="2">
        <v>4</v>
      </c>
      <c r="H1133" s="2">
        <v>15</v>
      </c>
      <c r="I1133">
        <f t="shared" si="85"/>
        <v>60000</v>
      </c>
      <c r="J1133">
        <f t="shared" si="86"/>
        <v>9000</v>
      </c>
      <c r="K1133" s="6">
        <f t="shared" si="87"/>
        <v>51000</v>
      </c>
      <c r="L1133" s="2">
        <v>80000</v>
      </c>
      <c r="M1133" s="6">
        <f>Table1[[#This Row],[Total Sales]]+Table1[[#This Row],[Shipping Fee]]</f>
        <v>131000</v>
      </c>
      <c r="N1133" s="2" t="s">
        <v>22</v>
      </c>
      <c r="O1133" t="str">
        <f>VLOOKUP(Table1[[#This Row],[Order ID]],Status!A:B, 2,FALSE)</f>
        <v>Completed</v>
      </c>
      <c r="P1133" s="2" t="s">
        <v>23</v>
      </c>
      <c r="Q1133" s="2">
        <v>2</v>
      </c>
      <c r="R1133" s="2" t="s">
        <v>24</v>
      </c>
      <c r="S1133" s="11" t="str">
        <f t="shared" si="88"/>
        <v>Rendah</v>
      </c>
      <c r="T1133" s="2" t="str">
        <f t="shared" si="89"/>
        <v>Rendah</v>
      </c>
    </row>
    <row r="1134" spans="1:20" ht="15.75" customHeight="1" x14ac:dyDescent="0.3">
      <c r="A1134" s="4" t="s">
        <v>1247</v>
      </c>
      <c r="B1134" s="3">
        <v>45715.039212962962</v>
      </c>
      <c r="C1134" s="2" t="s">
        <v>1033</v>
      </c>
      <c r="D1134" s="2" t="s">
        <v>122</v>
      </c>
      <c r="E1134" s="2" t="s">
        <v>85</v>
      </c>
      <c r="F1134" s="2">
        <v>35000</v>
      </c>
      <c r="G1134" s="2">
        <v>1</v>
      </c>
      <c r="H1134" s="2">
        <v>5</v>
      </c>
      <c r="I1134">
        <f t="shared" si="85"/>
        <v>35000</v>
      </c>
      <c r="J1134">
        <f t="shared" si="86"/>
        <v>1750</v>
      </c>
      <c r="K1134" s="6">
        <f t="shared" si="87"/>
        <v>33250</v>
      </c>
      <c r="L1134" s="2">
        <v>78000</v>
      </c>
      <c r="M1134" s="6">
        <f>Table1[[#This Row],[Total Sales]]+Table1[[#This Row],[Shipping Fee]]</f>
        <v>111250</v>
      </c>
      <c r="N1134" s="2" t="s">
        <v>22</v>
      </c>
      <c r="O1134" t="str">
        <f>VLOOKUP(Table1[[#This Row],[Order ID]],Status!A:B, 2,FALSE)</f>
        <v>Completed</v>
      </c>
      <c r="P1134" s="2" t="s">
        <v>23</v>
      </c>
      <c r="Q1134" s="2">
        <v>5</v>
      </c>
      <c r="R1134" s="2" t="s">
        <v>24</v>
      </c>
      <c r="S1134" s="11" t="str">
        <f t="shared" si="88"/>
        <v>Bagus</v>
      </c>
      <c r="T1134" s="2" t="str">
        <f t="shared" si="89"/>
        <v>Sangat Rendah</v>
      </c>
    </row>
    <row r="1135" spans="1:20" ht="15.75" customHeight="1" x14ac:dyDescent="0.3">
      <c r="A1135" s="4" t="s">
        <v>1246</v>
      </c>
      <c r="B1135" s="3">
        <v>45714.876273148147</v>
      </c>
      <c r="C1135" s="2" t="s">
        <v>582</v>
      </c>
      <c r="D1135" s="2" t="s">
        <v>435</v>
      </c>
      <c r="E1135" s="2" t="s">
        <v>110</v>
      </c>
      <c r="F1135" s="2">
        <v>6000</v>
      </c>
      <c r="G1135" s="2">
        <v>2</v>
      </c>
      <c r="H1135" s="2">
        <v>15</v>
      </c>
      <c r="I1135">
        <f t="shared" si="85"/>
        <v>12000</v>
      </c>
      <c r="J1135">
        <f t="shared" si="86"/>
        <v>1800</v>
      </c>
      <c r="K1135" s="6">
        <f t="shared" si="87"/>
        <v>10200</v>
      </c>
      <c r="L1135" s="2">
        <v>67000</v>
      </c>
      <c r="M1135" s="6">
        <f>Table1[[#This Row],[Total Sales]]+Table1[[#This Row],[Shipping Fee]]</f>
        <v>77200</v>
      </c>
      <c r="N1135" s="2" t="s">
        <v>35</v>
      </c>
      <c r="O1135" t="str">
        <f>VLOOKUP(Table1[[#This Row],[Order ID]],Status!A:B, 2,FALSE)</f>
        <v>Completed</v>
      </c>
      <c r="P1135" s="2" t="s">
        <v>36</v>
      </c>
      <c r="Q1135" s="2">
        <v>4</v>
      </c>
      <c r="R1135" s="2" t="s">
        <v>24</v>
      </c>
      <c r="S1135" s="11" t="str">
        <f t="shared" si="88"/>
        <v>Bagus</v>
      </c>
      <c r="T1135" s="2" t="str">
        <f t="shared" si="89"/>
        <v>Sangat Rendah</v>
      </c>
    </row>
    <row r="1136" spans="1:20" ht="15.75" customHeight="1" x14ac:dyDescent="0.3">
      <c r="A1136" s="4" t="s">
        <v>1245</v>
      </c>
      <c r="B1136" s="3">
        <v>45714.638622685183</v>
      </c>
      <c r="C1136" s="2" t="s">
        <v>1146</v>
      </c>
      <c r="D1136" s="2" t="s">
        <v>116</v>
      </c>
      <c r="E1136" s="2" t="s">
        <v>45</v>
      </c>
      <c r="F1136" s="2">
        <v>40000</v>
      </c>
      <c r="G1136" s="2">
        <v>4</v>
      </c>
      <c r="H1136" s="2">
        <v>0</v>
      </c>
      <c r="I1136">
        <f t="shared" si="85"/>
        <v>160000</v>
      </c>
      <c r="J1136">
        <f t="shared" si="86"/>
        <v>0</v>
      </c>
      <c r="K1136" s="6">
        <f t="shared" si="87"/>
        <v>160000</v>
      </c>
      <c r="L1136" s="2">
        <v>72000</v>
      </c>
      <c r="M1136" s="6">
        <f>Table1[[#This Row],[Total Sales]]+Table1[[#This Row],[Shipping Fee]]</f>
        <v>232000</v>
      </c>
      <c r="N1136" s="2" t="s">
        <v>35</v>
      </c>
      <c r="O1136" t="str">
        <f>VLOOKUP(Table1[[#This Row],[Order ID]],Status!A:B, 2,FALSE)</f>
        <v>Returned</v>
      </c>
      <c r="P1136" s="2" t="s">
        <v>23</v>
      </c>
      <c r="Q1136" s="2">
        <v>3</v>
      </c>
      <c r="R1136" s="2" t="s">
        <v>24</v>
      </c>
      <c r="S1136" s="11" t="str">
        <f t="shared" si="88"/>
        <v>Standar</v>
      </c>
      <c r="T1136" s="2" t="str">
        <f t="shared" si="89"/>
        <v>Sangat Rendah</v>
      </c>
    </row>
    <row r="1137" spans="1:20" ht="15.75" customHeight="1" x14ac:dyDescent="0.3">
      <c r="A1137" s="4" t="s">
        <v>1244</v>
      </c>
      <c r="B1137" s="3">
        <v>45714.591539351852</v>
      </c>
      <c r="C1137" s="2" t="s">
        <v>525</v>
      </c>
      <c r="D1137" s="2" t="s">
        <v>96</v>
      </c>
      <c r="E1137" s="2" t="s">
        <v>174</v>
      </c>
      <c r="F1137" s="2">
        <v>10000</v>
      </c>
      <c r="G1137" s="2">
        <v>2</v>
      </c>
      <c r="H1137" s="2">
        <v>0</v>
      </c>
      <c r="I1137">
        <f t="shared" si="85"/>
        <v>20000</v>
      </c>
      <c r="J1137">
        <f t="shared" si="86"/>
        <v>0</v>
      </c>
      <c r="K1137" s="6">
        <f t="shared" si="87"/>
        <v>20000</v>
      </c>
      <c r="L1137" s="2">
        <v>49000</v>
      </c>
      <c r="M1137" s="6">
        <f>Table1[[#This Row],[Total Sales]]+Table1[[#This Row],[Shipping Fee]]</f>
        <v>69000</v>
      </c>
      <c r="N1137" s="2" t="s">
        <v>29</v>
      </c>
      <c r="O1137" t="str">
        <f>VLOOKUP(Table1[[#This Row],[Order ID]],Status!A:B, 2,FALSE)</f>
        <v>Completed</v>
      </c>
      <c r="P1137" s="2" t="s">
        <v>36</v>
      </c>
      <c r="Q1137" s="2">
        <v>1</v>
      </c>
      <c r="R1137" s="2" t="s">
        <v>24</v>
      </c>
      <c r="S1137" s="11" t="str">
        <f t="shared" si="88"/>
        <v>Rendah</v>
      </c>
      <c r="T1137" s="2" t="str">
        <f t="shared" si="89"/>
        <v>Sangat Rendah</v>
      </c>
    </row>
    <row r="1138" spans="1:20" ht="15.75" customHeight="1" x14ac:dyDescent="0.3">
      <c r="A1138" s="4" t="s">
        <v>1243</v>
      </c>
      <c r="B1138" s="3">
        <v>45714.548750000002</v>
      </c>
      <c r="C1138" s="2" t="s">
        <v>1022</v>
      </c>
      <c r="D1138" s="2" t="s">
        <v>177</v>
      </c>
      <c r="E1138" s="2" t="s">
        <v>67</v>
      </c>
      <c r="F1138" s="2">
        <v>15000</v>
      </c>
      <c r="G1138" s="2">
        <v>5</v>
      </c>
      <c r="H1138" s="2">
        <v>15</v>
      </c>
      <c r="I1138">
        <f t="shared" si="85"/>
        <v>75000</v>
      </c>
      <c r="J1138">
        <f t="shared" si="86"/>
        <v>11250</v>
      </c>
      <c r="K1138" s="6">
        <f t="shared" si="87"/>
        <v>63750</v>
      </c>
      <c r="L1138" s="2">
        <v>56000</v>
      </c>
      <c r="M1138" s="6">
        <f>Table1[[#This Row],[Total Sales]]+Table1[[#This Row],[Shipping Fee]]</f>
        <v>119750</v>
      </c>
      <c r="N1138" s="2" t="s">
        <v>29</v>
      </c>
      <c r="O1138" t="str">
        <f>VLOOKUP(Table1[[#This Row],[Order ID]],Status!A:B, 2,FALSE)</f>
        <v>Completed</v>
      </c>
      <c r="P1138" s="2" t="s">
        <v>82</v>
      </c>
      <c r="Q1138" s="2">
        <v>1</v>
      </c>
      <c r="R1138" s="2" t="s">
        <v>24</v>
      </c>
      <c r="S1138" s="11" t="str">
        <f t="shared" si="88"/>
        <v>Rendah</v>
      </c>
      <c r="T1138" s="2" t="str">
        <f t="shared" si="89"/>
        <v>Normal</v>
      </c>
    </row>
    <row r="1139" spans="1:20" ht="15.75" customHeight="1" x14ac:dyDescent="0.3">
      <c r="A1139" s="4" t="s">
        <v>1242</v>
      </c>
      <c r="B1139" s="3">
        <v>45714.426736111112</v>
      </c>
      <c r="C1139" s="2" t="s">
        <v>565</v>
      </c>
      <c r="D1139" s="2" t="s">
        <v>163</v>
      </c>
      <c r="E1139" s="2" t="s">
        <v>71</v>
      </c>
      <c r="F1139" s="2">
        <v>40000</v>
      </c>
      <c r="G1139" s="2">
        <v>5</v>
      </c>
      <c r="H1139" s="2">
        <v>0</v>
      </c>
      <c r="I1139">
        <f t="shared" si="85"/>
        <v>200000</v>
      </c>
      <c r="J1139">
        <f t="shared" si="86"/>
        <v>0</v>
      </c>
      <c r="K1139" s="6">
        <f t="shared" si="87"/>
        <v>200000</v>
      </c>
      <c r="L1139" s="2">
        <v>50000</v>
      </c>
      <c r="M1139" s="6">
        <f>Table1[[#This Row],[Total Sales]]+Table1[[#This Row],[Shipping Fee]]</f>
        <v>250000</v>
      </c>
      <c r="N1139" s="2" t="s">
        <v>35</v>
      </c>
      <c r="O1139" t="str">
        <f>VLOOKUP(Table1[[#This Row],[Order ID]],Status!A:B, 2,FALSE)</f>
        <v>Completed</v>
      </c>
      <c r="P1139" s="2" t="s">
        <v>30</v>
      </c>
      <c r="Q1139" s="2">
        <v>4</v>
      </c>
      <c r="R1139" s="2" t="s">
        <v>24</v>
      </c>
      <c r="S1139" s="11" t="str">
        <f t="shared" si="88"/>
        <v>Bagus</v>
      </c>
      <c r="T1139" s="2" t="str">
        <f t="shared" si="89"/>
        <v>Sangat Rendah</v>
      </c>
    </row>
    <row r="1140" spans="1:20" ht="15.75" customHeight="1" x14ac:dyDescent="0.3">
      <c r="A1140" s="4" t="s">
        <v>1240</v>
      </c>
      <c r="B1140" s="3">
        <v>45714.195416666669</v>
      </c>
      <c r="C1140" s="2" t="s">
        <v>1241</v>
      </c>
      <c r="D1140" s="2" t="s">
        <v>80</v>
      </c>
      <c r="E1140" s="2" t="s">
        <v>34</v>
      </c>
      <c r="F1140" s="2">
        <v>16000</v>
      </c>
      <c r="G1140" s="2">
        <v>2</v>
      </c>
      <c r="H1140" s="2">
        <v>0</v>
      </c>
      <c r="I1140">
        <f t="shared" si="85"/>
        <v>32000</v>
      </c>
      <c r="J1140">
        <f t="shared" si="86"/>
        <v>0</v>
      </c>
      <c r="K1140" s="6">
        <f t="shared" si="87"/>
        <v>32000</v>
      </c>
      <c r="L1140" s="2">
        <v>74000</v>
      </c>
      <c r="M1140" s="6">
        <f>Table1[[#This Row],[Total Sales]]+Table1[[#This Row],[Shipping Fee]]</f>
        <v>106000</v>
      </c>
      <c r="N1140" s="2" t="s">
        <v>35</v>
      </c>
      <c r="O1140" t="str">
        <f>VLOOKUP(Table1[[#This Row],[Order ID]],Status!A:B, 2,FALSE)</f>
        <v>Completed</v>
      </c>
      <c r="P1140" s="2" t="s">
        <v>36</v>
      </c>
      <c r="Q1140" s="2">
        <v>4</v>
      </c>
      <c r="R1140" s="2" t="s">
        <v>24</v>
      </c>
      <c r="S1140" s="11" t="str">
        <f t="shared" si="88"/>
        <v>Bagus</v>
      </c>
      <c r="T1140" s="2" t="str">
        <f t="shared" si="89"/>
        <v>Sangat Rendah</v>
      </c>
    </row>
    <row r="1141" spans="1:20" ht="15.75" customHeight="1" x14ac:dyDescent="0.3">
      <c r="A1141" s="4" t="s">
        <v>1240</v>
      </c>
      <c r="B1141" s="3">
        <v>45714.195416666669</v>
      </c>
      <c r="C1141" s="2" t="s">
        <v>1241</v>
      </c>
      <c r="D1141" s="2" t="s">
        <v>80</v>
      </c>
      <c r="E1141" s="2" t="s">
        <v>88</v>
      </c>
      <c r="F1141" s="2">
        <v>14000</v>
      </c>
      <c r="G1141" s="2">
        <v>3</v>
      </c>
      <c r="H1141" s="2">
        <v>20</v>
      </c>
      <c r="I1141">
        <f t="shared" si="85"/>
        <v>42000</v>
      </c>
      <c r="J1141">
        <f t="shared" si="86"/>
        <v>8400</v>
      </c>
      <c r="K1141" s="6">
        <f t="shared" si="87"/>
        <v>33600</v>
      </c>
      <c r="L1141" s="2">
        <v>0</v>
      </c>
      <c r="M1141" s="6">
        <f>Table1[[#This Row],[Total Sales]]+Table1[[#This Row],[Shipping Fee]]</f>
        <v>33600</v>
      </c>
      <c r="N1141" s="2" t="s">
        <v>35</v>
      </c>
      <c r="O1141" t="str">
        <f>VLOOKUP(Table1[[#This Row],[Order ID]],Status!A:B, 2,FALSE)</f>
        <v>Completed</v>
      </c>
      <c r="P1141" s="2" t="s">
        <v>36</v>
      </c>
      <c r="Q1141" s="2">
        <v>4</v>
      </c>
      <c r="R1141" s="2" t="s">
        <v>24</v>
      </c>
      <c r="S1141" s="11" t="str">
        <f t="shared" si="88"/>
        <v>Bagus</v>
      </c>
      <c r="T1141" s="2" t="str">
        <f t="shared" si="89"/>
        <v>Rendah</v>
      </c>
    </row>
    <row r="1142" spans="1:20" ht="15.75" customHeight="1" x14ac:dyDescent="0.3">
      <c r="A1142" s="4" t="s">
        <v>1239</v>
      </c>
      <c r="B1142" s="3">
        <v>45714.135601851849</v>
      </c>
      <c r="C1142" s="2" t="s">
        <v>400</v>
      </c>
      <c r="D1142" s="2" t="s">
        <v>27</v>
      </c>
      <c r="E1142" s="2" t="s">
        <v>67</v>
      </c>
      <c r="F1142" s="2">
        <v>15000</v>
      </c>
      <c r="G1142" s="2">
        <v>1</v>
      </c>
      <c r="H1142" s="2">
        <v>0</v>
      </c>
      <c r="I1142">
        <f t="shared" si="85"/>
        <v>15000</v>
      </c>
      <c r="J1142">
        <f t="shared" si="86"/>
        <v>0</v>
      </c>
      <c r="K1142" s="6">
        <f t="shared" si="87"/>
        <v>15000</v>
      </c>
      <c r="L1142" s="2">
        <v>17000</v>
      </c>
      <c r="M1142" s="6">
        <f>Table1[[#This Row],[Total Sales]]+Table1[[#This Row],[Shipping Fee]]</f>
        <v>32000</v>
      </c>
      <c r="N1142" s="2" t="s">
        <v>35</v>
      </c>
      <c r="O1142" t="str">
        <f>VLOOKUP(Table1[[#This Row],[Order ID]],Status!A:B, 2,FALSE)</f>
        <v>Completed</v>
      </c>
      <c r="P1142" s="2" t="s">
        <v>23</v>
      </c>
      <c r="Q1142" s="2">
        <v>4</v>
      </c>
      <c r="R1142" s="2" t="s">
        <v>24</v>
      </c>
      <c r="S1142" s="11" t="str">
        <f t="shared" si="88"/>
        <v>Bagus</v>
      </c>
      <c r="T1142" s="2" t="str">
        <f t="shared" si="89"/>
        <v>Sangat Rendah</v>
      </c>
    </row>
    <row r="1143" spans="1:20" ht="15.75" customHeight="1" x14ac:dyDescent="0.3">
      <c r="A1143" s="4" t="s">
        <v>1238</v>
      </c>
      <c r="B1143" s="3">
        <v>45713.818136574067</v>
      </c>
      <c r="C1143" s="2" t="s">
        <v>812</v>
      </c>
      <c r="D1143" s="2" t="s">
        <v>33</v>
      </c>
      <c r="E1143" s="2" t="s">
        <v>71</v>
      </c>
      <c r="F1143" s="2">
        <v>40000</v>
      </c>
      <c r="G1143" s="2">
        <v>2</v>
      </c>
      <c r="H1143" s="2">
        <v>20</v>
      </c>
      <c r="I1143">
        <f t="shared" si="85"/>
        <v>80000</v>
      </c>
      <c r="J1143">
        <f t="shared" si="86"/>
        <v>16000</v>
      </c>
      <c r="K1143" s="6">
        <f t="shared" si="87"/>
        <v>64000</v>
      </c>
      <c r="L1143" s="2">
        <v>76000</v>
      </c>
      <c r="M1143" s="6">
        <f>Table1[[#This Row],[Total Sales]]+Table1[[#This Row],[Shipping Fee]]</f>
        <v>140000</v>
      </c>
      <c r="N1143" s="2" t="s">
        <v>22</v>
      </c>
      <c r="O1143" t="str">
        <f>VLOOKUP(Table1[[#This Row],[Order ID]],Status!A:B, 2,FALSE)</f>
        <v>Returned</v>
      </c>
      <c r="P1143" s="2" t="s">
        <v>46</v>
      </c>
      <c r="Q1143" s="2">
        <v>4</v>
      </c>
      <c r="R1143" s="2" t="s">
        <v>24</v>
      </c>
      <c r="S1143" s="11" t="str">
        <f t="shared" si="88"/>
        <v>Bagus</v>
      </c>
      <c r="T1143" s="2" t="str">
        <f t="shared" si="89"/>
        <v>Normal</v>
      </c>
    </row>
    <row r="1144" spans="1:20" ht="15.75" customHeight="1" x14ac:dyDescent="0.3">
      <c r="A1144" s="4" t="s">
        <v>1236</v>
      </c>
      <c r="B1144" s="3">
        <v>45713.395243055558</v>
      </c>
      <c r="C1144" s="2" t="s">
        <v>1237</v>
      </c>
      <c r="D1144" s="2" t="s">
        <v>92</v>
      </c>
      <c r="E1144" s="2" t="s">
        <v>93</v>
      </c>
      <c r="F1144" s="2">
        <v>25000</v>
      </c>
      <c r="G1144" s="2">
        <v>5</v>
      </c>
      <c r="H1144" s="2">
        <v>0</v>
      </c>
      <c r="I1144">
        <f t="shared" si="85"/>
        <v>125000</v>
      </c>
      <c r="J1144">
        <f t="shared" si="86"/>
        <v>0</v>
      </c>
      <c r="K1144" s="6">
        <f t="shared" si="87"/>
        <v>125000</v>
      </c>
      <c r="L1144" s="2">
        <v>30000</v>
      </c>
      <c r="M1144" s="6">
        <f>Table1[[#This Row],[Total Sales]]+Table1[[#This Row],[Shipping Fee]]</f>
        <v>155000</v>
      </c>
      <c r="N1144" s="2" t="s">
        <v>22</v>
      </c>
      <c r="O1144" t="str">
        <f>VLOOKUP(Table1[[#This Row],[Order ID]],Status!A:B, 2,FALSE)</f>
        <v>Completed</v>
      </c>
      <c r="P1144" s="2" t="s">
        <v>30</v>
      </c>
      <c r="Q1144" s="2">
        <v>1</v>
      </c>
      <c r="R1144" s="2" t="s">
        <v>24</v>
      </c>
      <c r="S1144" s="11" t="str">
        <f t="shared" si="88"/>
        <v>Rendah</v>
      </c>
      <c r="T1144" s="2" t="str">
        <f t="shared" si="89"/>
        <v>Sangat Rendah</v>
      </c>
    </row>
    <row r="1145" spans="1:20" ht="15.75" customHeight="1" x14ac:dyDescent="0.3">
      <c r="A1145" s="4" t="s">
        <v>1235</v>
      </c>
      <c r="B1145" s="3">
        <v>45713.316724537042</v>
      </c>
      <c r="C1145" s="2" t="s">
        <v>557</v>
      </c>
      <c r="D1145" s="2" t="s">
        <v>173</v>
      </c>
      <c r="E1145" s="2" t="s">
        <v>110</v>
      </c>
      <c r="F1145" s="2">
        <v>6000</v>
      </c>
      <c r="G1145" s="2">
        <v>1</v>
      </c>
      <c r="H1145" s="2">
        <v>0</v>
      </c>
      <c r="I1145">
        <f t="shared" si="85"/>
        <v>6000</v>
      </c>
      <c r="J1145">
        <f t="shared" si="86"/>
        <v>0</v>
      </c>
      <c r="K1145" s="6">
        <f t="shared" si="87"/>
        <v>6000</v>
      </c>
      <c r="L1145" s="2">
        <v>49000</v>
      </c>
      <c r="M1145" s="6">
        <f>Table1[[#This Row],[Total Sales]]+Table1[[#This Row],[Shipping Fee]]</f>
        <v>55000</v>
      </c>
      <c r="N1145" s="2" t="s">
        <v>63</v>
      </c>
      <c r="O1145" t="str">
        <f>VLOOKUP(Table1[[#This Row],[Order ID]],Status!A:B, 2,FALSE)</f>
        <v>Completed</v>
      </c>
      <c r="P1145" s="2" t="s">
        <v>46</v>
      </c>
      <c r="Q1145" s="2">
        <v>1</v>
      </c>
      <c r="R1145" s="2" t="s">
        <v>24</v>
      </c>
      <c r="S1145" s="11" t="str">
        <f t="shared" si="88"/>
        <v>Rendah</v>
      </c>
      <c r="T1145" s="2" t="str">
        <f t="shared" si="89"/>
        <v>Sangat Rendah</v>
      </c>
    </row>
    <row r="1146" spans="1:20" ht="15.75" customHeight="1" x14ac:dyDescent="0.3">
      <c r="A1146" s="4" t="s">
        <v>1234</v>
      </c>
      <c r="B1146" s="3">
        <v>45713.314629629633</v>
      </c>
      <c r="C1146" s="2" t="s">
        <v>169</v>
      </c>
      <c r="D1146" s="2" t="s">
        <v>170</v>
      </c>
      <c r="E1146" s="2" t="s">
        <v>136</v>
      </c>
      <c r="F1146" s="2">
        <v>12000</v>
      </c>
      <c r="G1146" s="2">
        <v>4</v>
      </c>
      <c r="H1146" s="2">
        <v>10</v>
      </c>
      <c r="I1146">
        <f t="shared" si="85"/>
        <v>48000</v>
      </c>
      <c r="J1146">
        <f t="shared" si="86"/>
        <v>4800</v>
      </c>
      <c r="K1146" s="6">
        <f t="shared" si="87"/>
        <v>43200</v>
      </c>
      <c r="L1146" s="2">
        <v>46000</v>
      </c>
      <c r="M1146" s="6">
        <f>Table1[[#This Row],[Total Sales]]+Table1[[#This Row],[Shipping Fee]]</f>
        <v>89200</v>
      </c>
      <c r="N1146" s="2" t="s">
        <v>22</v>
      </c>
      <c r="O1146" t="str">
        <f>VLOOKUP(Table1[[#This Row],[Order ID]],Status!A:B, 2,FALSE)</f>
        <v>Returned</v>
      </c>
      <c r="P1146" s="2" t="s">
        <v>30</v>
      </c>
      <c r="Q1146" s="2">
        <v>3</v>
      </c>
      <c r="R1146" s="2" t="s">
        <v>24</v>
      </c>
      <c r="S1146" s="11" t="str">
        <f t="shared" si="88"/>
        <v>Standar</v>
      </c>
      <c r="T1146" s="2" t="str">
        <f t="shared" si="89"/>
        <v>Sangat Rendah</v>
      </c>
    </row>
    <row r="1147" spans="1:20" ht="15.75" customHeight="1" x14ac:dyDescent="0.3">
      <c r="A1147" s="4" t="s">
        <v>1233</v>
      </c>
      <c r="B1147" s="3">
        <v>45712.878692129627</v>
      </c>
      <c r="C1147" s="2" t="s">
        <v>776</v>
      </c>
      <c r="D1147" s="2" t="s">
        <v>103</v>
      </c>
      <c r="E1147" s="2" t="s">
        <v>250</v>
      </c>
      <c r="F1147" s="2">
        <v>18000</v>
      </c>
      <c r="G1147" s="2">
        <v>3</v>
      </c>
      <c r="H1147" s="2">
        <v>0</v>
      </c>
      <c r="I1147">
        <f t="shared" si="85"/>
        <v>54000</v>
      </c>
      <c r="J1147">
        <f t="shared" si="86"/>
        <v>0</v>
      </c>
      <c r="K1147" s="6">
        <f t="shared" si="87"/>
        <v>54000</v>
      </c>
      <c r="L1147" s="2">
        <v>85000</v>
      </c>
      <c r="M1147" s="6">
        <f>Table1[[#This Row],[Total Sales]]+Table1[[#This Row],[Shipping Fee]]</f>
        <v>139000</v>
      </c>
      <c r="N1147" s="2" t="s">
        <v>22</v>
      </c>
      <c r="O1147" t="str">
        <f>VLOOKUP(Table1[[#This Row],[Order ID]],Status!A:B, 2,FALSE)</f>
        <v>Completed</v>
      </c>
      <c r="P1147" s="2" t="s">
        <v>82</v>
      </c>
      <c r="Q1147" s="2">
        <v>5</v>
      </c>
      <c r="R1147" s="2" t="s">
        <v>24</v>
      </c>
      <c r="S1147" s="11" t="str">
        <f t="shared" si="88"/>
        <v>Bagus</v>
      </c>
      <c r="T1147" s="2" t="str">
        <f t="shared" si="89"/>
        <v>Sangat Rendah</v>
      </c>
    </row>
    <row r="1148" spans="1:20" ht="15.75" customHeight="1" x14ac:dyDescent="0.3">
      <c r="A1148" s="4" t="s">
        <v>1232</v>
      </c>
      <c r="B1148" s="3">
        <v>45712.874178240738</v>
      </c>
      <c r="C1148" s="2" t="s">
        <v>237</v>
      </c>
      <c r="D1148" s="2" t="s">
        <v>238</v>
      </c>
      <c r="E1148" s="2" t="s">
        <v>71</v>
      </c>
      <c r="F1148" s="2">
        <v>40000</v>
      </c>
      <c r="G1148" s="2">
        <v>4</v>
      </c>
      <c r="H1148" s="2">
        <v>0</v>
      </c>
      <c r="I1148">
        <f t="shared" si="85"/>
        <v>160000</v>
      </c>
      <c r="J1148">
        <f t="shared" si="86"/>
        <v>0</v>
      </c>
      <c r="K1148" s="6">
        <f t="shared" si="87"/>
        <v>160000</v>
      </c>
      <c r="L1148" s="2">
        <v>28000</v>
      </c>
      <c r="M1148" s="6">
        <f>Table1[[#This Row],[Total Sales]]+Table1[[#This Row],[Shipping Fee]]</f>
        <v>188000</v>
      </c>
      <c r="N1148" s="2" t="s">
        <v>63</v>
      </c>
      <c r="O1148" t="str">
        <f>VLOOKUP(Table1[[#This Row],[Order ID]],Status!A:B, 2,FALSE)</f>
        <v>Completed</v>
      </c>
      <c r="P1148" s="2" t="s">
        <v>36</v>
      </c>
      <c r="Q1148" s="2">
        <v>4</v>
      </c>
      <c r="R1148" s="2" t="s">
        <v>24</v>
      </c>
      <c r="S1148" s="11" t="str">
        <f t="shared" si="88"/>
        <v>Bagus</v>
      </c>
      <c r="T1148" s="2" t="str">
        <f t="shared" si="89"/>
        <v>Sangat Rendah</v>
      </c>
    </row>
    <row r="1149" spans="1:20" ht="15.75" customHeight="1" x14ac:dyDescent="0.3">
      <c r="A1149" s="4" t="s">
        <v>1231</v>
      </c>
      <c r="B1149" s="3">
        <v>45712.691458333327</v>
      </c>
      <c r="C1149" s="2" t="s">
        <v>203</v>
      </c>
      <c r="D1149" s="2" t="s">
        <v>20</v>
      </c>
      <c r="E1149" s="2" t="s">
        <v>85</v>
      </c>
      <c r="F1149" s="2">
        <v>35000</v>
      </c>
      <c r="G1149" s="2">
        <v>2</v>
      </c>
      <c r="H1149" s="2">
        <v>0</v>
      </c>
      <c r="I1149">
        <f t="shared" si="85"/>
        <v>70000</v>
      </c>
      <c r="J1149">
        <f t="shared" si="86"/>
        <v>0</v>
      </c>
      <c r="K1149" s="6">
        <f t="shared" si="87"/>
        <v>70000</v>
      </c>
      <c r="L1149" s="2">
        <v>15000</v>
      </c>
      <c r="M1149" s="6">
        <f>Table1[[#This Row],[Total Sales]]+Table1[[#This Row],[Shipping Fee]]</f>
        <v>85000</v>
      </c>
      <c r="N1149" s="2" t="s">
        <v>29</v>
      </c>
      <c r="O1149" t="str">
        <f>VLOOKUP(Table1[[#This Row],[Order ID]],Status!A:B, 2,FALSE)</f>
        <v>Cancelled</v>
      </c>
      <c r="P1149" s="2" t="s">
        <v>36</v>
      </c>
      <c r="Q1149" s="2">
        <v>2</v>
      </c>
      <c r="R1149" s="2" t="s">
        <v>24</v>
      </c>
      <c r="S1149" s="11" t="str">
        <f t="shared" si="88"/>
        <v>Rendah</v>
      </c>
      <c r="T1149" s="2" t="str">
        <f t="shared" si="89"/>
        <v>Sangat Rendah</v>
      </c>
    </row>
    <row r="1150" spans="1:20" ht="15.75" customHeight="1" x14ac:dyDescent="0.3">
      <c r="A1150" s="4" t="s">
        <v>1230</v>
      </c>
      <c r="B1150" s="3">
        <v>45712.65587962963</v>
      </c>
      <c r="C1150" s="2" t="s">
        <v>693</v>
      </c>
      <c r="D1150" s="2" t="s">
        <v>119</v>
      </c>
      <c r="E1150" s="2" t="s">
        <v>81</v>
      </c>
      <c r="F1150" s="2">
        <v>17000</v>
      </c>
      <c r="G1150" s="2">
        <v>1</v>
      </c>
      <c r="H1150" s="2">
        <v>5</v>
      </c>
      <c r="I1150">
        <f t="shared" si="85"/>
        <v>17000</v>
      </c>
      <c r="J1150">
        <f t="shared" si="86"/>
        <v>850</v>
      </c>
      <c r="K1150" s="6">
        <f t="shared" si="87"/>
        <v>16150</v>
      </c>
      <c r="L1150" s="2">
        <v>0</v>
      </c>
      <c r="M1150" s="6">
        <f>Table1[[#This Row],[Total Sales]]+Table1[[#This Row],[Shipping Fee]]</f>
        <v>16150</v>
      </c>
      <c r="N1150" s="2" t="s">
        <v>63</v>
      </c>
      <c r="O1150" t="str">
        <f>VLOOKUP(Table1[[#This Row],[Order ID]],Status!A:B, 2,FALSE)</f>
        <v>Completed</v>
      </c>
      <c r="P1150" s="2" t="s">
        <v>36</v>
      </c>
      <c r="Q1150" s="2">
        <v>3</v>
      </c>
      <c r="R1150" s="2" t="s">
        <v>24</v>
      </c>
      <c r="S1150" s="11" t="str">
        <f t="shared" si="88"/>
        <v>Standar</v>
      </c>
      <c r="T1150" s="2" t="str">
        <f t="shared" si="89"/>
        <v>Sangat Rendah</v>
      </c>
    </row>
    <row r="1151" spans="1:20" ht="15.75" customHeight="1" x14ac:dyDescent="0.3">
      <c r="A1151" s="4" t="s">
        <v>1229</v>
      </c>
      <c r="B1151" s="3">
        <v>45712.513819444437</v>
      </c>
      <c r="C1151" s="2" t="s">
        <v>681</v>
      </c>
      <c r="D1151" s="2" t="s">
        <v>262</v>
      </c>
      <c r="E1151" s="2" t="s">
        <v>54</v>
      </c>
      <c r="F1151" s="2">
        <v>16000</v>
      </c>
      <c r="G1151" s="2">
        <v>1</v>
      </c>
      <c r="H1151" s="2">
        <v>10</v>
      </c>
      <c r="I1151">
        <f t="shared" si="85"/>
        <v>16000</v>
      </c>
      <c r="J1151">
        <f t="shared" si="86"/>
        <v>1600</v>
      </c>
      <c r="K1151" s="6">
        <f t="shared" si="87"/>
        <v>14400</v>
      </c>
      <c r="L1151" s="2">
        <v>18000</v>
      </c>
      <c r="M1151" s="6">
        <f>Table1[[#This Row],[Total Sales]]+Table1[[#This Row],[Shipping Fee]]</f>
        <v>32400</v>
      </c>
      <c r="N1151" s="2" t="s">
        <v>29</v>
      </c>
      <c r="O1151" t="str">
        <f>VLOOKUP(Table1[[#This Row],[Order ID]],Status!A:B, 2,FALSE)</f>
        <v>Completed</v>
      </c>
      <c r="P1151" s="2" t="s">
        <v>36</v>
      </c>
      <c r="Q1151" s="2">
        <v>4</v>
      </c>
      <c r="R1151" s="2" t="s">
        <v>24</v>
      </c>
      <c r="S1151" s="11" t="str">
        <f t="shared" si="88"/>
        <v>Bagus</v>
      </c>
      <c r="T1151" s="2" t="str">
        <f t="shared" si="89"/>
        <v>Sangat Rendah</v>
      </c>
    </row>
    <row r="1152" spans="1:20" ht="15.75" customHeight="1" x14ac:dyDescent="0.3">
      <c r="A1152" s="4" t="s">
        <v>1227</v>
      </c>
      <c r="B1152" s="3">
        <v>45712.22797453704</v>
      </c>
      <c r="C1152" s="2" t="s">
        <v>1228</v>
      </c>
      <c r="D1152" s="2" t="s">
        <v>33</v>
      </c>
      <c r="E1152" s="2" t="s">
        <v>41</v>
      </c>
      <c r="F1152" s="2">
        <v>4000</v>
      </c>
      <c r="G1152" s="2">
        <v>4</v>
      </c>
      <c r="H1152" s="2">
        <v>15</v>
      </c>
      <c r="I1152">
        <f t="shared" si="85"/>
        <v>16000</v>
      </c>
      <c r="J1152">
        <f t="shared" si="86"/>
        <v>2400</v>
      </c>
      <c r="K1152" s="6">
        <f t="shared" si="87"/>
        <v>13600</v>
      </c>
      <c r="L1152" s="2">
        <v>76000</v>
      </c>
      <c r="M1152" s="6">
        <f>Table1[[#This Row],[Total Sales]]+Table1[[#This Row],[Shipping Fee]]</f>
        <v>89600</v>
      </c>
      <c r="N1152" s="2" t="s">
        <v>22</v>
      </c>
      <c r="O1152" t="str">
        <f>VLOOKUP(Table1[[#This Row],[Order ID]],Status!A:B, 2,FALSE)</f>
        <v>Completed</v>
      </c>
      <c r="P1152" s="2" t="s">
        <v>82</v>
      </c>
      <c r="Q1152" s="2">
        <v>4</v>
      </c>
      <c r="R1152" s="2" t="s">
        <v>24</v>
      </c>
      <c r="S1152" s="11" t="str">
        <f t="shared" si="88"/>
        <v>Bagus</v>
      </c>
      <c r="T1152" s="2" t="str">
        <f t="shared" si="89"/>
        <v>Sangat Rendah</v>
      </c>
    </row>
    <row r="1153" spans="1:20" ht="15.75" customHeight="1" x14ac:dyDescent="0.3">
      <c r="A1153" s="4" t="s">
        <v>1226</v>
      </c>
      <c r="B1153" s="3">
        <v>45712.117476851847</v>
      </c>
      <c r="C1153" s="2" t="s">
        <v>635</v>
      </c>
      <c r="D1153" s="2" t="s">
        <v>103</v>
      </c>
      <c r="E1153" s="2" t="s">
        <v>45</v>
      </c>
      <c r="F1153" s="2">
        <v>40000</v>
      </c>
      <c r="G1153" s="2">
        <v>1</v>
      </c>
      <c r="H1153" s="2">
        <v>10</v>
      </c>
      <c r="I1153">
        <f t="shared" si="85"/>
        <v>40000</v>
      </c>
      <c r="J1153">
        <f t="shared" si="86"/>
        <v>4000</v>
      </c>
      <c r="K1153" s="6">
        <f t="shared" si="87"/>
        <v>36000</v>
      </c>
      <c r="L1153" s="2">
        <v>85000</v>
      </c>
      <c r="M1153" s="6">
        <f>Table1[[#This Row],[Total Sales]]+Table1[[#This Row],[Shipping Fee]]</f>
        <v>121000</v>
      </c>
      <c r="N1153" s="2" t="s">
        <v>63</v>
      </c>
      <c r="O1153" t="str">
        <f>VLOOKUP(Table1[[#This Row],[Order ID]],Status!A:B, 2,FALSE)</f>
        <v>Completed</v>
      </c>
      <c r="P1153" s="2" t="s">
        <v>30</v>
      </c>
      <c r="Q1153" s="2">
        <v>4</v>
      </c>
      <c r="R1153" s="2" t="s">
        <v>24</v>
      </c>
      <c r="S1153" s="11" t="str">
        <f t="shared" si="88"/>
        <v>Bagus</v>
      </c>
      <c r="T1153" s="2" t="str">
        <f t="shared" si="89"/>
        <v>Sangat Rendah</v>
      </c>
    </row>
    <row r="1154" spans="1:20" ht="15.75" customHeight="1" x14ac:dyDescent="0.3">
      <c r="A1154" s="4" t="s">
        <v>1225</v>
      </c>
      <c r="B1154" s="3">
        <v>45712.076365740737</v>
      </c>
      <c r="C1154" s="2" t="s">
        <v>1087</v>
      </c>
      <c r="D1154" s="2" t="s">
        <v>143</v>
      </c>
      <c r="E1154" s="2" t="s">
        <v>250</v>
      </c>
      <c r="F1154" s="2">
        <v>18000</v>
      </c>
      <c r="G1154" s="2">
        <v>1</v>
      </c>
      <c r="H1154" s="2">
        <v>20</v>
      </c>
      <c r="I1154">
        <f t="shared" ref="I1154:I1217" si="90">F1154*G1154</f>
        <v>18000</v>
      </c>
      <c r="J1154">
        <f t="shared" ref="J1154:J1217" si="91">I1154*H1154/100</f>
        <v>3600</v>
      </c>
      <c r="K1154" s="6">
        <f t="shared" ref="K1154:K1217" si="92">I1154-J1154</f>
        <v>14400</v>
      </c>
      <c r="L1154" s="2">
        <v>50000</v>
      </c>
      <c r="M1154" s="6">
        <f>Table1[[#This Row],[Total Sales]]+Table1[[#This Row],[Shipping Fee]]</f>
        <v>64400</v>
      </c>
      <c r="N1154" s="2" t="s">
        <v>22</v>
      </c>
      <c r="O1154" t="str">
        <f>VLOOKUP(Table1[[#This Row],[Order ID]],Status!A:B, 2,FALSE)</f>
        <v>Completed</v>
      </c>
      <c r="P1154" s="2" t="s">
        <v>36</v>
      </c>
      <c r="Q1154" s="2">
        <v>2</v>
      </c>
      <c r="R1154" s="2" t="s">
        <v>24</v>
      </c>
      <c r="S1154" s="11" t="str">
        <f t="shared" ref="S1154:S1217" si="93">_xlfn.IFS(Q1154&gt;3,"Bagus",Q1154=3,"Standar",Q1154&lt;3,"Rendah")</f>
        <v>Rendah</v>
      </c>
      <c r="T1154" s="2" t="str">
        <f t="shared" ref="T1154:T1217" si="94">_xlfn.IFS(J1154&lt;=5000,"Sangat Rendah", J1154&lt;=10000,"Rendah", J1154&lt;=20000, "Normal", J1154&lt;=35000, "Tinggi", J1154&lt;= 50000, "Sangat Tinggi", J1154&gt;50000, "Clearance")</f>
        <v>Sangat Rendah</v>
      </c>
    </row>
    <row r="1155" spans="1:20" ht="15.75" customHeight="1" x14ac:dyDescent="0.3">
      <c r="A1155" s="4" t="s">
        <v>1224</v>
      </c>
      <c r="B1155" s="3">
        <v>45711.942013888889</v>
      </c>
      <c r="C1155" s="2" t="s">
        <v>513</v>
      </c>
      <c r="D1155" s="2" t="s">
        <v>182</v>
      </c>
      <c r="E1155" s="2" t="s">
        <v>50</v>
      </c>
      <c r="F1155" s="2">
        <v>14000</v>
      </c>
      <c r="G1155" s="2">
        <v>2</v>
      </c>
      <c r="H1155" s="2">
        <v>5</v>
      </c>
      <c r="I1155">
        <f t="shared" si="90"/>
        <v>28000</v>
      </c>
      <c r="J1155">
        <f t="shared" si="91"/>
        <v>1400</v>
      </c>
      <c r="K1155" s="6">
        <f t="shared" si="92"/>
        <v>26600</v>
      </c>
      <c r="L1155" s="2">
        <v>48000</v>
      </c>
      <c r="M1155" s="6">
        <f>Table1[[#This Row],[Total Sales]]+Table1[[#This Row],[Shipping Fee]]</f>
        <v>74600</v>
      </c>
      <c r="N1155" s="2" t="s">
        <v>35</v>
      </c>
      <c r="O1155" t="str">
        <f>VLOOKUP(Table1[[#This Row],[Order ID]],Status!A:B, 2,FALSE)</f>
        <v>Completed</v>
      </c>
      <c r="P1155" s="2" t="s">
        <v>23</v>
      </c>
      <c r="Q1155" s="2">
        <v>1</v>
      </c>
      <c r="R1155" s="2" t="s">
        <v>24</v>
      </c>
      <c r="S1155" s="11" t="str">
        <f t="shared" si="93"/>
        <v>Rendah</v>
      </c>
      <c r="T1155" s="2" t="str">
        <f t="shared" si="94"/>
        <v>Sangat Rendah</v>
      </c>
    </row>
    <row r="1156" spans="1:20" ht="15.75" customHeight="1" x14ac:dyDescent="0.3">
      <c r="A1156" s="4" t="s">
        <v>1223</v>
      </c>
      <c r="B1156" s="3">
        <v>45711.86005787037</v>
      </c>
      <c r="C1156" s="2" t="s">
        <v>398</v>
      </c>
      <c r="D1156" s="2" t="s">
        <v>182</v>
      </c>
      <c r="E1156" s="2" t="s">
        <v>58</v>
      </c>
      <c r="F1156" s="2">
        <v>16000</v>
      </c>
      <c r="G1156" s="2">
        <v>3</v>
      </c>
      <c r="H1156" s="2">
        <v>5</v>
      </c>
      <c r="I1156">
        <f t="shared" si="90"/>
        <v>48000</v>
      </c>
      <c r="J1156">
        <f t="shared" si="91"/>
        <v>2400</v>
      </c>
      <c r="K1156" s="6">
        <f t="shared" si="92"/>
        <v>45600</v>
      </c>
      <c r="L1156" s="2">
        <v>48000</v>
      </c>
      <c r="M1156" s="6">
        <f>Table1[[#This Row],[Total Sales]]+Table1[[#This Row],[Shipping Fee]]</f>
        <v>93600</v>
      </c>
      <c r="N1156" s="2" t="s">
        <v>22</v>
      </c>
      <c r="O1156" t="str">
        <f>VLOOKUP(Table1[[#This Row],[Order ID]],Status!A:B, 2,FALSE)</f>
        <v>Completed</v>
      </c>
      <c r="P1156" s="2" t="s">
        <v>46</v>
      </c>
      <c r="Q1156" s="2">
        <v>4</v>
      </c>
      <c r="R1156" s="2" t="s">
        <v>24</v>
      </c>
      <c r="S1156" s="11" t="str">
        <f t="shared" si="93"/>
        <v>Bagus</v>
      </c>
      <c r="T1156" s="2" t="str">
        <f t="shared" si="94"/>
        <v>Sangat Rendah</v>
      </c>
    </row>
    <row r="1157" spans="1:20" ht="15.75" customHeight="1" x14ac:dyDescent="0.3">
      <c r="A1157" s="4" t="s">
        <v>1222</v>
      </c>
      <c r="B1157" s="3">
        <v>45711.808391203696</v>
      </c>
      <c r="C1157" s="2" t="s">
        <v>389</v>
      </c>
      <c r="D1157" s="2" t="s">
        <v>182</v>
      </c>
      <c r="E1157" s="2" t="s">
        <v>136</v>
      </c>
      <c r="F1157" s="2">
        <v>12000</v>
      </c>
      <c r="G1157" s="2">
        <v>2</v>
      </c>
      <c r="H1157" s="2">
        <v>5</v>
      </c>
      <c r="I1157">
        <f t="shared" si="90"/>
        <v>24000</v>
      </c>
      <c r="J1157">
        <f t="shared" si="91"/>
        <v>1200</v>
      </c>
      <c r="K1157" s="6">
        <f t="shared" si="92"/>
        <v>22800</v>
      </c>
      <c r="L1157" s="2">
        <v>48000</v>
      </c>
      <c r="M1157" s="6">
        <f>Table1[[#This Row],[Total Sales]]+Table1[[#This Row],[Shipping Fee]]</f>
        <v>70800</v>
      </c>
      <c r="N1157" s="2" t="s">
        <v>35</v>
      </c>
      <c r="O1157" t="str">
        <f>VLOOKUP(Table1[[#This Row],[Order ID]],Status!A:B, 2,FALSE)</f>
        <v>Completed</v>
      </c>
      <c r="P1157" s="2" t="s">
        <v>30</v>
      </c>
      <c r="Q1157" s="2">
        <v>2</v>
      </c>
      <c r="R1157" s="2" t="s">
        <v>24</v>
      </c>
      <c r="S1157" s="11" t="str">
        <f t="shared" si="93"/>
        <v>Rendah</v>
      </c>
      <c r="T1157" s="2" t="str">
        <f t="shared" si="94"/>
        <v>Sangat Rendah</v>
      </c>
    </row>
    <row r="1158" spans="1:20" ht="15.75" customHeight="1" x14ac:dyDescent="0.3">
      <c r="A1158" s="4" t="s">
        <v>1221</v>
      </c>
      <c r="B1158" s="3">
        <v>45711.494050925918</v>
      </c>
      <c r="C1158" s="2" t="s">
        <v>726</v>
      </c>
      <c r="D1158" s="2" t="s">
        <v>53</v>
      </c>
      <c r="E1158" s="2" t="s">
        <v>85</v>
      </c>
      <c r="F1158" s="2">
        <v>35000</v>
      </c>
      <c r="G1158" s="2">
        <v>5</v>
      </c>
      <c r="H1158" s="2">
        <v>15</v>
      </c>
      <c r="I1158">
        <f t="shared" si="90"/>
        <v>175000</v>
      </c>
      <c r="J1158">
        <f t="shared" si="91"/>
        <v>26250</v>
      </c>
      <c r="K1158" s="6">
        <f t="shared" si="92"/>
        <v>148750</v>
      </c>
      <c r="L1158" s="2">
        <v>18000</v>
      </c>
      <c r="M1158" s="6">
        <f>Table1[[#This Row],[Total Sales]]+Table1[[#This Row],[Shipping Fee]]</f>
        <v>166750</v>
      </c>
      <c r="N1158" s="2" t="s">
        <v>22</v>
      </c>
      <c r="O1158" t="str">
        <f>VLOOKUP(Table1[[#This Row],[Order ID]],Status!A:B, 2,FALSE)</f>
        <v>Completed</v>
      </c>
      <c r="P1158" s="2" t="s">
        <v>30</v>
      </c>
      <c r="Q1158" s="2">
        <v>4</v>
      </c>
      <c r="R1158" s="2" t="s">
        <v>37</v>
      </c>
      <c r="S1158" s="11" t="str">
        <f t="shared" si="93"/>
        <v>Bagus</v>
      </c>
      <c r="T1158" s="2" t="str">
        <f t="shared" si="94"/>
        <v>Tinggi</v>
      </c>
    </row>
    <row r="1159" spans="1:20" ht="15.75" customHeight="1" x14ac:dyDescent="0.3">
      <c r="A1159" s="4" t="s">
        <v>1220</v>
      </c>
      <c r="B1159" s="3">
        <v>45711.125011574077</v>
      </c>
      <c r="C1159" s="2" t="s">
        <v>227</v>
      </c>
      <c r="D1159" s="2" t="s">
        <v>70</v>
      </c>
      <c r="E1159" s="2" t="s">
        <v>50</v>
      </c>
      <c r="F1159" s="2">
        <v>14000</v>
      </c>
      <c r="G1159" s="2">
        <v>5</v>
      </c>
      <c r="H1159" s="2">
        <v>10</v>
      </c>
      <c r="I1159">
        <f t="shared" si="90"/>
        <v>70000</v>
      </c>
      <c r="J1159">
        <f t="shared" si="91"/>
        <v>7000</v>
      </c>
      <c r="K1159" s="6">
        <f t="shared" si="92"/>
        <v>63000</v>
      </c>
      <c r="L1159" s="2">
        <v>89000</v>
      </c>
      <c r="M1159" s="6">
        <f>Table1[[#This Row],[Total Sales]]+Table1[[#This Row],[Shipping Fee]]</f>
        <v>152000</v>
      </c>
      <c r="N1159" s="2" t="s">
        <v>29</v>
      </c>
      <c r="O1159" t="str">
        <f>VLOOKUP(Table1[[#This Row],[Order ID]],Status!A:B, 2,FALSE)</f>
        <v>Returned</v>
      </c>
      <c r="P1159" s="2" t="s">
        <v>23</v>
      </c>
      <c r="Q1159" s="2">
        <v>4</v>
      </c>
      <c r="R1159" s="2" t="s">
        <v>24</v>
      </c>
      <c r="S1159" s="11" t="str">
        <f t="shared" si="93"/>
        <v>Bagus</v>
      </c>
      <c r="T1159" s="2" t="str">
        <f t="shared" si="94"/>
        <v>Rendah</v>
      </c>
    </row>
    <row r="1160" spans="1:20" ht="15.75" customHeight="1" x14ac:dyDescent="0.3">
      <c r="A1160" s="4" t="s">
        <v>1219</v>
      </c>
      <c r="B1160" s="3">
        <v>45711.112835648149</v>
      </c>
      <c r="C1160" s="2" t="s">
        <v>644</v>
      </c>
      <c r="D1160" s="2" t="s">
        <v>244</v>
      </c>
      <c r="E1160" s="2" t="s">
        <v>71</v>
      </c>
      <c r="F1160" s="2">
        <v>40000</v>
      </c>
      <c r="G1160" s="2">
        <v>3</v>
      </c>
      <c r="H1160" s="2">
        <v>0</v>
      </c>
      <c r="I1160">
        <f t="shared" si="90"/>
        <v>120000</v>
      </c>
      <c r="J1160">
        <f t="shared" si="91"/>
        <v>0</v>
      </c>
      <c r="K1160" s="6">
        <f t="shared" si="92"/>
        <v>120000</v>
      </c>
      <c r="L1160" s="2">
        <v>80000</v>
      </c>
      <c r="M1160" s="6">
        <f>Table1[[#This Row],[Total Sales]]+Table1[[#This Row],[Shipping Fee]]</f>
        <v>200000</v>
      </c>
      <c r="N1160" s="2" t="s">
        <v>63</v>
      </c>
      <c r="O1160" t="str">
        <f>VLOOKUP(Table1[[#This Row],[Order ID]],Status!A:B, 2,FALSE)</f>
        <v>Returned</v>
      </c>
      <c r="P1160" s="2" t="s">
        <v>82</v>
      </c>
      <c r="Q1160" s="2">
        <v>5</v>
      </c>
      <c r="R1160" s="2" t="s">
        <v>24</v>
      </c>
      <c r="S1160" s="11" t="str">
        <f t="shared" si="93"/>
        <v>Bagus</v>
      </c>
      <c r="T1160" s="2" t="str">
        <f t="shared" si="94"/>
        <v>Sangat Rendah</v>
      </c>
    </row>
    <row r="1161" spans="1:20" ht="15.75" customHeight="1" x14ac:dyDescent="0.3">
      <c r="A1161" s="4" t="s">
        <v>1218</v>
      </c>
      <c r="B1161" s="3">
        <v>45711.086180555547</v>
      </c>
      <c r="C1161" s="2" t="s">
        <v>295</v>
      </c>
      <c r="D1161" s="2" t="s">
        <v>296</v>
      </c>
      <c r="E1161" s="2" t="s">
        <v>85</v>
      </c>
      <c r="F1161" s="2">
        <v>35000</v>
      </c>
      <c r="G1161" s="2">
        <v>4</v>
      </c>
      <c r="H1161" s="2">
        <v>5</v>
      </c>
      <c r="I1161">
        <f t="shared" si="90"/>
        <v>140000</v>
      </c>
      <c r="J1161">
        <f t="shared" si="91"/>
        <v>7000</v>
      </c>
      <c r="K1161" s="6">
        <f t="shared" si="92"/>
        <v>133000</v>
      </c>
      <c r="L1161" s="2">
        <v>79000</v>
      </c>
      <c r="M1161" s="6">
        <f>Table1[[#This Row],[Total Sales]]+Table1[[#This Row],[Shipping Fee]]</f>
        <v>212000</v>
      </c>
      <c r="N1161" s="2" t="s">
        <v>29</v>
      </c>
      <c r="O1161" t="str">
        <f>VLOOKUP(Table1[[#This Row],[Order ID]],Status!A:B, 2,FALSE)</f>
        <v>Completed</v>
      </c>
      <c r="P1161" s="2" t="s">
        <v>36</v>
      </c>
      <c r="Q1161" s="2">
        <v>2</v>
      </c>
      <c r="R1161" s="2" t="s">
        <v>24</v>
      </c>
      <c r="S1161" s="11" t="str">
        <f t="shared" si="93"/>
        <v>Rendah</v>
      </c>
      <c r="T1161" s="2" t="str">
        <f t="shared" si="94"/>
        <v>Rendah</v>
      </c>
    </row>
    <row r="1162" spans="1:20" ht="15.75" customHeight="1" x14ac:dyDescent="0.3">
      <c r="A1162" s="4" t="s">
        <v>1217</v>
      </c>
      <c r="B1162" s="3">
        <v>45710.959374999999</v>
      </c>
      <c r="C1162" s="2" t="s">
        <v>1003</v>
      </c>
      <c r="D1162" s="2" t="s">
        <v>262</v>
      </c>
      <c r="E1162" s="2" t="s">
        <v>88</v>
      </c>
      <c r="F1162" s="2">
        <v>14000</v>
      </c>
      <c r="G1162" s="2">
        <v>1</v>
      </c>
      <c r="H1162" s="2">
        <v>5</v>
      </c>
      <c r="I1162">
        <f t="shared" si="90"/>
        <v>14000</v>
      </c>
      <c r="J1162">
        <f t="shared" si="91"/>
        <v>700</v>
      </c>
      <c r="K1162" s="6">
        <f t="shared" si="92"/>
        <v>13300</v>
      </c>
      <c r="L1162" s="2">
        <v>18000</v>
      </c>
      <c r="M1162" s="6">
        <f>Table1[[#This Row],[Total Sales]]+Table1[[#This Row],[Shipping Fee]]</f>
        <v>31300</v>
      </c>
      <c r="N1162" s="2" t="s">
        <v>63</v>
      </c>
      <c r="O1162" t="str">
        <f>VLOOKUP(Table1[[#This Row],[Order ID]],Status!A:B, 2,FALSE)</f>
        <v>Completed</v>
      </c>
      <c r="P1162" s="2" t="s">
        <v>46</v>
      </c>
      <c r="Q1162" s="2">
        <v>2</v>
      </c>
      <c r="R1162" s="2" t="s">
        <v>24</v>
      </c>
      <c r="S1162" s="11" t="str">
        <f t="shared" si="93"/>
        <v>Rendah</v>
      </c>
      <c r="T1162" s="2" t="str">
        <f t="shared" si="94"/>
        <v>Sangat Rendah</v>
      </c>
    </row>
    <row r="1163" spans="1:20" ht="15.75" customHeight="1" x14ac:dyDescent="0.3">
      <c r="A1163" s="4" t="s">
        <v>1216</v>
      </c>
      <c r="B1163" s="3">
        <v>45710.415034722217</v>
      </c>
      <c r="C1163" s="2" t="s">
        <v>408</v>
      </c>
      <c r="D1163" s="2" t="s">
        <v>74</v>
      </c>
      <c r="E1163" s="2" t="s">
        <v>88</v>
      </c>
      <c r="F1163" s="2">
        <v>14000</v>
      </c>
      <c r="G1163" s="2">
        <v>2</v>
      </c>
      <c r="H1163" s="2">
        <v>0</v>
      </c>
      <c r="I1163">
        <f t="shared" si="90"/>
        <v>28000</v>
      </c>
      <c r="J1163">
        <f t="shared" si="91"/>
        <v>0</v>
      </c>
      <c r="K1163" s="6">
        <f t="shared" si="92"/>
        <v>28000</v>
      </c>
      <c r="L1163" s="2">
        <v>87000</v>
      </c>
      <c r="M1163" s="6">
        <f>Table1[[#This Row],[Total Sales]]+Table1[[#This Row],[Shipping Fee]]</f>
        <v>115000</v>
      </c>
      <c r="N1163" s="2" t="s">
        <v>29</v>
      </c>
      <c r="O1163" t="str">
        <f>VLOOKUP(Table1[[#This Row],[Order ID]],Status!A:B, 2,FALSE)</f>
        <v>Completed</v>
      </c>
      <c r="P1163" s="2" t="s">
        <v>23</v>
      </c>
      <c r="Q1163" s="2">
        <v>5</v>
      </c>
      <c r="R1163" s="2" t="s">
        <v>24</v>
      </c>
      <c r="S1163" s="11" t="str">
        <f t="shared" si="93"/>
        <v>Bagus</v>
      </c>
      <c r="T1163" s="2" t="str">
        <f t="shared" si="94"/>
        <v>Sangat Rendah</v>
      </c>
    </row>
    <row r="1164" spans="1:20" ht="15.75" customHeight="1" x14ac:dyDescent="0.3">
      <c r="A1164" s="4" t="s">
        <v>1215</v>
      </c>
      <c r="B1164" s="3">
        <v>45710.368113425917</v>
      </c>
      <c r="C1164" s="2" t="s">
        <v>419</v>
      </c>
      <c r="D1164" s="2" t="s">
        <v>103</v>
      </c>
      <c r="E1164" s="2" t="s">
        <v>38</v>
      </c>
      <c r="F1164" s="2">
        <v>28000</v>
      </c>
      <c r="G1164" s="2">
        <v>2</v>
      </c>
      <c r="H1164" s="2">
        <v>15</v>
      </c>
      <c r="I1164">
        <f t="shared" si="90"/>
        <v>56000</v>
      </c>
      <c r="J1164">
        <f t="shared" si="91"/>
        <v>8400</v>
      </c>
      <c r="K1164" s="6">
        <f t="shared" si="92"/>
        <v>47600</v>
      </c>
      <c r="L1164" s="2">
        <v>85000</v>
      </c>
      <c r="M1164" s="6">
        <f>Table1[[#This Row],[Total Sales]]+Table1[[#This Row],[Shipping Fee]]</f>
        <v>132600</v>
      </c>
      <c r="N1164" s="2" t="s">
        <v>63</v>
      </c>
      <c r="O1164" t="str">
        <f>VLOOKUP(Table1[[#This Row],[Order ID]],Status!A:B, 2,FALSE)</f>
        <v>Cancelled</v>
      </c>
      <c r="P1164" s="2" t="s">
        <v>82</v>
      </c>
      <c r="Q1164" s="2">
        <v>5</v>
      </c>
      <c r="R1164" s="2" t="s">
        <v>37</v>
      </c>
      <c r="S1164" s="11" t="str">
        <f t="shared" si="93"/>
        <v>Bagus</v>
      </c>
      <c r="T1164" s="2" t="str">
        <f t="shared" si="94"/>
        <v>Rendah</v>
      </c>
    </row>
    <row r="1165" spans="1:20" ht="15.75" customHeight="1" x14ac:dyDescent="0.3">
      <c r="A1165" s="4" t="s">
        <v>1214</v>
      </c>
      <c r="B1165" s="3">
        <v>45710.321087962962</v>
      </c>
      <c r="C1165" s="2" t="s">
        <v>412</v>
      </c>
      <c r="D1165" s="2" t="s">
        <v>70</v>
      </c>
      <c r="E1165" s="2" t="s">
        <v>62</v>
      </c>
      <c r="F1165" s="2">
        <v>50000</v>
      </c>
      <c r="G1165" s="2">
        <v>5</v>
      </c>
      <c r="H1165" s="2">
        <v>15</v>
      </c>
      <c r="I1165">
        <f t="shared" si="90"/>
        <v>250000</v>
      </c>
      <c r="J1165">
        <f t="shared" si="91"/>
        <v>37500</v>
      </c>
      <c r="K1165" s="6">
        <f t="shared" si="92"/>
        <v>212500</v>
      </c>
      <c r="L1165" s="2">
        <v>89000</v>
      </c>
      <c r="M1165" s="6">
        <f>Table1[[#This Row],[Total Sales]]+Table1[[#This Row],[Shipping Fee]]</f>
        <v>301500</v>
      </c>
      <c r="N1165" s="2" t="s">
        <v>35</v>
      </c>
      <c r="O1165" t="str">
        <f>VLOOKUP(Table1[[#This Row],[Order ID]],Status!A:B, 2,FALSE)</f>
        <v>Completed</v>
      </c>
      <c r="P1165" s="2" t="s">
        <v>23</v>
      </c>
      <c r="Q1165" s="2">
        <v>4</v>
      </c>
      <c r="R1165" s="2" t="s">
        <v>24</v>
      </c>
      <c r="S1165" s="11" t="str">
        <f t="shared" si="93"/>
        <v>Bagus</v>
      </c>
      <c r="T1165" s="2" t="str">
        <f t="shared" si="94"/>
        <v>Sangat Tinggi</v>
      </c>
    </row>
    <row r="1166" spans="1:20" ht="15.75" customHeight="1" x14ac:dyDescent="0.3">
      <c r="A1166" s="4" t="s">
        <v>1213</v>
      </c>
      <c r="B1166" s="3">
        <v>45710.237928240742</v>
      </c>
      <c r="C1166" s="2" t="s">
        <v>615</v>
      </c>
      <c r="D1166" s="2" t="s">
        <v>92</v>
      </c>
      <c r="E1166" s="2" t="s">
        <v>85</v>
      </c>
      <c r="F1166" s="2">
        <v>35000</v>
      </c>
      <c r="G1166" s="2">
        <v>3</v>
      </c>
      <c r="H1166" s="2">
        <v>10</v>
      </c>
      <c r="I1166">
        <f t="shared" si="90"/>
        <v>105000</v>
      </c>
      <c r="J1166">
        <f t="shared" si="91"/>
        <v>10500</v>
      </c>
      <c r="K1166" s="6">
        <f t="shared" si="92"/>
        <v>94500</v>
      </c>
      <c r="L1166" s="2">
        <v>30000</v>
      </c>
      <c r="M1166" s="6">
        <f>Table1[[#This Row],[Total Sales]]+Table1[[#This Row],[Shipping Fee]]</f>
        <v>124500</v>
      </c>
      <c r="N1166" s="2" t="s">
        <v>29</v>
      </c>
      <c r="O1166" t="str">
        <f>VLOOKUP(Table1[[#This Row],[Order ID]],Status!A:B, 2,FALSE)</f>
        <v>Returned</v>
      </c>
      <c r="P1166" s="2" t="s">
        <v>23</v>
      </c>
      <c r="Q1166" s="2">
        <v>1</v>
      </c>
      <c r="R1166" s="2" t="s">
        <v>24</v>
      </c>
      <c r="S1166" s="11" t="str">
        <f t="shared" si="93"/>
        <v>Rendah</v>
      </c>
      <c r="T1166" s="2" t="str">
        <f t="shared" si="94"/>
        <v>Normal</v>
      </c>
    </row>
    <row r="1167" spans="1:20" ht="15.75" customHeight="1" x14ac:dyDescent="0.3">
      <c r="A1167" s="4" t="s">
        <v>1212</v>
      </c>
      <c r="B1167" s="3">
        <v>45710.038969907408</v>
      </c>
      <c r="C1167" s="2" t="s">
        <v>635</v>
      </c>
      <c r="D1167" s="2" t="s">
        <v>103</v>
      </c>
      <c r="E1167" s="2" t="s">
        <v>67</v>
      </c>
      <c r="F1167" s="2">
        <v>15000</v>
      </c>
      <c r="G1167" s="2">
        <v>2</v>
      </c>
      <c r="H1167" s="2">
        <v>5</v>
      </c>
      <c r="I1167">
        <f t="shared" si="90"/>
        <v>30000</v>
      </c>
      <c r="J1167">
        <f t="shared" si="91"/>
        <v>1500</v>
      </c>
      <c r="K1167" s="6">
        <f t="shared" si="92"/>
        <v>28500</v>
      </c>
      <c r="L1167" s="2">
        <v>85000</v>
      </c>
      <c r="M1167" s="6">
        <f>Table1[[#This Row],[Total Sales]]+Table1[[#This Row],[Shipping Fee]]</f>
        <v>113500</v>
      </c>
      <c r="N1167" s="2" t="s">
        <v>22</v>
      </c>
      <c r="O1167" t="str">
        <f>VLOOKUP(Table1[[#This Row],[Order ID]],Status!A:B, 2,FALSE)</f>
        <v>Completed</v>
      </c>
      <c r="P1167" s="2" t="s">
        <v>82</v>
      </c>
      <c r="Q1167" s="2">
        <v>1</v>
      </c>
      <c r="R1167" s="2" t="s">
        <v>24</v>
      </c>
      <c r="S1167" s="11" t="str">
        <f t="shared" si="93"/>
        <v>Rendah</v>
      </c>
      <c r="T1167" s="2" t="str">
        <f t="shared" si="94"/>
        <v>Sangat Rendah</v>
      </c>
    </row>
    <row r="1168" spans="1:20" ht="15.75" customHeight="1" x14ac:dyDescent="0.3">
      <c r="A1168" s="4" t="s">
        <v>1211</v>
      </c>
      <c r="B1168" s="3">
        <v>45708.462071759262</v>
      </c>
      <c r="C1168" s="2" t="s">
        <v>374</v>
      </c>
      <c r="D1168" s="2" t="s">
        <v>375</v>
      </c>
      <c r="E1168" s="2" t="s">
        <v>34</v>
      </c>
      <c r="F1168" s="2">
        <v>16000</v>
      </c>
      <c r="G1168" s="2">
        <v>1</v>
      </c>
      <c r="H1168" s="2">
        <v>15</v>
      </c>
      <c r="I1168">
        <f t="shared" si="90"/>
        <v>16000</v>
      </c>
      <c r="J1168">
        <f t="shared" si="91"/>
        <v>2400</v>
      </c>
      <c r="K1168" s="6">
        <f t="shared" si="92"/>
        <v>13600</v>
      </c>
      <c r="L1168" s="2">
        <v>21000</v>
      </c>
      <c r="M1168" s="6">
        <f>Table1[[#This Row],[Total Sales]]+Table1[[#This Row],[Shipping Fee]]</f>
        <v>34600</v>
      </c>
      <c r="N1168" s="2" t="s">
        <v>63</v>
      </c>
      <c r="O1168" t="str">
        <f>VLOOKUP(Table1[[#This Row],[Order ID]],Status!A:B, 2,FALSE)</f>
        <v>Completed</v>
      </c>
      <c r="P1168" s="2" t="s">
        <v>23</v>
      </c>
      <c r="Q1168" s="2">
        <v>3</v>
      </c>
      <c r="R1168" s="2" t="s">
        <v>37</v>
      </c>
      <c r="S1168" s="11" t="str">
        <f t="shared" si="93"/>
        <v>Standar</v>
      </c>
      <c r="T1168" s="2" t="str">
        <f t="shared" si="94"/>
        <v>Sangat Rendah</v>
      </c>
    </row>
    <row r="1169" spans="1:20" ht="15.75" customHeight="1" x14ac:dyDescent="0.3">
      <c r="A1169" s="4" t="s">
        <v>1209</v>
      </c>
      <c r="B1169" s="3">
        <v>45708.372812499998</v>
      </c>
      <c r="C1169" s="2" t="s">
        <v>1210</v>
      </c>
      <c r="D1169" s="2" t="s">
        <v>113</v>
      </c>
      <c r="E1169" s="2" t="s">
        <v>71</v>
      </c>
      <c r="F1169" s="2">
        <v>40000</v>
      </c>
      <c r="G1169" s="2">
        <v>4</v>
      </c>
      <c r="H1169" s="2">
        <v>5</v>
      </c>
      <c r="I1169">
        <f t="shared" si="90"/>
        <v>160000</v>
      </c>
      <c r="J1169">
        <f t="shared" si="91"/>
        <v>8000</v>
      </c>
      <c r="K1169" s="6">
        <f t="shared" si="92"/>
        <v>152000</v>
      </c>
      <c r="L1169" s="2">
        <v>18000</v>
      </c>
      <c r="M1169" s="6">
        <f>Table1[[#This Row],[Total Sales]]+Table1[[#This Row],[Shipping Fee]]</f>
        <v>170000</v>
      </c>
      <c r="N1169" s="2" t="s">
        <v>29</v>
      </c>
      <c r="O1169" t="str">
        <f>VLOOKUP(Table1[[#This Row],[Order ID]],Status!A:B, 2,FALSE)</f>
        <v>Returned</v>
      </c>
      <c r="P1169" s="2" t="s">
        <v>46</v>
      </c>
      <c r="Q1169" s="2">
        <v>3</v>
      </c>
      <c r="R1169" s="2" t="s">
        <v>24</v>
      </c>
      <c r="S1169" s="11" t="str">
        <f t="shared" si="93"/>
        <v>Standar</v>
      </c>
      <c r="T1169" s="2" t="str">
        <f t="shared" si="94"/>
        <v>Rendah</v>
      </c>
    </row>
    <row r="1170" spans="1:20" ht="15.75" customHeight="1" x14ac:dyDescent="0.3">
      <c r="A1170" s="4" t="s">
        <v>1208</v>
      </c>
      <c r="B1170" s="3">
        <v>45708.313923611109</v>
      </c>
      <c r="C1170" s="2" t="s">
        <v>644</v>
      </c>
      <c r="D1170" s="2" t="s">
        <v>244</v>
      </c>
      <c r="E1170" s="2" t="s">
        <v>104</v>
      </c>
      <c r="F1170" s="2">
        <v>30000</v>
      </c>
      <c r="G1170" s="2">
        <v>4</v>
      </c>
      <c r="H1170" s="2">
        <v>0</v>
      </c>
      <c r="I1170">
        <f t="shared" si="90"/>
        <v>120000</v>
      </c>
      <c r="J1170">
        <f t="shared" si="91"/>
        <v>0</v>
      </c>
      <c r="K1170" s="6">
        <f t="shared" si="92"/>
        <v>120000</v>
      </c>
      <c r="L1170" s="2">
        <v>80000</v>
      </c>
      <c r="M1170" s="6">
        <f>Table1[[#This Row],[Total Sales]]+Table1[[#This Row],[Shipping Fee]]</f>
        <v>200000</v>
      </c>
      <c r="N1170" s="2" t="s">
        <v>63</v>
      </c>
      <c r="O1170" t="str">
        <f>VLOOKUP(Table1[[#This Row],[Order ID]],Status!A:B, 2,FALSE)</f>
        <v>Completed</v>
      </c>
      <c r="P1170" s="2" t="s">
        <v>23</v>
      </c>
      <c r="Q1170" s="2">
        <v>4</v>
      </c>
      <c r="R1170" s="2" t="s">
        <v>24</v>
      </c>
      <c r="S1170" s="11" t="str">
        <f t="shared" si="93"/>
        <v>Bagus</v>
      </c>
      <c r="T1170" s="2" t="str">
        <f t="shared" si="94"/>
        <v>Sangat Rendah</v>
      </c>
    </row>
    <row r="1171" spans="1:20" ht="15.75" customHeight="1" x14ac:dyDescent="0.3">
      <c r="A1171" s="4" t="s">
        <v>1207</v>
      </c>
      <c r="B1171" s="3">
        <v>45708.093530092592</v>
      </c>
      <c r="C1171" s="2" t="s">
        <v>729</v>
      </c>
      <c r="D1171" s="2" t="s">
        <v>74</v>
      </c>
      <c r="E1171" s="2" t="s">
        <v>28</v>
      </c>
      <c r="F1171" s="2">
        <v>5000</v>
      </c>
      <c r="G1171" s="2">
        <v>5</v>
      </c>
      <c r="H1171" s="2">
        <v>0</v>
      </c>
      <c r="I1171">
        <f t="shared" si="90"/>
        <v>25000</v>
      </c>
      <c r="J1171">
        <f t="shared" si="91"/>
        <v>0</v>
      </c>
      <c r="K1171" s="6">
        <f t="shared" si="92"/>
        <v>25000</v>
      </c>
      <c r="L1171" s="2">
        <v>87000</v>
      </c>
      <c r="M1171" s="6">
        <f>Table1[[#This Row],[Total Sales]]+Table1[[#This Row],[Shipping Fee]]</f>
        <v>112000</v>
      </c>
      <c r="N1171" s="2" t="s">
        <v>29</v>
      </c>
      <c r="O1171" t="str">
        <f>VLOOKUP(Table1[[#This Row],[Order ID]],Status!A:B, 2,FALSE)</f>
        <v>Completed</v>
      </c>
      <c r="P1171" s="2" t="s">
        <v>23</v>
      </c>
      <c r="Q1171" s="2">
        <v>3</v>
      </c>
      <c r="R1171" s="2" t="s">
        <v>24</v>
      </c>
      <c r="S1171" s="11" t="str">
        <f t="shared" si="93"/>
        <v>Standar</v>
      </c>
      <c r="T1171" s="2" t="str">
        <f t="shared" si="94"/>
        <v>Sangat Rendah</v>
      </c>
    </row>
    <row r="1172" spans="1:20" ht="15.75" customHeight="1" x14ac:dyDescent="0.3">
      <c r="A1172" s="4" t="s">
        <v>1206</v>
      </c>
      <c r="B1172" s="3">
        <v>45708.040451388893</v>
      </c>
      <c r="C1172" s="2" t="s">
        <v>525</v>
      </c>
      <c r="D1172" s="2" t="s">
        <v>96</v>
      </c>
      <c r="E1172" s="2" t="s">
        <v>45</v>
      </c>
      <c r="F1172" s="2">
        <v>40000</v>
      </c>
      <c r="G1172" s="2">
        <v>5</v>
      </c>
      <c r="H1172" s="2">
        <v>10</v>
      </c>
      <c r="I1172">
        <f t="shared" si="90"/>
        <v>200000</v>
      </c>
      <c r="J1172">
        <f t="shared" si="91"/>
        <v>20000</v>
      </c>
      <c r="K1172" s="6">
        <f t="shared" si="92"/>
        <v>180000</v>
      </c>
      <c r="L1172" s="2">
        <v>49000</v>
      </c>
      <c r="M1172" s="6">
        <f>Table1[[#This Row],[Total Sales]]+Table1[[#This Row],[Shipping Fee]]</f>
        <v>229000</v>
      </c>
      <c r="N1172" s="2" t="s">
        <v>35</v>
      </c>
      <c r="O1172" t="str">
        <f>VLOOKUP(Table1[[#This Row],[Order ID]],Status!A:B, 2,FALSE)</f>
        <v>Completed</v>
      </c>
      <c r="P1172" s="2" t="s">
        <v>46</v>
      </c>
      <c r="Q1172" s="2">
        <v>5</v>
      </c>
      <c r="R1172" s="2" t="s">
        <v>24</v>
      </c>
      <c r="S1172" s="11" t="str">
        <f t="shared" si="93"/>
        <v>Bagus</v>
      </c>
      <c r="T1172" s="2" t="str">
        <f t="shared" si="94"/>
        <v>Normal</v>
      </c>
    </row>
    <row r="1173" spans="1:20" ht="15.75" customHeight="1" x14ac:dyDescent="0.3">
      <c r="A1173" s="4" t="s">
        <v>1205</v>
      </c>
      <c r="B1173" s="3">
        <v>45707.727094907408</v>
      </c>
      <c r="C1173" s="2" t="s">
        <v>287</v>
      </c>
      <c r="D1173" s="2" t="s">
        <v>262</v>
      </c>
      <c r="E1173" s="2" t="s">
        <v>104</v>
      </c>
      <c r="F1173" s="2">
        <v>30000</v>
      </c>
      <c r="G1173" s="2">
        <v>3</v>
      </c>
      <c r="H1173" s="2">
        <v>5</v>
      </c>
      <c r="I1173">
        <f t="shared" si="90"/>
        <v>90000</v>
      </c>
      <c r="J1173">
        <f t="shared" si="91"/>
        <v>4500</v>
      </c>
      <c r="K1173" s="6">
        <f t="shared" si="92"/>
        <v>85500</v>
      </c>
      <c r="L1173" s="2">
        <v>18000</v>
      </c>
      <c r="M1173" s="6">
        <f>Table1[[#This Row],[Total Sales]]+Table1[[#This Row],[Shipping Fee]]</f>
        <v>103500</v>
      </c>
      <c r="N1173" s="2" t="s">
        <v>35</v>
      </c>
      <c r="O1173" t="str">
        <f>VLOOKUP(Table1[[#This Row],[Order ID]],Status!A:B, 2,FALSE)</f>
        <v>Completed</v>
      </c>
      <c r="P1173" s="2" t="s">
        <v>36</v>
      </c>
      <c r="Q1173" s="2">
        <v>5</v>
      </c>
      <c r="R1173" s="2" t="s">
        <v>24</v>
      </c>
      <c r="S1173" s="11" t="str">
        <f t="shared" si="93"/>
        <v>Bagus</v>
      </c>
      <c r="T1173" s="2" t="str">
        <f t="shared" si="94"/>
        <v>Sangat Rendah</v>
      </c>
    </row>
    <row r="1174" spans="1:20" ht="15.75" customHeight="1" x14ac:dyDescent="0.3">
      <c r="A1174" s="4" t="s">
        <v>1204</v>
      </c>
      <c r="B1174" s="3">
        <v>45707.330289351848</v>
      </c>
      <c r="C1174" s="2" t="s">
        <v>827</v>
      </c>
      <c r="D1174" s="2" t="s">
        <v>20</v>
      </c>
      <c r="E1174" s="2" t="s">
        <v>75</v>
      </c>
      <c r="F1174" s="2">
        <v>55000</v>
      </c>
      <c r="G1174" s="2">
        <v>3</v>
      </c>
      <c r="H1174" s="2">
        <v>15</v>
      </c>
      <c r="I1174">
        <f t="shared" si="90"/>
        <v>165000</v>
      </c>
      <c r="J1174">
        <f t="shared" si="91"/>
        <v>24750</v>
      </c>
      <c r="K1174" s="6">
        <f t="shared" si="92"/>
        <v>140250</v>
      </c>
      <c r="L1174" s="2">
        <v>15000</v>
      </c>
      <c r="M1174" s="6">
        <f>Table1[[#This Row],[Total Sales]]+Table1[[#This Row],[Shipping Fee]]</f>
        <v>155250</v>
      </c>
      <c r="N1174" s="2" t="s">
        <v>63</v>
      </c>
      <c r="O1174" t="str">
        <f>VLOOKUP(Table1[[#This Row],[Order ID]],Status!A:B, 2,FALSE)</f>
        <v>Completed</v>
      </c>
      <c r="P1174" s="2" t="s">
        <v>23</v>
      </c>
      <c r="Q1174" s="2">
        <v>5</v>
      </c>
      <c r="R1174" s="2" t="s">
        <v>24</v>
      </c>
      <c r="S1174" s="11" t="str">
        <f t="shared" si="93"/>
        <v>Bagus</v>
      </c>
      <c r="T1174" s="2" t="str">
        <f t="shared" si="94"/>
        <v>Tinggi</v>
      </c>
    </row>
    <row r="1175" spans="1:20" ht="15.75" customHeight="1" x14ac:dyDescent="0.3">
      <c r="A1175" s="4" t="s">
        <v>1203</v>
      </c>
      <c r="B1175" s="3">
        <v>45707.320428240739</v>
      </c>
      <c r="C1175" s="2" t="s">
        <v>261</v>
      </c>
      <c r="D1175" s="2" t="s">
        <v>262</v>
      </c>
      <c r="E1175" s="2" t="s">
        <v>21</v>
      </c>
      <c r="F1175" s="2">
        <v>45000</v>
      </c>
      <c r="G1175" s="2">
        <v>5</v>
      </c>
      <c r="H1175" s="2">
        <v>5</v>
      </c>
      <c r="I1175">
        <f t="shared" si="90"/>
        <v>225000</v>
      </c>
      <c r="J1175">
        <f t="shared" si="91"/>
        <v>11250</v>
      </c>
      <c r="K1175" s="6">
        <f t="shared" si="92"/>
        <v>213750</v>
      </c>
      <c r="L1175" s="2">
        <v>18000</v>
      </c>
      <c r="M1175" s="6">
        <f>Table1[[#This Row],[Total Sales]]+Table1[[#This Row],[Shipping Fee]]</f>
        <v>231750</v>
      </c>
      <c r="N1175" s="2" t="s">
        <v>29</v>
      </c>
      <c r="O1175" t="str">
        <f>VLOOKUP(Table1[[#This Row],[Order ID]],Status!A:B, 2,FALSE)</f>
        <v>Completed</v>
      </c>
      <c r="P1175" s="2" t="s">
        <v>46</v>
      </c>
      <c r="Q1175" s="2">
        <v>5</v>
      </c>
      <c r="R1175" s="2" t="s">
        <v>24</v>
      </c>
      <c r="S1175" s="11" t="str">
        <f t="shared" si="93"/>
        <v>Bagus</v>
      </c>
      <c r="T1175" s="2" t="str">
        <f t="shared" si="94"/>
        <v>Normal</v>
      </c>
    </row>
    <row r="1176" spans="1:20" ht="15.75" customHeight="1" x14ac:dyDescent="0.3">
      <c r="A1176" s="4" t="s">
        <v>1203</v>
      </c>
      <c r="B1176" s="3">
        <v>45707.320428240739</v>
      </c>
      <c r="C1176" s="2" t="s">
        <v>261</v>
      </c>
      <c r="D1176" s="2" t="s">
        <v>262</v>
      </c>
      <c r="E1176" s="2" t="s">
        <v>174</v>
      </c>
      <c r="F1176" s="2">
        <v>10000</v>
      </c>
      <c r="G1176" s="2">
        <v>4</v>
      </c>
      <c r="H1176" s="2">
        <v>5</v>
      </c>
      <c r="I1176">
        <f t="shared" si="90"/>
        <v>40000</v>
      </c>
      <c r="J1176">
        <f t="shared" si="91"/>
        <v>2000</v>
      </c>
      <c r="K1176" s="6">
        <f t="shared" si="92"/>
        <v>38000</v>
      </c>
      <c r="L1176" s="2">
        <v>0</v>
      </c>
      <c r="M1176" s="6">
        <f>Table1[[#This Row],[Total Sales]]+Table1[[#This Row],[Shipping Fee]]</f>
        <v>38000</v>
      </c>
      <c r="N1176" s="2" t="s">
        <v>29</v>
      </c>
      <c r="O1176" t="str">
        <f>VLOOKUP(Table1[[#This Row],[Order ID]],Status!A:B, 2,FALSE)</f>
        <v>Completed</v>
      </c>
      <c r="P1176" s="2" t="s">
        <v>46</v>
      </c>
      <c r="Q1176" s="2">
        <v>5</v>
      </c>
      <c r="R1176" s="2" t="s">
        <v>24</v>
      </c>
      <c r="S1176" s="11" t="str">
        <f t="shared" si="93"/>
        <v>Bagus</v>
      </c>
      <c r="T1176" s="2" t="str">
        <f t="shared" si="94"/>
        <v>Sangat Rendah</v>
      </c>
    </row>
    <row r="1177" spans="1:20" ht="15.75" customHeight="1" x14ac:dyDescent="0.3">
      <c r="A1177" s="4" t="s">
        <v>1202</v>
      </c>
      <c r="B1177" s="3">
        <v>45707.281608796293</v>
      </c>
      <c r="C1177" s="2" t="s">
        <v>916</v>
      </c>
      <c r="D1177" s="2" t="s">
        <v>96</v>
      </c>
      <c r="E1177" s="2" t="s">
        <v>110</v>
      </c>
      <c r="F1177" s="2">
        <v>6000</v>
      </c>
      <c r="G1177" s="2">
        <v>1</v>
      </c>
      <c r="H1177" s="2">
        <v>10</v>
      </c>
      <c r="I1177">
        <f t="shared" si="90"/>
        <v>6000</v>
      </c>
      <c r="J1177">
        <f t="shared" si="91"/>
        <v>600</v>
      </c>
      <c r="K1177" s="6">
        <f t="shared" si="92"/>
        <v>5400</v>
      </c>
      <c r="L1177" s="2">
        <v>49000</v>
      </c>
      <c r="M1177" s="6">
        <f>Table1[[#This Row],[Total Sales]]+Table1[[#This Row],[Shipping Fee]]</f>
        <v>54400</v>
      </c>
      <c r="N1177" s="2" t="s">
        <v>35</v>
      </c>
      <c r="O1177" t="str">
        <f>VLOOKUP(Table1[[#This Row],[Order ID]],Status!A:B, 2,FALSE)</f>
        <v>Returned</v>
      </c>
      <c r="P1177" s="2" t="s">
        <v>82</v>
      </c>
      <c r="Q1177" s="2">
        <v>3</v>
      </c>
      <c r="R1177" s="2" t="s">
        <v>24</v>
      </c>
      <c r="S1177" s="11" t="str">
        <f t="shared" si="93"/>
        <v>Standar</v>
      </c>
      <c r="T1177" s="2" t="str">
        <f t="shared" si="94"/>
        <v>Sangat Rendah</v>
      </c>
    </row>
    <row r="1178" spans="1:20" ht="15.75" customHeight="1" x14ac:dyDescent="0.3">
      <c r="A1178" s="4" t="s">
        <v>1201</v>
      </c>
      <c r="B1178" s="3">
        <v>45706.851782407408</v>
      </c>
      <c r="C1178" s="2" t="s">
        <v>48</v>
      </c>
      <c r="D1178" s="2" t="s">
        <v>49</v>
      </c>
      <c r="E1178" s="2" t="s">
        <v>123</v>
      </c>
      <c r="F1178" s="2">
        <v>22000</v>
      </c>
      <c r="G1178" s="2">
        <v>4</v>
      </c>
      <c r="H1178" s="2">
        <v>20</v>
      </c>
      <c r="I1178">
        <f t="shared" si="90"/>
        <v>88000</v>
      </c>
      <c r="J1178">
        <f t="shared" si="91"/>
        <v>17600</v>
      </c>
      <c r="K1178" s="6">
        <f t="shared" si="92"/>
        <v>70400</v>
      </c>
      <c r="L1178" s="2">
        <v>43000</v>
      </c>
      <c r="M1178" s="6">
        <f>Table1[[#This Row],[Total Sales]]+Table1[[#This Row],[Shipping Fee]]</f>
        <v>113400</v>
      </c>
      <c r="N1178" s="2" t="s">
        <v>22</v>
      </c>
      <c r="O1178" t="str">
        <f>VLOOKUP(Table1[[#This Row],[Order ID]],Status!A:B, 2,FALSE)</f>
        <v>Completed</v>
      </c>
      <c r="P1178" s="2" t="s">
        <v>46</v>
      </c>
      <c r="Q1178" s="2">
        <v>3</v>
      </c>
      <c r="R1178" s="2" t="s">
        <v>24</v>
      </c>
      <c r="S1178" s="11" t="str">
        <f t="shared" si="93"/>
        <v>Standar</v>
      </c>
      <c r="T1178" s="2" t="str">
        <f t="shared" si="94"/>
        <v>Normal</v>
      </c>
    </row>
    <row r="1179" spans="1:20" ht="15.75" customHeight="1" x14ac:dyDescent="0.3">
      <c r="A1179" s="4" t="s">
        <v>1200</v>
      </c>
      <c r="B1179" s="3">
        <v>45706.288402777784</v>
      </c>
      <c r="C1179" s="2" t="s">
        <v>133</v>
      </c>
      <c r="D1179" s="2" t="s">
        <v>33</v>
      </c>
      <c r="E1179" s="2" t="s">
        <v>110</v>
      </c>
      <c r="F1179" s="2">
        <v>6000</v>
      </c>
      <c r="G1179" s="2">
        <v>2</v>
      </c>
      <c r="H1179" s="2">
        <v>10</v>
      </c>
      <c r="I1179">
        <f t="shared" si="90"/>
        <v>12000</v>
      </c>
      <c r="J1179">
        <f t="shared" si="91"/>
        <v>1200</v>
      </c>
      <c r="K1179" s="6">
        <f t="shared" si="92"/>
        <v>10800</v>
      </c>
      <c r="L1179" s="2">
        <v>76000</v>
      </c>
      <c r="M1179" s="6">
        <f>Table1[[#This Row],[Total Sales]]+Table1[[#This Row],[Shipping Fee]]</f>
        <v>86800</v>
      </c>
      <c r="N1179" s="2" t="s">
        <v>22</v>
      </c>
      <c r="O1179" t="str">
        <f>VLOOKUP(Table1[[#This Row],[Order ID]],Status!A:B, 2,FALSE)</f>
        <v>Completed</v>
      </c>
      <c r="P1179" s="2" t="s">
        <v>82</v>
      </c>
      <c r="Q1179" s="2">
        <v>5</v>
      </c>
      <c r="R1179" s="2" t="s">
        <v>24</v>
      </c>
      <c r="S1179" s="11" t="str">
        <f t="shared" si="93"/>
        <v>Bagus</v>
      </c>
      <c r="T1179" s="2" t="str">
        <f t="shared" si="94"/>
        <v>Sangat Rendah</v>
      </c>
    </row>
    <row r="1180" spans="1:20" ht="15.75" customHeight="1" x14ac:dyDescent="0.3">
      <c r="A1180" s="4" t="s">
        <v>1198</v>
      </c>
      <c r="B1180" s="3">
        <v>45706.043124999997</v>
      </c>
      <c r="C1180" s="2" t="s">
        <v>1199</v>
      </c>
      <c r="D1180" s="2" t="s">
        <v>375</v>
      </c>
      <c r="E1180" s="2" t="s">
        <v>85</v>
      </c>
      <c r="F1180" s="2">
        <v>35000</v>
      </c>
      <c r="G1180" s="2">
        <v>3</v>
      </c>
      <c r="H1180" s="2">
        <v>0</v>
      </c>
      <c r="I1180">
        <f t="shared" si="90"/>
        <v>105000</v>
      </c>
      <c r="J1180">
        <f t="shared" si="91"/>
        <v>0</v>
      </c>
      <c r="K1180" s="6">
        <f t="shared" si="92"/>
        <v>105000</v>
      </c>
      <c r="L1180" s="2">
        <v>21000</v>
      </c>
      <c r="M1180" s="6">
        <f>Table1[[#This Row],[Total Sales]]+Table1[[#This Row],[Shipping Fee]]</f>
        <v>126000</v>
      </c>
      <c r="N1180" s="2" t="s">
        <v>22</v>
      </c>
      <c r="O1180" t="str">
        <f>VLOOKUP(Table1[[#This Row],[Order ID]],Status!A:B, 2,FALSE)</f>
        <v>Returned</v>
      </c>
      <c r="P1180" s="2" t="s">
        <v>36</v>
      </c>
      <c r="Q1180" s="2">
        <v>5</v>
      </c>
      <c r="R1180" s="2" t="s">
        <v>24</v>
      </c>
      <c r="S1180" s="11" t="str">
        <f t="shared" si="93"/>
        <v>Bagus</v>
      </c>
      <c r="T1180" s="2" t="str">
        <f t="shared" si="94"/>
        <v>Sangat Rendah</v>
      </c>
    </row>
    <row r="1181" spans="1:20" ht="15.75" customHeight="1" x14ac:dyDescent="0.3">
      <c r="A1181" s="4" t="s">
        <v>1197</v>
      </c>
      <c r="B1181" s="3">
        <v>45705.915300925917</v>
      </c>
      <c r="C1181" s="2" t="s">
        <v>396</v>
      </c>
      <c r="D1181" s="2" t="s">
        <v>66</v>
      </c>
      <c r="E1181" s="2" t="s">
        <v>144</v>
      </c>
      <c r="F1181" s="2">
        <v>18000</v>
      </c>
      <c r="G1181" s="2">
        <v>4</v>
      </c>
      <c r="H1181" s="2">
        <v>5</v>
      </c>
      <c r="I1181">
        <f t="shared" si="90"/>
        <v>72000</v>
      </c>
      <c r="J1181">
        <f t="shared" si="91"/>
        <v>3600</v>
      </c>
      <c r="K1181" s="6">
        <f t="shared" si="92"/>
        <v>68400</v>
      </c>
      <c r="L1181" s="2">
        <v>59000</v>
      </c>
      <c r="M1181" s="6">
        <f>Table1[[#This Row],[Total Sales]]+Table1[[#This Row],[Shipping Fee]]</f>
        <v>127400</v>
      </c>
      <c r="N1181" s="2" t="s">
        <v>35</v>
      </c>
      <c r="O1181" t="str">
        <f>VLOOKUP(Table1[[#This Row],[Order ID]],Status!A:B, 2,FALSE)</f>
        <v>Returned</v>
      </c>
      <c r="P1181" s="2" t="s">
        <v>82</v>
      </c>
      <c r="Q1181" s="2">
        <v>1</v>
      </c>
      <c r="R1181" s="2" t="s">
        <v>37</v>
      </c>
      <c r="S1181" s="11" t="str">
        <f t="shared" si="93"/>
        <v>Rendah</v>
      </c>
      <c r="T1181" s="2" t="str">
        <f t="shared" si="94"/>
        <v>Sangat Rendah</v>
      </c>
    </row>
    <row r="1182" spans="1:20" ht="15.75" customHeight="1" x14ac:dyDescent="0.3">
      <c r="A1182" s="4" t="s">
        <v>1196</v>
      </c>
      <c r="B1182" s="3">
        <v>45705.628761574073</v>
      </c>
      <c r="C1182" s="2" t="s">
        <v>1063</v>
      </c>
      <c r="D1182" s="2" t="s">
        <v>96</v>
      </c>
      <c r="E1182" s="2" t="s">
        <v>38</v>
      </c>
      <c r="F1182" s="2">
        <v>28000</v>
      </c>
      <c r="G1182" s="2">
        <v>1</v>
      </c>
      <c r="H1182" s="2">
        <v>10</v>
      </c>
      <c r="I1182">
        <f t="shared" si="90"/>
        <v>28000</v>
      </c>
      <c r="J1182">
        <f t="shared" si="91"/>
        <v>2800</v>
      </c>
      <c r="K1182" s="6">
        <f t="shared" si="92"/>
        <v>25200</v>
      </c>
      <c r="L1182" s="2">
        <v>49000</v>
      </c>
      <c r="M1182" s="6">
        <f>Table1[[#This Row],[Total Sales]]+Table1[[#This Row],[Shipping Fee]]</f>
        <v>74200</v>
      </c>
      <c r="N1182" s="2" t="s">
        <v>22</v>
      </c>
      <c r="O1182" t="str">
        <f>VLOOKUP(Table1[[#This Row],[Order ID]],Status!A:B, 2,FALSE)</f>
        <v>Returned</v>
      </c>
      <c r="P1182" s="2" t="s">
        <v>46</v>
      </c>
      <c r="Q1182" s="2">
        <v>1</v>
      </c>
      <c r="R1182" s="2" t="s">
        <v>24</v>
      </c>
      <c r="S1182" s="11" t="str">
        <f t="shared" si="93"/>
        <v>Rendah</v>
      </c>
      <c r="T1182" s="2" t="str">
        <f t="shared" si="94"/>
        <v>Sangat Rendah</v>
      </c>
    </row>
    <row r="1183" spans="1:20" ht="15.75" customHeight="1" x14ac:dyDescent="0.3">
      <c r="A1183" s="4" t="s">
        <v>1195</v>
      </c>
      <c r="B1183" s="3">
        <v>45705.598402777781</v>
      </c>
      <c r="C1183" s="2" t="s">
        <v>235</v>
      </c>
      <c r="D1183" s="2" t="s">
        <v>189</v>
      </c>
      <c r="E1183" s="2" t="s">
        <v>136</v>
      </c>
      <c r="F1183" s="2">
        <v>12000</v>
      </c>
      <c r="G1183" s="2">
        <v>3</v>
      </c>
      <c r="H1183" s="2">
        <v>5</v>
      </c>
      <c r="I1183">
        <f t="shared" si="90"/>
        <v>36000</v>
      </c>
      <c r="J1183">
        <f t="shared" si="91"/>
        <v>1800</v>
      </c>
      <c r="K1183" s="6">
        <f t="shared" si="92"/>
        <v>34200</v>
      </c>
      <c r="L1183" s="2">
        <v>57000</v>
      </c>
      <c r="M1183" s="6">
        <f>Table1[[#This Row],[Total Sales]]+Table1[[#This Row],[Shipping Fee]]</f>
        <v>91200</v>
      </c>
      <c r="N1183" s="2" t="s">
        <v>63</v>
      </c>
      <c r="O1183" t="str">
        <f>VLOOKUP(Table1[[#This Row],[Order ID]],Status!A:B, 2,FALSE)</f>
        <v>Cancelled</v>
      </c>
      <c r="P1183" s="2" t="s">
        <v>82</v>
      </c>
      <c r="Q1183" s="2">
        <v>4</v>
      </c>
      <c r="R1183" s="2" t="s">
        <v>37</v>
      </c>
      <c r="S1183" s="11" t="str">
        <f t="shared" si="93"/>
        <v>Bagus</v>
      </c>
      <c r="T1183" s="2" t="str">
        <f t="shared" si="94"/>
        <v>Sangat Rendah</v>
      </c>
    </row>
    <row r="1184" spans="1:20" ht="15.75" customHeight="1" x14ac:dyDescent="0.3">
      <c r="A1184" s="4" t="s">
        <v>1194</v>
      </c>
      <c r="B1184" s="3">
        <v>45705.520138888889</v>
      </c>
      <c r="C1184" s="2" t="s">
        <v>299</v>
      </c>
      <c r="D1184" s="2" t="s">
        <v>163</v>
      </c>
      <c r="E1184" s="2" t="s">
        <v>71</v>
      </c>
      <c r="F1184" s="2">
        <v>40000</v>
      </c>
      <c r="G1184" s="2">
        <v>1</v>
      </c>
      <c r="H1184" s="2">
        <v>10</v>
      </c>
      <c r="I1184">
        <f t="shared" si="90"/>
        <v>40000</v>
      </c>
      <c r="J1184">
        <f t="shared" si="91"/>
        <v>4000</v>
      </c>
      <c r="K1184" s="6">
        <f t="shared" si="92"/>
        <v>36000</v>
      </c>
      <c r="L1184" s="2">
        <v>50000</v>
      </c>
      <c r="M1184" s="6">
        <f>Table1[[#This Row],[Total Sales]]+Table1[[#This Row],[Shipping Fee]]</f>
        <v>86000</v>
      </c>
      <c r="N1184" s="2" t="s">
        <v>29</v>
      </c>
      <c r="O1184" t="str">
        <f>VLOOKUP(Table1[[#This Row],[Order ID]],Status!A:B, 2,FALSE)</f>
        <v>Returned</v>
      </c>
      <c r="P1184" s="2" t="s">
        <v>23</v>
      </c>
      <c r="Q1184" s="2">
        <v>1</v>
      </c>
      <c r="R1184" s="2" t="s">
        <v>24</v>
      </c>
      <c r="S1184" s="11" t="str">
        <f t="shared" si="93"/>
        <v>Rendah</v>
      </c>
      <c r="T1184" s="2" t="str">
        <f t="shared" si="94"/>
        <v>Sangat Rendah</v>
      </c>
    </row>
    <row r="1185" spans="1:20" ht="15.75" customHeight="1" x14ac:dyDescent="0.3">
      <c r="A1185" s="4" t="s">
        <v>1193</v>
      </c>
      <c r="B1185" s="3">
        <v>45704.955081018517</v>
      </c>
      <c r="C1185" s="2" t="s">
        <v>601</v>
      </c>
      <c r="D1185" s="2" t="s">
        <v>119</v>
      </c>
      <c r="E1185" s="2" t="s">
        <v>50</v>
      </c>
      <c r="F1185" s="2">
        <v>14000</v>
      </c>
      <c r="G1185" s="2">
        <v>5</v>
      </c>
      <c r="H1185" s="2">
        <v>10</v>
      </c>
      <c r="I1185">
        <f t="shared" si="90"/>
        <v>70000</v>
      </c>
      <c r="J1185">
        <f t="shared" si="91"/>
        <v>7000</v>
      </c>
      <c r="K1185" s="6">
        <f t="shared" si="92"/>
        <v>63000</v>
      </c>
      <c r="L1185" s="2">
        <v>0</v>
      </c>
      <c r="M1185" s="6">
        <f>Table1[[#This Row],[Total Sales]]+Table1[[#This Row],[Shipping Fee]]</f>
        <v>63000</v>
      </c>
      <c r="N1185" s="2" t="s">
        <v>35</v>
      </c>
      <c r="O1185" t="str">
        <f>VLOOKUP(Table1[[#This Row],[Order ID]],Status!A:B, 2,FALSE)</f>
        <v>Completed</v>
      </c>
      <c r="P1185" s="2" t="s">
        <v>23</v>
      </c>
      <c r="Q1185" s="2">
        <v>1</v>
      </c>
      <c r="R1185" s="2" t="s">
        <v>24</v>
      </c>
      <c r="S1185" s="11" t="str">
        <f t="shared" si="93"/>
        <v>Rendah</v>
      </c>
      <c r="T1185" s="2" t="str">
        <f t="shared" si="94"/>
        <v>Rendah</v>
      </c>
    </row>
    <row r="1186" spans="1:20" ht="15.75" customHeight="1" x14ac:dyDescent="0.3">
      <c r="A1186" s="4" t="s">
        <v>1192</v>
      </c>
      <c r="B1186" s="3">
        <v>45704.779814814807</v>
      </c>
      <c r="C1186" s="2" t="s">
        <v>121</v>
      </c>
      <c r="D1186" s="2" t="s">
        <v>122</v>
      </c>
      <c r="E1186" s="2" t="s">
        <v>67</v>
      </c>
      <c r="F1186" s="2">
        <v>15000</v>
      </c>
      <c r="G1186" s="2">
        <v>1</v>
      </c>
      <c r="H1186" s="2">
        <v>20</v>
      </c>
      <c r="I1186">
        <f t="shared" si="90"/>
        <v>15000</v>
      </c>
      <c r="J1186">
        <f t="shared" si="91"/>
        <v>3000</v>
      </c>
      <c r="K1186" s="6">
        <f t="shared" si="92"/>
        <v>12000</v>
      </c>
      <c r="L1186" s="2">
        <v>78000</v>
      </c>
      <c r="M1186" s="6">
        <f>Table1[[#This Row],[Total Sales]]+Table1[[#This Row],[Shipping Fee]]</f>
        <v>90000</v>
      </c>
      <c r="N1186" s="2" t="s">
        <v>35</v>
      </c>
      <c r="O1186" t="str">
        <f>VLOOKUP(Table1[[#This Row],[Order ID]],Status!A:B, 2,FALSE)</f>
        <v>Completed</v>
      </c>
      <c r="P1186" s="2" t="s">
        <v>23</v>
      </c>
      <c r="Q1186" s="2">
        <v>2</v>
      </c>
      <c r="R1186" s="2" t="s">
        <v>24</v>
      </c>
      <c r="S1186" s="11" t="str">
        <f t="shared" si="93"/>
        <v>Rendah</v>
      </c>
      <c r="T1186" s="2" t="str">
        <f t="shared" si="94"/>
        <v>Sangat Rendah</v>
      </c>
    </row>
    <row r="1187" spans="1:20" ht="15.75" customHeight="1" x14ac:dyDescent="0.3">
      <c r="A1187" s="4" t="s">
        <v>1191</v>
      </c>
      <c r="B1187" s="3">
        <v>45704.347256944442</v>
      </c>
      <c r="C1187" s="2" t="s">
        <v>780</v>
      </c>
      <c r="D1187" s="2" t="s">
        <v>113</v>
      </c>
      <c r="E1187" s="2" t="s">
        <v>71</v>
      </c>
      <c r="F1187" s="2">
        <v>40000</v>
      </c>
      <c r="G1187" s="2">
        <v>2</v>
      </c>
      <c r="H1187" s="2">
        <v>5</v>
      </c>
      <c r="I1187">
        <f t="shared" si="90"/>
        <v>80000</v>
      </c>
      <c r="J1187">
        <f t="shared" si="91"/>
        <v>4000</v>
      </c>
      <c r="K1187" s="6">
        <f t="shared" si="92"/>
        <v>76000</v>
      </c>
      <c r="L1187" s="2">
        <v>18000</v>
      </c>
      <c r="M1187" s="6">
        <f>Table1[[#This Row],[Total Sales]]+Table1[[#This Row],[Shipping Fee]]</f>
        <v>94000</v>
      </c>
      <c r="N1187" s="2" t="s">
        <v>22</v>
      </c>
      <c r="O1187" t="str">
        <f>VLOOKUP(Table1[[#This Row],[Order ID]],Status!A:B, 2,FALSE)</f>
        <v>Cancelled</v>
      </c>
      <c r="P1187" s="2" t="s">
        <v>23</v>
      </c>
      <c r="Q1187" s="2">
        <v>2</v>
      </c>
      <c r="R1187" s="2" t="s">
        <v>24</v>
      </c>
      <c r="S1187" s="11" t="str">
        <f t="shared" si="93"/>
        <v>Rendah</v>
      </c>
      <c r="T1187" s="2" t="str">
        <f t="shared" si="94"/>
        <v>Sangat Rendah</v>
      </c>
    </row>
    <row r="1188" spans="1:20" ht="15.75" customHeight="1" x14ac:dyDescent="0.3">
      <c r="A1188" s="4" t="s">
        <v>1190</v>
      </c>
      <c r="B1188" s="3">
        <v>45703.924745370372</v>
      </c>
      <c r="C1188" s="2" t="s">
        <v>19</v>
      </c>
      <c r="D1188" s="2" t="s">
        <v>20</v>
      </c>
      <c r="E1188" s="2" t="s">
        <v>38</v>
      </c>
      <c r="F1188" s="2">
        <v>28000</v>
      </c>
      <c r="G1188" s="2">
        <v>1</v>
      </c>
      <c r="H1188" s="2">
        <v>5</v>
      </c>
      <c r="I1188">
        <f t="shared" si="90"/>
        <v>28000</v>
      </c>
      <c r="J1188">
        <f t="shared" si="91"/>
        <v>1400</v>
      </c>
      <c r="K1188" s="6">
        <f t="shared" si="92"/>
        <v>26600</v>
      </c>
      <c r="L1188" s="2">
        <v>15000</v>
      </c>
      <c r="M1188" s="6">
        <f>Table1[[#This Row],[Total Sales]]+Table1[[#This Row],[Shipping Fee]]</f>
        <v>41600</v>
      </c>
      <c r="N1188" s="2" t="s">
        <v>35</v>
      </c>
      <c r="O1188" t="str">
        <f>VLOOKUP(Table1[[#This Row],[Order ID]],Status!A:B, 2,FALSE)</f>
        <v>Completed</v>
      </c>
      <c r="P1188" s="2" t="s">
        <v>30</v>
      </c>
      <c r="Q1188" s="2">
        <v>3</v>
      </c>
      <c r="R1188" s="2" t="s">
        <v>24</v>
      </c>
      <c r="S1188" s="11" t="str">
        <f t="shared" si="93"/>
        <v>Standar</v>
      </c>
      <c r="T1188" s="2" t="str">
        <f t="shared" si="94"/>
        <v>Sangat Rendah</v>
      </c>
    </row>
    <row r="1189" spans="1:20" ht="15.75" customHeight="1" x14ac:dyDescent="0.3">
      <c r="A1189" s="4" t="s">
        <v>1189</v>
      </c>
      <c r="B1189" s="3">
        <v>45703.764722222222</v>
      </c>
      <c r="C1189" s="2" t="s">
        <v>582</v>
      </c>
      <c r="D1189" s="2" t="s">
        <v>435</v>
      </c>
      <c r="E1189" s="2" t="s">
        <v>41</v>
      </c>
      <c r="F1189" s="2">
        <v>4000</v>
      </c>
      <c r="G1189" s="2">
        <v>4</v>
      </c>
      <c r="H1189" s="2">
        <v>20</v>
      </c>
      <c r="I1189">
        <f t="shared" si="90"/>
        <v>16000</v>
      </c>
      <c r="J1189">
        <f t="shared" si="91"/>
        <v>3200</v>
      </c>
      <c r="K1189" s="6">
        <f t="shared" si="92"/>
        <v>12800</v>
      </c>
      <c r="L1189" s="2">
        <v>67000</v>
      </c>
      <c r="M1189" s="6">
        <f>Table1[[#This Row],[Total Sales]]+Table1[[#This Row],[Shipping Fee]]</f>
        <v>79800</v>
      </c>
      <c r="N1189" s="2" t="s">
        <v>29</v>
      </c>
      <c r="O1189" t="str">
        <f>VLOOKUP(Table1[[#This Row],[Order ID]],Status!A:B, 2,FALSE)</f>
        <v>Completed</v>
      </c>
      <c r="P1189" s="2" t="s">
        <v>23</v>
      </c>
      <c r="Q1189" s="2">
        <v>5</v>
      </c>
      <c r="R1189" s="2" t="s">
        <v>24</v>
      </c>
      <c r="S1189" s="11" t="str">
        <f t="shared" si="93"/>
        <v>Bagus</v>
      </c>
      <c r="T1189" s="2" t="str">
        <f t="shared" si="94"/>
        <v>Sangat Rendah</v>
      </c>
    </row>
    <row r="1190" spans="1:20" ht="15.75" customHeight="1" x14ac:dyDescent="0.3">
      <c r="A1190" s="4" t="s">
        <v>1188</v>
      </c>
      <c r="B1190" s="3">
        <v>45703.613344907397</v>
      </c>
      <c r="C1190" s="2" t="s">
        <v>402</v>
      </c>
      <c r="D1190" s="2" t="s">
        <v>163</v>
      </c>
      <c r="E1190" s="2" t="s">
        <v>250</v>
      </c>
      <c r="F1190" s="2">
        <v>18000</v>
      </c>
      <c r="G1190" s="2">
        <v>2</v>
      </c>
      <c r="H1190" s="2">
        <v>5</v>
      </c>
      <c r="I1190">
        <f t="shared" si="90"/>
        <v>36000</v>
      </c>
      <c r="J1190">
        <f t="shared" si="91"/>
        <v>1800</v>
      </c>
      <c r="K1190" s="6">
        <f t="shared" si="92"/>
        <v>34200</v>
      </c>
      <c r="L1190" s="2">
        <v>50000</v>
      </c>
      <c r="M1190" s="6">
        <f>Table1[[#This Row],[Total Sales]]+Table1[[#This Row],[Shipping Fee]]</f>
        <v>84200</v>
      </c>
      <c r="N1190" s="2" t="s">
        <v>29</v>
      </c>
      <c r="O1190" t="str">
        <f>VLOOKUP(Table1[[#This Row],[Order ID]],Status!A:B, 2,FALSE)</f>
        <v>Completed</v>
      </c>
      <c r="P1190" s="2" t="s">
        <v>30</v>
      </c>
      <c r="Q1190" s="2">
        <v>2</v>
      </c>
      <c r="R1190" s="2" t="s">
        <v>24</v>
      </c>
      <c r="S1190" s="11" t="str">
        <f t="shared" si="93"/>
        <v>Rendah</v>
      </c>
      <c r="T1190" s="2" t="str">
        <f t="shared" si="94"/>
        <v>Sangat Rendah</v>
      </c>
    </row>
    <row r="1191" spans="1:20" ht="15.75" customHeight="1" x14ac:dyDescent="0.3">
      <c r="A1191" s="4" t="s">
        <v>1187</v>
      </c>
      <c r="B1191" s="3">
        <v>45702.711562500001</v>
      </c>
      <c r="C1191" s="2" t="s">
        <v>544</v>
      </c>
      <c r="D1191" s="2" t="s">
        <v>163</v>
      </c>
      <c r="E1191" s="2" t="s">
        <v>50</v>
      </c>
      <c r="F1191" s="2">
        <v>14000</v>
      </c>
      <c r="G1191" s="2">
        <v>4</v>
      </c>
      <c r="H1191" s="2">
        <v>5</v>
      </c>
      <c r="I1191">
        <f t="shared" si="90"/>
        <v>56000</v>
      </c>
      <c r="J1191">
        <f t="shared" si="91"/>
        <v>2800</v>
      </c>
      <c r="K1191" s="6">
        <f t="shared" si="92"/>
        <v>53200</v>
      </c>
      <c r="L1191" s="2">
        <v>50000</v>
      </c>
      <c r="M1191" s="6">
        <f>Table1[[#This Row],[Total Sales]]+Table1[[#This Row],[Shipping Fee]]</f>
        <v>103200</v>
      </c>
      <c r="N1191" s="2" t="s">
        <v>35</v>
      </c>
      <c r="O1191" t="str">
        <f>VLOOKUP(Table1[[#This Row],[Order ID]],Status!A:B, 2,FALSE)</f>
        <v>Completed</v>
      </c>
      <c r="P1191" s="2" t="s">
        <v>23</v>
      </c>
      <c r="Q1191" s="2">
        <v>3</v>
      </c>
      <c r="R1191" s="2" t="s">
        <v>24</v>
      </c>
      <c r="S1191" s="11" t="str">
        <f t="shared" si="93"/>
        <v>Standar</v>
      </c>
      <c r="T1191" s="2" t="str">
        <f t="shared" si="94"/>
        <v>Sangat Rendah</v>
      </c>
    </row>
    <row r="1192" spans="1:20" ht="15.75" customHeight="1" x14ac:dyDescent="0.3">
      <c r="A1192" s="4" t="s">
        <v>1186</v>
      </c>
      <c r="B1192" s="3">
        <v>45702.578518518523</v>
      </c>
      <c r="C1192" s="2" t="s">
        <v>744</v>
      </c>
      <c r="D1192" s="2" t="s">
        <v>375</v>
      </c>
      <c r="E1192" s="2" t="s">
        <v>38</v>
      </c>
      <c r="F1192" s="2">
        <v>28000</v>
      </c>
      <c r="G1192" s="2">
        <v>3</v>
      </c>
      <c r="H1192" s="2">
        <v>5</v>
      </c>
      <c r="I1192">
        <f t="shared" si="90"/>
        <v>84000</v>
      </c>
      <c r="J1192">
        <f t="shared" si="91"/>
        <v>4200</v>
      </c>
      <c r="K1192" s="6">
        <f t="shared" si="92"/>
        <v>79800</v>
      </c>
      <c r="L1192" s="2">
        <v>21000</v>
      </c>
      <c r="M1192" s="6">
        <f>Table1[[#This Row],[Total Sales]]+Table1[[#This Row],[Shipping Fee]]</f>
        <v>100800</v>
      </c>
      <c r="N1192" s="2" t="s">
        <v>35</v>
      </c>
      <c r="O1192" t="str">
        <f>VLOOKUP(Table1[[#This Row],[Order ID]],Status!A:B, 2,FALSE)</f>
        <v>Completed</v>
      </c>
      <c r="P1192" s="2" t="s">
        <v>30</v>
      </c>
      <c r="Q1192" s="2">
        <v>4</v>
      </c>
      <c r="R1192" s="2" t="s">
        <v>24</v>
      </c>
      <c r="S1192" s="11" t="str">
        <f t="shared" si="93"/>
        <v>Bagus</v>
      </c>
      <c r="T1192" s="2" t="str">
        <f t="shared" si="94"/>
        <v>Sangat Rendah</v>
      </c>
    </row>
    <row r="1193" spans="1:20" ht="15.75" customHeight="1" x14ac:dyDescent="0.3">
      <c r="A1193" s="4" t="s">
        <v>1185</v>
      </c>
      <c r="B1193" s="3">
        <v>45702.395196759258</v>
      </c>
      <c r="C1193" s="2" t="s">
        <v>470</v>
      </c>
      <c r="D1193" s="2" t="s">
        <v>116</v>
      </c>
      <c r="E1193" s="2" t="s">
        <v>136</v>
      </c>
      <c r="F1193" s="2">
        <v>12000</v>
      </c>
      <c r="G1193" s="2">
        <v>1</v>
      </c>
      <c r="H1193" s="2">
        <v>5</v>
      </c>
      <c r="I1193">
        <f t="shared" si="90"/>
        <v>12000</v>
      </c>
      <c r="J1193">
        <f t="shared" si="91"/>
        <v>600</v>
      </c>
      <c r="K1193" s="6">
        <f t="shared" si="92"/>
        <v>11400</v>
      </c>
      <c r="L1193" s="2">
        <v>72000</v>
      </c>
      <c r="M1193" s="6">
        <f>Table1[[#This Row],[Total Sales]]+Table1[[#This Row],[Shipping Fee]]</f>
        <v>83400</v>
      </c>
      <c r="N1193" s="2" t="s">
        <v>35</v>
      </c>
      <c r="O1193" t="str">
        <f>VLOOKUP(Table1[[#This Row],[Order ID]],Status!A:B, 2,FALSE)</f>
        <v>Completed</v>
      </c>
      <c r="P1193" s="2" t="s">
        <v>36</v>
      </c>
      <c r="Q1193" s="2">
        <v>2</v>
      </c>
      <c r="R1193" s="2" t="s">
        <v>24</v>
      </c>
      <c r="S1193" s="11" t="str">
        <f t="shared" si="93"/>
        <v>Rendah</v>
      </c>
      <c r="T1193" s="2" t="str">
        <f t="shared" si="94"/>
        <v>Sangat Rendah</v>
      </c>
    </row>
    <row r="1194" spans="1:20" ht="15.75" customHeight="1" x14ac:dyDescent="0.3">
      <c r="A1194" s="4" t="s">
        <v>1184</v>
      </c>
      <c r="B1194" s="3">
        <v>45701.792673611111</v>
      </c>
      <c r="C1194" s="2" t="s">
        <v>167</v>
      </c>
      <c r="D1194" s="2" t="s">
        <v>44</v>
      </c>
      <c r="E1194" s="2" t="s">
        <v>88</v>
      </c>
      <c r="F1194" s="2">
        <v>14000</v>
      </c>
      <c r="G1194" s="2">
        <v>2</v>
      </c>
      <c r="H1194" s="2">
        <v>15</v>
      </c>
      <c r="I1194">
        <f t="shared" si="90"/>
        <v>28000</v>
      </c>
      <c r="J1194">
        <f t="shared" si="91"/>
        <v>4200</v>
      </c>
      <c r="K1194" s="6">
        <f t="shared" si="92"/>
        <v>23800</v>
      </c>
      <c r="L1194" s="2">
        <v>93000</v>
      </c>
      <c r="M1194" s="6">
        <f>Table1[[#This Row],[Total Sales]]+Table1[[#This Row],[Shipping Fee]]</f>
        <v>116800</v>
      </c>
      <c r="N1194" s="2" t="s">
        <v>22</v>
      </c>
      <c r="O1194" t="str">
        <f>VLOOKUP(Table1[[#This Row],[Order ID]],Status!A:B, 2,FALSE)</f>
        <v>Cancelled</v>
      </c>
      <c r="P1194" s="2" t="s">
        <v>46</v>
      </c>
      <c r="Q1194" s="2">
        <v>2</v>
      </c>
      <c r="R1194" s="2" t="s">
        <v>24</v>
      </c>
      <c r="S1194" s="11" t="str">
        <f t="shared" si="93"/>
        <v>Rendah</v>
      </c>
      <c r="T1194" s="2" t="str">
        <f t="shared" si="94"/>
        <v>Sangat Rendah</v>
      </c>
    </row>
    <row r="1195" spans="1:20" ht="15.75" customHeight="1" x14ac:dyDescent="0.3">
      <c r="A1195" s="4" t="s">
        <v>1183</v>
      </c>
      <c r="B1195" s="3">
        <v>45701.57744212963</v>
      </c>
      <c r="C1195" s="2" t="s">
        <v>722</v>
      </c>
      <c r="D1195" s="2" t="s">
        <v>57</v>
      </c>
      <c r="E1195" s="2" t="s">
        <v>50</v>
      </c>
      <c r="F1195" s="2">
        <v>14000</v>
      </c>
      <c r="G1195" s="2">
        <v>4</v>
      </c>
      <c r="H1195" s="2">
        <v>10</v>
      </c>
      <c r="I1195">
        <f t="shared" si="90"/>
        <v>56000</v>
      </c>
      <c r="J1195">
        <f t="shared" si="91"/>
        <v>5600</v>
      </c>
      <c r="K1195" s="6">
        <f t="shared" si="92"/>
        <v>50400</v>
      </c>
      <c r="L1195" s="2">
        <v>80000</v>
      </c>
      <c r="M1195" s="6">
        <f>Table1[[#This Row],[Total Sales]]+Table1[[#This Row],[Shipping Fee]]</f>
        <v>130400</v>
      </c>
      <c r="N1195" s="2" t="s">
        <v>22</v>
      </c>
      <c r="O1195" t="str">
        <f>VLOOKUP(Table1[[#This Row],[Order ID]],Status!A:B, 2,FALSE)</f>
        <v>Completed</v>
      </c>
      <c r="P1195" s="2" t="s">
        <v>23</v>
      </c>
      <c r="Q1195" s="2">
        <v>1</v>
      </c>
      <c r="R1195" s="2" t="s">
        <v>24</v>
      </c>
      <c r="S1195" s="11" t="str">
        <f t="shared" si="93"/>
        <v>Rendah</v>
      </c>
      <c r="T1195" s="2" t="str">
        <f t="shared" si="94"/>
        <v>Rendah</v>
      </c>
    </row>
    <row r="1196" spans="1:20" ht="15.75" customHeight="1" x14ac:dyDescent="0.3">
      <c r="A1196" s="4" t="s">
        <v>1182</v>
      </c>
      <c r="B1196" s="3">
        <v>45701.521331018521</v>
      </c>
      <c r="C1196" s="2" t="s">
        <v>133</v>
      </c>
      <c r="D1196" s="2" t="s">
        <v>33</v>
      </c>
      <c r="E1196" s="2" t="s">
        <v>50</v>
      </c>
      <c r="F1196" s="2">
        <v>14000</v>
      </c>
      <c r="G1196" s="2">
        <v>4</v>
      </c>
      <c r="H1196" s="2">
        <v>10</v>
      </c>
      <c r="I1196">
        <f t="shared" si="90"/>
        <v>56000</v>
      </c>
      <c r="J1196">
        <f t="shared" si="91"/>
        <v>5600</v>
      </c>
      <c r="K1196" s="6">
        <f t="shared" si="92"/>
        <v>50400</v>
      </c>
      <c r="L1196" s="2">
        <v>76000</v>
      </c>
      <c r="M1196" s="6">
        <f>Table1[[#This Row],[Total Sales]]+Table1[[#This Row],[Shipping Fee]]</f>
        <v>126400</v>
      </c>
      <c r="N1196" s="2" t="s">
        <v>22</v>
      </c>
      <c r="O1196" t="str">
        <f>VLOOKUP(Table1[[#This Row],[Order ID]],Status!A:B, 2,FALSE)</f>
        <v>Completed</v>
      </c>
      <c r="P1196" s="2" t="s">
        <v>30</v>
      </c>
      <c r="Q1196" s="2">
        <v>2</v>
      </c>
      <c r="R1196" s="2" t="s">
        <v>24</v>
      </c>
      <c r="S1196" s="11" t="str">
        <f t="shared" si="93"/>
        <v>Rendah</v>
      </c>
      <c r="T1196" s="2" t="str">
        <f t="shared" si="94"/>
        <v>Rendah</v>
      </c>
    </row>
    <row r="1197" spans="1:20" ht="15.75" customHeight="1" x14ac:dyDescent="0.3">
      <c r="A1197" s="4" t="s">
        <v>1181</v>
      </c>
      <c r="B1197" s="3">
        <v>45701.335729166669</v>
      </c>
      <c r="C1197" s="2" t="s">
        <v>1091</v>
      </c>
      <c r="D1197" s="2" t="s">
        <v>160</v>
      </c>
      <c r="E1197" s="2" t="s">
        <v>50</v>
      </c>
      <c r="F1197" s="2">
        <v>14000</v>
      </c>
      <c r="G1197" s="2">
        <v>3</v>
      </c>
      <c r="H1197" s="2">
        <v>10</v>
      </c>
      <c r="I1197">
        <f t="shared" si="90"/>
        <v>42000</v>
      </c>
      <c r="J1197">
        <f t="shared" si="91"/>
        <v>4200</v>
      </c>
      <c r="K1197" s="6">
        <f t="shared" si="92"/>
        <v>37800</v>
      </c>
      <c r="L1197" s="2">
        <v>68000</v>
      </c>
      <c r="M1197" s="6">
        <f>Table1[[#This Row],[Total Sales]]+Table1[[#This Row],[Shipping Fee]]</f>
        <v>105800</v>
      </c>
      <c r="N1197" s="2" t="s">
        <v>35</v>
      </c>
      <c r="O1197" t="str">
        <f>VLOOKUP(Table1[[#This Row],[Order ID]],Status!A:B, 2,FALSE)</f>
        <v>Completed</v>
      </c>
      <c r="P1197" s="2" t="s">
        <v>46</v>
      </c>
      <c r="Q1197" s="2">
        <v>5</v>
      </c>
      <c r="R1197" s="2" t="s">
        <v>37</v>
      </c>
      <c r="S1197" s="11" t="str">
        <f t="shared" si="93"/>
        <v>Bagus</v>
      </c>
      <c r="T1197" s="2" t="str">
        <f t="shared" si="94"/>
        <v>Sangat Rendah</v>
      </c>
    </row>
    <row r="1198" spans="1:20" ht="15.75" customHeight="1" x14ac:dyDescent="0.3">
      <c r="A1198" s="4" t="s">
        <v>1180</v>
      </c>
      <c r="B1198" s="3">
        <v>45701.299745370372</v>
      </c>
      <c r="C1198" s="2" t="s">
        <v>211</v>
      </c>
      <c r="D1198" s="2" t="s">
        <v>49</v>
      </c>
      <c r="E1198" s="2" t="s">
        <v>21</v>
      </c>
      <c r="F1198" s="2">
        <v>45000</v>
      </c>
      <c r="G1198" s="2">
        <v>2</v>
      </c>
      <c r="H1198" s="2">
        <v>20</v>
      </c>
      <c r="I1198">
        <f t="shared" si="90"/>
        <v>90000</v>
      </c>
      <c r="J1198">
        <f t="shared" si="91"/>
        <v>18000</v>
      </c>
      <c r="K1198" s="6">
        <f t="shared" si="92"/>
        <v>72000</v>
      </c>
      <c r="L1198" s="2">
        <v>43000</v>
      </c>
      <c r="M1198" s="6">
        <f>Table1[[#This Row],[Total Sales]]+Table1[[#This Row],[Shipping Fee]]</f>
        <v>115000</v>
      </c>
      <c r="N1198" s="2" t="s">
        <v>22</v>
      </c>
      <c r="O1198" t="str">
        <f>VLOOKUP(Table1[[#This Row],[Order ID]],Status!A:B, 2,FALSE)</f>
        <v>Returned</v>
      </c>
      <c r="P1198" s="2" t="s">
        <v>30</v>
      </c>
      <c r="Q1198" s="2">
        <v>3</v>
      </c>
      <c r="R1198" s="2" t="s">
        <v>24</v>
      </c>
      <c r="S1198" s="11" t="str">
        <f t="shared" si="93"/>
        <v>Standar</v>
      </c>
      <c r="T1198" s="2" t="str">
        <f t="shared" si="94"/>
        <v>Normal</v>
      </c>
    </row>
    <row r="1199" spans="1:20" ht="15.75" customHeight="1" x14ac:dyDescent="0.3">
      <c r="A1199" s="4" t="s">
        <v>1178</v>
      </c>
      <c r="B1199" s="3">
        <v>45700.962106481478</v>
      </c>
      <c r="C1199" s="2" t="s">
        <v>1179</v>
      </c>
      <c r="D1199" s="2" t="s">
        <v>170</v>
      </c>
      <c r="E1199" s="2" t="s">
        <v>45</v>
      </c>
      <c r="F1199" s="2">
        <v>40000</v>
      </c>
      <c r="G1199" s="2">
        <v>1</v>
      </c>
      <c r="H1199" s="2">
        <v>0</v>
      </c>
      <c r="I1199">
        <f t="shared" si="90"/>
        <v>40000</v>
      </c>
      <c r="J1199">
        <f t="shared" si="91"/>
        <v>0</v>
      </c>
      <c r="K1199" s="6">
        <f t="shared" si="92"/>
        <v>40000</v>
      </c>
      <c r="L1199" s="2">
        <v>46000</v>
      </c>
      <c r="M1199" s="6">
        <f>Table1[[#This Row],[Total Sales]]+Table1[[#This Row],[Shipping Fee]]</f>
        <v>86000</v>
      </c>
      <c r="N1199" s="2" t="s">
        <v>29</v>
      </c>
      <c r="O1199" t="str">
        <f>VLOOKUP(Table1[[#This Row],[Order ID]],Status!A:B, 2,FALSE)</f>
        <v>Completed</v>
      </c>
      <c r="P1199" s="2" t="s">
        <v>23</v>
      </c>
      <c r="Q1199" s="2">
        <v>2</v>
      </c>
      <c r="R1199" s="2" t="s">
        <v>24</v>
      </c>
      <c r="S1199" s="11" t="str">
        <f t="shared" si="93"/>
        <v>Rendah</v>
      </c>
      <c r="T1199" s="2" t="str">
        <f t="shared" si="94"/>
        <v>Sangat Rendah</v>
      </c>
    </row>
    <row r="1200" spans="1:20" ht="15.75" customHeight="1" x14ac:dyDescent="0.3">
      <c r="A1200" s="4" t="s">
        <v>1177</v>
      </c>
      <c r="B1200" s="3">
        <v>45700.710787037038</v>
      </c>
      <c r="C1200" s="2" t="s">
        <v>222</v>
      </c>
      <c r="D1200" s="2" t="s">
        <v>49</v>
      </c>
      <c r="E1200" s="2" t="s">
        <v>174</v>
      </c>
      <c r="F1200" s="2">
        <v>10000</v>
      </c>
      <c r="G1200" s="2">
        <v>5</v>
      </c>
      <c r="H1200" s="2">
        <v>20</v>
      </c>
      <c r="I1200">
        <f t="shared" si="90"/>
        <v>50000</v>
      </c>
      <c r="J1200">
        <f t="shared" si="91"/>
        <v>10000</v>
      </c>
      <c r="K1200" s="6">
        <f t="shared" si="92"/>
        <v>40000</v>
      </c>
      <c r="L1200" s="2">
        <v>43000</v>
      </c>
      <c r="M1200" s="6">
        <f>Table1[[#This Row],[Total Sales]]+Table1[[#This Row],[Shipping Fee]]</f>
        <v>83000</v>
      </c>
      <c r="N1200" s="2" t="s">
        <v>22</v>
      </c>
      <c r="O1200" t="str">
        <f>VLOOKUP(Table1[[#This Row],[Order ID]],Status!A:B, 2,FALSE)</f>
        <v>Cancelled</v>
      </c>
      <c r="P1200" s="2" t="s">
        <v>82</v>
      </c>
      <c r="Q1200" s="2">
        <v>2</v>
      </c>
      <c r="R1200" s="2" t="s">
        <v>24</v>
      </c>
      <c r="S1200" s="11" t="str">
        <f t="shared" si="93"/>
        <v>Rendah</v>
      </c>
      <c r="T1200" s="2" t="str">
        <f t="shared" si="94"/>
        <v>Rendah</v>
      </c>
    </row>
    <row r="1201" spans="1:20" ht="15.75" customHeight="1" x14ac:dyDescent="0.3">
      <c r="A1201" s="4" t="s">
        <v>1177</v>
      </c>
      <c r="B1201" s="3">
        <v>45700.710787037038</v>
      </c>
      <c r="C1201" s="2" t="s">
        <v>222</v>
      </c>
      <c r="D1201" s="2" t="s">
        <v>49</v>
      </c>
      <c r="E1201" s="2" t="s">
        <v>174</v>
      </c>
      <c r="F1201" s="2">
        <v>10000</v>
      </c>
      <c r="G1201" s="2">
        <v>2</v>
      </c>
      <c r="H1201" s="2">
        <v>5</v>
      </c>
      <c r="I1201">
        <f t="shared" si="90"/>
        <v>20000</v>
      </c>
      <c r="J1201">
        <f t="shared" si="91"/>
        <v>1000</v>
      </c>
      <c r="K1201" s="6">
        <f t="shared" si="92"/>
        <v>19000</v>
      </c>
      <c r="L1201" s="2">
        <v>0</v>
      </c>
      <c r="M1201" s="6">
        <f>Table1[[#This Row],[Total Sales]]+Table1[[#This Row],[Shipping Fee]]</f>
        <v>19000</v>
      </c>
      <c r="N1201" s="2" t="s">
        <v>22</v>
      </c>
      <c r="O1201" t="str">
        <f>VLOOKUP(Table1[[#This Row],[Order ID]],Status!A:B, 2,FALSE)</f>
        <v>Cancelled</v>
      </c>
      <c r="P1201" s="2" t="s">
        <v>82</v>
      </c>
      <c r="Q1201" s="2">
        <v>2</v>
      </c>
      <c r="R1201" s="2" t="s">
        <v>24</v>
      </c>
      <c r="S1201" s="11" t="str">
        <f t="shared" si="93"/>
        <v>Rendah</v>
      </c>
      <c r="T1201" s="2" t="str">
        <f t="shared" si="94"/>
        <v>Sangat Rendah</v>
      </c>
    </row>
    <row r="1202" spans="1:20" ht="15.75" customHeight="1" x14ac:dyDescent="0.3">
      <c r="A1202" s="4" t="s">
        <v>1176</v>
      </c>
      <c r="B1202" s="3">
        <v>45700.28434027778</v>
      </c>
      <c r="C1202" s="2" t="s">
        <v>804</v>
      </c>
      <c r="D1202" s="2" t="s">
        <v>49</v>
      </c>
      <c r="E1202" s="2" t="s">
        <v>88</v>
      </c>
      <c r="F1202" s="2">
        <v>14000</v>
      </c>
      <c r="G1202" s="2">
        <v>2</v>
      </c>
      <c r="H1202" s="2">
        <v>5</v>
      </c>
      <c r="I1202">
        <f t="shared" si="90"/>
        <v>28000</v>
      </c>
      <c r="J1202">
        <f t="shared" si="91"/>
        <v>1400</v>
      </c>
      <c r="K1202" s="6">
        <f t="shared" si="92"/>
        <v>26600</v>
      </c>
      <c r="L1202" s="2">
        <v>43000</v>
      </c>
      <c r="M1202" s="6">
        <f>Table1[[#This Row],[Total Sales]]+Table1[[#This Row],[Shipping Fee]]</f>
        <v>69600</v>
      </c>
      <c r="N1202" s="2" t="s">
        <v>29</v>
      </c>
      <c r="O1202" t="str">
        <f>VLOOKUP(Table1[[#This Row],[Order ID]],Status!A:B, 2,FALSE)</f>
        <v>Returned</v>
      </c>
      <c r="P1202" s="2" t="s">
        <v>82</v>
      </c>
      <c r="Q1202" s="2">
        <v>4</v>
      </c>
      <c r="R1202" s="2" t="s">
        <v>24</v>
      </c>
      <c r="S1202" s="11" t="str">
        <f t="shared" si="93"/>
        <v>Bagus</v>
      </c>
      <c r="T1202" s="2" t="str">
        <f t="shared" si="94"/>
        <v>Sangat Rendah</v>
      </c>
    </row>
    <row r="1203" spans="1:20" ht="15.75" customHeight="1" x14ac:dyDescent="0.3">
      <c r="A1203" s="4" t="s">
        <v>1175</v>
      </c>
      <c r="B1203" s="3">
        <v>45700.082442129627</v>
      </c>
      <c r="C1203" s="2" t="s">
        <v>741</v>
      </c>
      <c r="D1203" s="2" t="s">
        <v>189</v>
      </c>
      <c r="E1203" s="2" t="s">
        <v>110</v>
      </c>
      <c r="F1203" s="2">
        <v>6000</v>
      </c>
      <c r="G1203" s="2">
        <v>3</v>
      </c>
      <c r="H1203" s="2">
        <v>15</v>
      </c>
      <c r="I1203">
        <f t="shared" si="90"/>
        <v>18000</v>
      </c>
      <c r="J1203">
        <f t="shared" si="91"/>
        <v>2700</v>
      </c>
      <c r="K1203" s="6">
        <f t="shared" si="92"/>
        <v>15300</v>
      </c>
      <c r="L1203" s="2">
        <v>57000</v>
      </c>
      <c r="M1203" s="6">
        <f>Table1[[#This Row],[Total Sales]]+Table1[[#This Row],[Shipping Fee]]</f>
        <v>72300</v>
      </c>
      <c r="N1203" s="2" t="s">
        <v>22</v>
      </c>
      <c r="O1203" t="str">
        <f>VLOOKUP(Table1[[#This Row],[Order ID]],Status!A:B, 2,FALSE)</f>
        <v>Completed</v>
      </c>
      <c r="P1203" s="2" t="s">
        <v>23</v>
      </c>
      <c r="Q1203" s="2">
        <v>5</v>
      </c>
      <c r="R1203" s="2" t="s">
        <v>24</v>
      </c>
      <c r="S1203" s="11" t="str">
        <f t="shared" si="93"/>
        <v>Bagus</v>
      </c>
      <c r="T1203" s="2" t="str">
        <f t="shared" si="94"/>
        <v>Sangat Rendah</v>
      </c>
    </row>
    <row r="1204" spans="1:20" ht="15.75" customHeight="1" x14ac:dyDescent="0.3">
      <c r="A1204" s="4" t="s">
        <v>1174</v>
      </c>
      <c r="B1204" s="3">
        <v>45699.704618055563</v>
      </c>
      <c r="C1204" s="2" t="s">
        <v>229</v>
      </c>
      <c r="D1204" s="2" t="s">
        <v>195</v>
      </c>
      <c r="E1204" s="2" t="s">
        <v>144</v>
      </c>
      <c r="F1204" s="2">
        <v>18000</v>
      </c>
      <c r="G1204" s="2">
        <v>3</v>
      </c>
      <c r="H1204" s="2">
        <v>15</v>
      </c>
      <c r="I1204">
        <f t="shared" si="90"/>
        <v>54000</v>
      </c>
      <c r="J1204">
        <f t="shared" si="91"/>
        <v>8100</v>
      </c>
      <c r="K1204" s="6">
        <f t="shared" si="92"/>
        <v>45900</v>
      </c>
      <c r="L1204" s="2">
        <v>87000</v>
      </c>
      <c r="M1204" s="6">
        <f>Table1[[#This Row],[Total Sales]]+Table1[[#This Row],[Shipping Fee]]</f>
        <v>132900</v>
      </c>
      <c r="N1204" s="2" t="s">
        <v>22</v>
      </c>
      <c r="O1204" t="str">
        <f>VLOOKUP(Table1[[#This Row],[Order ID]],Status!A:B, 2,FALSE)</f>
        <v>Cancelled</v>
      </c>
      <c r="P1204" s="2" t="s">
        <v>23</v>
      </c>
      <c r="Q1204" s="2">
        <v>1</v>
      </c>
      <c r="R1204" s="2" t="s">
        <v>24</v>
      </c>
      <c r="S1204" s="11" t="str">
        <f t="shared" si="93"/>
        <v>Rendah</v>
      </c>
      <c r="T1204" s="2" t="str">
        <f t="shared" si="94"/>
        <v>Rendah</v>
      </c>
    </row>
    <row r="1205" spans="1:20" ht="15.75" customHeight="1" x14ac:dyDescent="0.3">
      <c r="A1205" s="4" t="s">
        <v>1172</v>
      </c>
      <c r="B1205" s="3">
        <v>45699.473240740743</v>
      </c>
      <c r="C1205" s="2" t="s">
        <v>1173</v>
      </c>
      <c r="D1205" s="2" t="s">
        <v>170</v>
      </c>
      <c r="E1205" s="2" t="s">
        <v>174</v>
      </c>
      <c r="F1205" s="2">
        <v>10000</v>
      </c>
      <c r="G1205" s="2">
        <v>1</v>
      </c>
      <c r="H1205" s="2">
        <v>15</v>
      </c>
      <c r="I1205">
        <f t="shared" si="90"/>
        <v>10000</v>
      </c>
      <c r="J1205">
        <f t="shared" si="91"/>
        <v>1500</v>
      </c>
      <c r="K1205" s="6">
        <f t="shared" si="92"/>
        <v>8500</v>
      </c>
      <c r="L1205" s="2">
        <v>46000</v>
      </c>
      <c r="M1205" s="6">
        <f>Table1[[#This Row],[Total Sales]]+Table1[[#This Row],[Shipping Fee]]</f>
        <v>54500</v>
      </c>
      <c r="N1205" s="2" t="s">
        <v>35</v>
      </c>
      <c r="O1205" t="str">
        <f>VLOOKUP(Table1[[#This Row],[Order ID]],Status!A:B, 2,FALSE)</f>
        <v>Completed</v>
      </c>
      <c r="P1205" s="2" t="s">
        <v>82</v>
      </c>
      <c r="Q1205" s="2">
        <v>2</v>
      </c>
      <c r="R1205" s="2" t="s">
        <v>24</v>
      </c>
      <c r="S1205" s="11" t="str">
        <f t="shared" si="93"/>
        <v>Rendah</v>
      </c>
      <c r="T1205" s="2" t="str">
        <f t="shared" si="94"/>
        <v>Sangat Rendah</v>
      </c>
    </row>
    <row r="1206" spans="1:20" ht="15.75" customHeight="1" x14ac:dyDescent="0.3">
      <c r="A1206" s="4" t="s">
        <v>1171</v>
      </c>
      <c r="B1206" s="3">
        <v>45699.038425925923</v>
      </c>
      <c r="C1206" s="2" t="s">
        <v>437</v>
      </c>
      <c r="D1206" s="2" t="s">
        <v>375</v>
      </c>
      <c r="E1206" s="2" t="s">
        <v>34</v>
      </c>
      <c r="F1206" s="2">
        <v>16000</v>
      </c>
      <c r="G1206" s="2">
        <v>1</v>
      </c>
      <c r="H1206" s="2">
        <v>10</v>
      </c>
      <c r="I1206">
        <f t="shared" si="90"/>
        <v>16000</v>
      </c>
      <c r="J1206">
        <f t="shared" si="91"/>
        <v>1600</v>
      </c>
      <c r="K1206" s="6">
        <f t="shared" si="92"/>
        <v>14400</v>
      </c>
      <c r="L1206" s="2">
        <v>21000</v>
      </c>
      <c r="M1206" s="6">
        <f>Table1[[#This Row],[Total Sales]]+Table1[[#This Row],[Shipping Fee]]</f>
        <v>35400</v>
      </c>
      <c r="N1206" s="2" t="s">
        <v>35</v>
      </c>
      <c r="O1206" t="str">
        <f>VLOOKUP(Table1[[#This Row],[Order ID]],Status!A:B, 2,FALSE)</f>
        <v>Completed</v>
      </c>
      <c r="P1206" s="2" t="s">
        <v>82</v>
      </c>
      <c r="Q1206" s="2">
        <v>2</v>
      </c>
      <c r="R1206" s="2" t="s">
        <v>24</v>
      </c>
      <c r="S1206" s="11" t="str">
        <f t="shared" si="93"/>
        <v>Rendah</v>
      </c>
      <c r="T1206" s="2" t="str">
        <f t="shared" si="94"/>
        <v>Sangat Rendah</v>
      </c>
    </row>
    <row r="1207" spans="1:20" ht="15.75" customHeight="1" x14ac:dyDescent="0.3">
      <c r="A1207" s="4" t="s">
        <v>1170</v>
      </c>
      <c r="B1207" s="3">
        <v>45699.032824074071</v>
      </c>
      <c r="C1207" s="2" t="s">
        <v>353</v>
      </c>
      <c r="D1207" s="2" t="s">
        <v>66</v>
      </c>
      <c r="E1207" s="2" t="s">
        <v>250</v>
      </c>
      <c r="F1207" s="2">
        <v>18000</v>
      </c>
      <c r="G1207" s="2">
        <v>1</v>
      </c>
      <c r="H1207" s="2">
        <v>0</v>
      </c>
      <c r="I1207">
        <f t="shared" si="90"/>
        <v>18000</v>
      </c>
      <c r="J1207">
        <f t="shared" si="91"/>
        <v>0</v>
      </c>
      <c r="K1207" s="6">
        <f t="shared" si="92"/>
        <v>18000</v>
      </c>
      <c r="L1207" s="2">
        <v>59000</v>
      </c>
      <c r="M1207" s="6">
        <f>Table1[[#This Row],[Total Sales]]+Table1[[#This Row],[Shipping Fee]]</f>
        <v>77000</v>
      </c>
      <c r="N1207" s="2" t="s">
        <v>35</v>
      </c>
      <c r="O1207" t="str">
        <f>VLOOKUP(Table1[[#This Row],[Order ID]],Status!A:B, 2,FALSE)</f>
        <v>Completed</v>
      </c>
      <c r="P1207" s="2" t="s">
        <v>23</v>
      </c>
      <c r="Q1207" s="2">
        <v>5</v>
      </c>
      <c r="R1207" s="2" t="s">
        <v>24</v>
      </c>
      <c r="S1207" s="11" t="str">
        <f t="shared" si="93"/>
        <v>Bagus</v>
      </c>
      <c r="T1207" s="2" t="str">
        <f t="shared" si="94"/>
        <v>Sangat Rendah</v>
      </c>
    </row>
    <row r="1208" spans="1:20" ht="15.75" customHeight="1" x14ac:dyDescent="0.3">
      <c r="A1208" s="4" t="s">
        <v>1169</v>
      </c>
      <c r="B1208" s="3">
        <v>45698.947395833333</v>
      </c>
      <c r="C1208" s="2" t="s">
        <v>644</v>
      </c>
      <c r="D1208" s="2" t="s">
        <v>244</v>
      </c>
      <c r="E1208" s="2" t="s">
        <v>174</v>
      </c>
      <c r="F1208" s="2">
        <v>10000</v>
      </c>
      <c r="G1208" s="2">
        <v>2</v>
      </c>
      <c r="H1208" s="2">
        <v>10</v>
      </c>
      <c r="I1208">
        <f t="shared" si="90"/>
        <v>20000</v>
      </c>
      <c r="J1208">
        <f t="shared" si="91"/>
        <v>2000</v>
      </c>
      <c r="K1208" s="6">
        <f t="shared" si="92"/>
        <v>18000</v>
      </c>
      <c r="L1208" s="2">
        <v>80000</v>
      </c>
      <c r="M1208" s="6">
        <f>Table1[[#This Row],[Total Sales]]+Table1[[#This Row],[Shipping Fee]]</f>
        <v>98000</v>
      </c>
      <c r="N1208" s="2" t="s">
        <v>29</v>
      </c>
      <c r="O1208" t="str">
        <f>VLOOKUP(Table1[[#This Row],[Order ID]],Status!A:B, 2,FALSE)</f>
        <v>Completed</v>
      </c>
      <c r="P1208" s="2" t="s">
        <v>46</v>
      </c>
      <c r="Q1208" s="2">
        <v>1</v>
      </c>
      <c r="R1208" s="2" t="s">
        <v>24</v>
      </c>
      <c r="S1208" s="11" t="str">
        <f t="shared" si="93"/>
        <v>Rendah</v>
      </c>
      <c r="T1208" s="2" t="str">
        <f t="shared" si="94"/>
        <v>Sangat Rendah</v>
      </c>
    </row>
    <row r="1209" spans="1:20" ht="15.75" customHeight="1" x14ac:dyDescent="0.3">
      <c r="A1209" s="4" t="s">
        <v>1168</v>
      </c>
      <c r="B1209" s="3">
        <v>45698.775995370372</v>
      </c>
      <c r="C1209" s="2" t="s">
        <v>598</v>
      </c>
      <c r="D1209" s="2" t="s">
        <v>61</v>
      </c>
      <c r="E1209" s="2" t="s">
        <v>138</v>
      </c>
      <c r="F1209" s="2">
        <v>17000</v>
      </c>
      <c r="G1209" s="2">
        <v>1</v>
      </c>
      <c r="H1209" s="2">
        <v>20</v>
      </c>
      <c r="I1209">
        <f t="shared" si="90"/>
        <v>17000</v>
      </c>
      <c r="J1209">
        <f t="shared" si="91"/>
        <v>3400</v>
      </c>
      <c r="K1209" s="6">
        <f t="shared" si="92"/>
        <v>13600</v>
      </c>
      <c r="L1209" s="2">
        <v>26000</v>
      </c>
      <c r="M1209" s="6">
        <f>Table1[[#This Row],[Total Sales]]+Table1[[#This Row],[Shipping Fee]]</f>
        <v>39600</v>
      </c>
      <c r="N1209" s="2" t="s">
        <v>35</v>
      </c>
      <c r="O1209" t="str">
        <f>VLOOKUP(Table1[[#This Row],[Order ID]],Status!A:B, 2,FALSE)</f>
        <v>Completed</v>
      </c>
      <c r="P1209" s="2" t="s">
        <v>30</v>
      </c>
      <c r="Q1209" s="2">
        <v>3</v>
      </c>
      <c r="R1209" s="2" t="s">
        <v>24</v>
      </c>
      <c r="S1209" s="11" t="str">
        <f t="shared" si="93"/>
        <v>Standar</v>
      </c>
      <c r="T1209" s="2" t="str">
        <f t="shared" si="94"/>
        <v>Sangat Rendah</v>
      </c>
    </row>
    <row r="1210" spans="1:20" ht="15.75" customHeight="1" x14ac:dyDescent="0.3">
      <c r="A1210" s="4" t="s">
        <v>1167</v>
      </c>
      <c r="B1210" s="3">
        <v>45698.61142361111</v>
      </c>
      <c r="C1210" s="2" t="s">
        <v>557</v>
      </c>
      <c r="D1210" s="2" t="s">
        <v>173</v>
      </c>
      <c r="E1210" s="2" t="s">
        <v>21</v>
      </c>
      <c r="F1210" s="2">
        <v>45000</v>
      </c>
      <c r="G1210" s="2">
        <v>5</v>
      </c>
      <c r="H1210" s="2">
        <v>20</v>
      </c>
      <c r="I1210">
        <f t="shared" si="90"/>
        <v>225000</v>
      </c>
      <c r="J1210">
        <f t="shared" si="91"/>
        <v>45000</v>
      </c>
      <c r="K1210" s="6">
        <f t="shared" si="92"/>
        <v>180000</v>
      </c>
      <c r="L1210" s="2">
        <v>49000</v>
      </c>
      <c r="M1210" s="6">
        <f>Table1[[#This Row],[Total Sales]]+Table1[[#This Row],[Shipping Fee]]</f>
        <v>229000</v>
      </c>
      <c r="N1210" s="2" t="s">
        <v>35</v>
      </c>
      <c r="O1210" t="str">
        <f>VLOOKUP(Table1[[#This Row],[Order ID]],Status!A:B, 2,FALSE)</f>
        <v>Returned</v>
      </c>
      <c r="P1210" s="2" t="s">
        <v>23</v>
      </c>
      <c r="Q1210" s="2">
        <v>3</v>
      </c>
      <c r="R1210" s="2" t="s">
        <v>24</v>
      </c>
      <c r="S1210" s="11" t="str">
        <f t="shared" si="93"/>
        <v>Standar</v>
      </c>
      <c r="T1210" s="2" t="str">
        <f t="shared" si="94"/>
        <v>Sangat Tinggi</v>
      </c>
    </row>
    <row r="1211" spans="1:20" ht="15.75" customHeight="1" x14ac:dyDescent="0.3">
      <c r="A1211" s="4" t="s">
        <v>1166</v>
      </c>
      <c r="B1211" s="3">
        <v>45698.298506944448</v>
      </c>
      <c r="C1211" s="2" t="s">
        <v>416</v>
      </c>
      <c r="D1211" s="2" t="s">
        <v>131</v>
      </c>
      <c r="E1211" s="2" t="s">
        <v>28</v>
      </c>
      <c r="F1211" s="2">
        <v>5000</v>
      </c>
      <c r="G1211" s="2">
        <v>1</v>
      </c>
      <c r="H1211" s="2">
        <v>10</v>
      </c>
      <c r="I1211">
        <f t="shared" si="90"/>
        <v>5000</v>
      </c>
      <c r="J1211">
        <f t="shared" si="91"/>
        <v>500</v>
      </c>
      <c r="K1211" s="6">
        <f t="shared" si="92"/>
        <v>4500</v>
      </c>
      <c r="L1211" s="2">
        <v>59000</v>
      </c>
      <c r="M1211" s="6">
        <f>Table1[[#This Row],[Total Sales]]+Table1[[#This Row],[Shipping Fee]]</f>
        <v>63500</v>
      </c>
      <c r="N1211" s="2" t="s">
        <v>63</v>
      </c>
      <c r="O1211" t="str">
        <f>VLOOKUP(Table1[[#This Row],[Order ID]],Status!A:B, 2,FALSE)</f>
        <v>Completed</v>
      </c>
      <c r="P1211" s="2" t="s">
        <v>36</v>
      </c>
      <c r="Q1211" s="2">
        <v>4</v>
      </c>
      <c r="R1211" s="2" t="s">
        <v>24</v>
      </c>
      <c r="S1211" s="11" t="str">
        <f t="shared" si="93"/>
        <v>Bagus</v>
      </c>
      <c r="T1211" s="2" t="str">
        <f t="shared" si="94"/>
        <v>Sangat Rendah</v>
      </c>
    </row>
    <row r="1212" spans="1:20" ht="15.75" customHeight="1" x14ac:dyDescent="0.3">
      <c r="A1212" s="4" t="s">
        <v>1165</v>
      </c>
      <c r="B1212" s="3">
        <v>45698.16673611111</v>
      </c>
      <c r="C1212" s="2" t="s">
        <v>1047</v>
      </c>
      <c r="D1212" s="2" t="s">
        <v>160</v>
      </c>
      <c r="E1212" s="2" t="s">
        <v>250</v>
      </c>
      <c r="F1212" s="2">
        <v>18000</v>
      </c>
      <c r="G1212" s="2">
        <v>3</v>
      </c>
      <c r="H1212" s="2">
        <v>15</v>
      </c>
      <c r="I1212">
        <f t="shared" si="90"/>
        <v>54000</v>
      </c>
      <c r="J1212">
        <f t="shared" si="91"/>
        <v>8100</v>
      </c>
      <c r="K1212" s="6">
        <f t="shared" si="92"/>
        <v>45900</v>
      </c>
      <c r="L1212" s="2">
        <v>68000</v>
      </c>
      <c r="M1212" s="6">
        <f>Table1[[#This Row],[Total Sales]]+Table1[[#This Row],[Shipping Fee]]</f>
        <v>113900</v>
      </c>
      <c r="N1212" s="2" t="s">
        <v>63</v>
      </c>
      <c r="O1212" t="str">
        <f>VLOOKUP(Table1[[#This Row],[Order ID]],Status!A:B, 2,FALSE)</f>
        <v>Completed</v>
      </c>
      <c r="P1212" s="2" t="s">
        <v>82</v>
      </c>
      <c r="Q1212" s="2">
        <v>4</v>
      </c>
      <c r="R1212" s="2" t="s">
        <v>24</v>
      </c>
      <c r="S1212" s="11" t="str">
        <f t="shared" si="93"/>
        <v>Bagus</v>
      </c>
      <c r="T1212" s="2" t="str">
        <f t="shared" si="94"/>
        <v>Rendah</v>
      </c>
    </row>
    <row r="1213" spans="1:20" ht="15.75" customHeight="1" x14ac:dyDescent="0.3">
      <c r="A1213" s="4" t="s">
        <v>1164</v>
      </c>
      <c r="B1213" s="3">
        <v>45697.373240740737</v>
      </c>
      <c r="C1213" s="2" t="s">
        <v>311</v>
      </c>
      <c r="D1213" s="2" t="s">
        <v>116</v>
      </c>
      <c r="E1213" s="2" t="s">
        <v>62</v>
      </c>
      <c r="F1213" s="2">
        <v>50000</v>
      </c>
      <c r="G1213" s="2">
        <v>5</v>
      </c>
      <c r="H1213" s="2">
        <v>10</v>
      </c>
      <c r="I1213">
        <f t="shared" si="90"/>
        <v>250000</v>
      </c>
      <c r="J1213">
        <f t="shared" si="91"/>
        <v>25000</v>
      </c>
      <c r="K1213" s="6">
        <f t="shared" si="92"/>
        <v>225000</v>
      </c>
      <c r="L1213" s="2">
        <v>72000</v>
      </c>
      <c r="M1213" s="6">
        <f>Table1[[#This Row],[Total Sales]]+Table1[[#This Row],[Shipping Fee]]</f>
        <v>297000</v>
      </c>
      <c r="N1213" s="2" t="s">
        <v>63</v>
      </c>
      <c r="O1213" t="str">
        <f>VLOOKUP(Table1[[#This Row],[Order ID]],Status!A:B, 2,FALSE)</f>
        <v>Completed</v>
      </c>
      <c r="P1213" s="2" t="s">
        <v>46</v>
      </c>
      <c r="Q1213" s="2">
        <v>3</v>
      </c>
      <c r="R1213" s="2" t="s">
        <v>24</v>
      </c>
      <c r="S1213" s="11" t="str">
        <f t="shared" si="93"/>
        <v>Standar</v>
      </c>
      <c r="T1213" s="2" t="str">
        <f t="shared" si="94"/>
        <v>Tinggi</v>
      </c>
    </row>
    <row r="1214" spans="1:20" ht="15.75" customHeight="1" x14ac:dyDescent="0.3">
      <c r="A1214" s="4" t="s">
        <v>1163</v>
      </c>
      <c r="B1214" s="3">
        <v>45697.154942129629</v>
      </c>
      <c r="C1214" s="2" t="s">
        <v>654</v>
      </c>
      <c r="D1214" s="2" t="s">
        <v>375</v>
      </c>
      <c r="E1214" s="2" t="s">
        <v>54</v>
      </c>
      <c r="F1214" s="2">
        <v>16000</v>
      </c>
      <c r="G1214" s="2">
        <v>3</v>
      </c>
      <c r="H1214" s="2">
        <v>5</v>
      </c>
      <c r="I1214">
        <f t="shared" si="90"/>
        <v>48000</v>
      </c>
      <c r="J1214">
        <f t="shared" si="91"/>
        <v>2400</v>
      </c>
      <c r="K1214" s="6">
        <f t="shared" si="92"/>
        <v>45600</v>
      </c>
      <c r="L1214" s="2">
        <v>21000</v>
      </c>
      <c r="M1214" s="6">
        <f>Table1[[#This Row],[Total Sales]]+Table1[[#This Row],[Shipping Fee]]</f>
        <v>66600</v>
      </c>
      <c r="N1214" s="2" t="s">
        <v>63</v>
      </c>
      <c r="O1214" t="str">
        <f>VLOOKUP(Table1[[#This Row],[Order ID]],Status!A:B, 2,FALSE)</f>
        <v>Completed</v>
      </c>
      <c r="P1214" s="2" t="s">
        <v>23</v>
      </c>
      <c r="Q1214" s="2">
        <v>5</v>
      </c>
      <c r="R1214" s="2" t="s">
        <v>24</v>
      </c>
      <c r="S1214" s="11" t="str">
        <f t="shared" si="93"/>
        <v>Bagus</v>
      </c>
      <c r="T1214" s="2" t="str">
        <f t="shared" si="94"/>
        <v>Sangat Rendah</v>
      </c>
    </row>
    <row r="1215" spans="1:20" ht="15.75" customHeight="1" x14ac:dyDescent="0.3">
      <c r="A1215" s="4" t="s">
        <v>1162</v>
      </c>
      <c r="B1215" s="3">
        <v>45696.894375000003</v>
      </c>
      <c r="C1215" s="2" t="s">
        <v>1066</v>
      </c>
      <c r="D1215" s="2" t="s">
        <v>113</v>
      </c>
      <c r="E1215" s="2" t="s">
        <v>75</v>
      </c>
      <c r="F1215" s="2">
        <v>55000</v>
      </c>
      <c r="G1215" s="2">
        <v>3</v>
      </c>
      <c r="H1215" s="2">
        <v>5</v>
      </c>
      <c r="I1215">
        <f t="shared" si="90"/>
        <v>165000</v>
      </c>
      <c r="J1215">
        <f t="shared" si="91"/>
        <v>8250</v>
      </c>
      <c r="K1215" s="6">
        <f t="shared" si="92"/>
        <v>156750</v>
      </c>
      <c r="L1215" s="2">
        <v>18000</v>
      </c>
      <c r="M1215" s="6">
        <f>Table1[[#This Row],[Total Sales]]+Table1[[#This Row],[Shipping Fee]]</f>
        <v>174750</v>
      </c>
      <c r="N1215" s="2" t="s">
        <v>63</v>
      </c>
      <c r="O1215" t="str">
        <f>VLOOKUP(Table1[[#This Row],[Order ID]],Status!A:B, 2,FALSE)</f>
        <v>Cancelled</v>
      </c>
      <c r="P1215" s="2" t="s">
        <v>36</v>
      </c>
      <c r="Q1215" s="2">
        <v>3</v>
      </c>
      <c r="R1215" s="2" t="s">
        <v>24</v>
      </c>
      <c r="S1215" s="11" t="str">
        <f t="shared" si="93"/>
        <v>Standar</v>
      </c>
      <c r="T1215" s="2" t="str">
        <f t="shared" si="94"/>
        <v>Rendah</v>
      </c>
    </row>
    <row r="1216" spans="1:20" ht="15.75" customHeight="1" x14ac:dyDescent="0.3">
      <c r="A1216" s="4" t="s">
        <v>1161</v>
      </c>
      <c r="B1216" s="3">
        <v>45696.889548611107</v>
      </c>
      <c r="C1216" s="2" t="s">
        <v>836</v>
      </c>
      <c r="D1216" s="2" t="s">
        <v>33</v>
      </c>
      <c r="E1216" s="2" t="s">
        <v>38</v>
      </c>
      <c r="F1216" s="2">
        <v>28000</v>
      </c>
      <c r="G1216" s="2">
        <v>2</v>
      </c>
      <c r="H1216" s="2">
        <v>0</v>
      </c>
      <c r="I1216">
        <f t="shared" si="90"/>
        <v>56000</v>
      </c>
      <c r="J1216">
        <f t="shared" si="91"/>
        <v>0</v>
      </c>
      <c r="K1216" s="6">
        <f t="shared" si="92"/>
        <v>56000</v>
      </c>
      <c r="L1216" s="2">
        <v>76000</v>
      </c>
      <c r="M1216" s="6">
        <f>Table1[[#This Row],[Total Sales]]+Table1[[#This Row],[Shipping Fee]]</f>
        <v>132000</v>
      </c>
      <c r="N1216" s="2" t="s">
        <v>29</v>
      </c>
      <c r="O1216" t="str">
        <f>VLOOKUP(Table1[[#This Row],[Order ID]],Status!A:B, 2,FALSE)</f>
        <v>Completed</v>
      </c>
      <c r="P1216" s="2" t="s">
        <v>46</v>
      </c>
      <c r="Q1216" s="2">
        <v>2</v>
      </c>
      <c r="R1216" s="2" t="s">
        <v>37</v>
      </c>
      <c r="S1216" s="11" t="str">
        <f t="shared" si="93"/>
        <v>Rendah</v>
      </c>
      <c r="T1216" s="2" t="str">
        <f t="shared" si="94"/>
        <v>Sangat Rendah</v>
      </c>
    </row>
    <row r="1217" spans="1:20" ht="15.75" customHeight="1" x14ac:dyDescent="0.3">
      <c r="A1217" s="4" t="s">
        <v>1159</v>
      </c>
      <c r="B1217" s="3">
        <v>45696.675034722219</v>
      </c>
      <c r="C1217" s="2" t="s">
        <v>1160</v>
      </c>
      <c r="D1217" s="2" t="s">
        <v>96</v>
      </c>
      <c r="E1217" s="2" t="s">
        <v>144</v>
      </c>
      <c r="F1217" s="2">
        <v>18000</v>
      </c>
      <c r="G1217" s="2">
        <v>2</v>
      </c>
      <c r="H1217" s="2">
        <v>20</v>
      </c>
      <c r="I1217">
        <f t="shared" si="90"/>
        <v>36000</v>
      </c>
      <c r="J1217">
        <f t="shared" si="91"/>
        <v>7200</v>
      </c>
      <c r="K1217" s="6">
        <f t="shared" si="92"/>
        <v>28800</v>
      </c>
      <c r="L1217" s="2">
        <v>49000</v>
      </c>
      <c r="M1217" s="6">
        <f>Table1[[#This Row],[Total Sales]]+Table1[[#This Row],[Shipping Fee]]</f>
        <v>77800</v>
      </c>
      <c r="N1217" s="2" t="s">
        <v>63</v>
      </c>
      <c r="O1217" t="str">
        <f>VLOOKUP(Table1[[#This Row],[Order ID]],Status!A:B, 2,FALSE)</f>
        <v>Returned</v>
      </c>
      <c r="P1217" s="2" t="s">
        <v>82</v>
      </c>
      <c r="Q1217" s="2">
        <v>3</v>
      </c>
      <c r="R1217" s="2" t="s">
        <v>24</v>
      </c>
      <c r="S1217" s="11" t="str">
        <f t="shared" si="93"/>
        <v>Standar</v>
      </c>
      <c r="T1217" s="2" t="str">
        <f t="shared" si="94"/>
        <v>Rendah</v>
      </c>
    </row>
    <row r="1218" spans="1:20" ht="15.75" customHeight="1" x14ac:dyDescent="0.3">
      <c r="A1218" s="4" t="s">
        <v>1158</v>
      </c>
      <c r="B1218" s="3">
        <v>45696.560844907413</v>
      </c>
      <c r="C1218" s="2" t="s">
        <v>243</v>
      </c>
      <c r="D1218" s="2" t="s">
        <v>244</v>
      </c>
      <c r="E1218" s="2" t="s">
        <v>123</v>
      </c>
      <c r="F1218" s="2">
        <v>22000</v>
      </c>
      <c r="G1218" s="2">
        <v>3</v>
      </c>
      <c r="H1218" s="2">
        <v>0</v>
      </c>
      <c r="I1218">
        <f t="shared" ref="I1218:I1281" si="95">F1218*G1218</f>
        <v>66000</v>
      </c>
      <c r="J1218">
        <f t="shared" ref="J1218:J1281" si="96">I1218*H1218/100</f>
        <v>0</v>
      </c>
      <c r="K1218" s="6">
        <f t="shared" ref="K1218:K1281" si="97">I1218-J1218</f>
        <v>66000</v>
      </c>
      <c r="L1218" s="2">
        <v>80000</v>
      </c>
      <c r="M1218" s="6">
        <f>Table1[[#This Row],[Total Sales]]+Table1[[#This Row],[Shipping Fee]]</f>
        <v>146000</v>
      </c>
      <c r="N1218" s="2" t="s">
        <v>29</v>
      </c>
      <c r="O1218" t="str">
        <f>VLOOKUP(Table1[[#This Row],[Order ID]],Status!A:B, 2,FALSE)</f>
        <v>Completed</v>
      </c>
      <c r="P1218" s="2" t="s">
        <v>36</v>
      </c>
      <c r="Q1218" s="2">
        <v>3</v>
      </c>
      <c r="R1218" s="2" t="s">
        <v>37</v>
      </c>
      <c r="S1218" s="11" t="str">
        <f t="shared" ref="S1218:S1281" si="98">_xlfn.IFS(Q1218&gt;3,"Bagus",Q1218=3,"Standar",Q1218&lt;3,"Rendah")</f>
        <v>Standar</v>
      </c>
      <c r="T1218" s="2" t="str">
        <f t="shared" ref="T1218:T1281" si="99">_xlfn.IFS(J1218&lt;=5000,"Sangat Rendah", J1218&lt;=10000,"Rendah", J1218&lt;=20000, "Normal", J1218&lt;=35000, "Tinggi", J1218&lt;= 50000, "Sangat Tinggi", J1218&gt;50000, "Clearance")</f>
        <v>Sangat Rendah</v>
      </c>
    </row>
    <row r="1219" spans="1:20" ht="15.75" customHeight="1" x14ac:dyDescent="0.3">
      <c r="A1219" s="4" t="s">
        <v>1157</v>
      </c>
      <c r="B1219" s="3">
        <v>45696.373900462961</v>
      </c>
      <c r="C1219" s="2" t="s">
        <v>693</v>
      </c>
      <c r="D1219" s="2" t="s">
        <v>119</v>
      </c>
      <c r="E1219" s="2" t="s">
        <v>174</v>
      </c>
      <c r="F1219" s="2">
        <v>10000</v>
      </c>
      <c r="G1219" s="2">
        <v>4</v>
      </c>
      <c r="H1219" s="2">
        <v>20</v>
      </c>
      <c r="I1219">
        <f t="shared" si="95"/>
        <v>40000</v>
      </c>
      <c r="J1219">
        <f t="shared" si="96"/>
        <v>8000</v>
      </c>
      <c r="K1219" s="6">
        <f t="shared" si="97"/>
        <v>32000</v>
      </c>
      <c r="L1219" s="2">
        <v>0</v>
      </c>
      <c r="M1219" s="6">
        <f>Table1[[#This Row],[Total Sales]]+Table1[[#This Row],[Shipping Fee]]</f>
        <v>32000</v>
      </c>
      <c r="N1219" s="2" t="s">
        <v>22</v>
      </c>
      <c r="O1219" t="str">
        <f>VLOOKUP(Table1[[#This Row],[Order ID]],Status!A:B, 2,FALSE)</f>
        <v>Completed</v>
      </c>
      <c r="P1219" s="2" t="s">
        <v>82</v>
      </c>
      <c r="Q1219" s="2">
        <v>1</v>
      </c>
      <c r="R1219" s="2" t="s">
        <v>24</v>
      </c>
      <c r="S1219" s="11" t="str">
        <f t="shared" si="98"/>
        <v>Rendah</v>
      </c>
      <c r="T1219" s="2" t="str">
        <f t="shared" si="99"/>
        <v>Rendah</v>
      </c>
    </row>
    <row r="1220" spans="1:20" ht="15.75" customHeight="1" x14ac:dyDescent="0.3">
      <c r="A1220" s="4" t="s">
        <v>1156</v>
      </c>
      <c r="B1220" s="3">
        <v>45696.170405092591</v>
      </c>
      <c r="C1220" s="2" t="s">
        <v>582</v>
      </c>
      <c r="D1220" s="2" t="s">
        <v>435</v>
      </c>
      <c r="E1220" s="2" t="s">
        <v>88</v>
      </c>
      <c r="F1220" s="2">
        <v>14000</v>
      </c>
      <c r="G1220" s="2">
        <v>1</v>
      </c>
      <c r="H1220" s="2">
        <v>10</v>
      </c>
      <c r="I1220">
        <f t="shared" si="95"/>
        <v>14000</v>
      </c>
      <c r="J1220">
        <f t="shared" si="96"/>
        <v>1400</v>
      </c>
      <c r="K1220" s="6">
        <f t="shared" si="97"/>
        <v>12600</v>
      </c>
      <c r="L1220" s="2">
        <v>67000</v>
      </c>
      <c r="M1220" s="6">
        <f>Table1[[#This Row],[Total Sales]]+Table1[[#This Row],[Shipping Fee]]</f>
        <v>79600</v>
      </c>
      <c r="N1220" s="2" t="s">
        <v>22</v>
      </c>
      <c r="O1220" t="str">
        <f>VLOOKUP(Table1[[#This Row],[Order ID]],Status!A:B, 2,FALSE)</f>
        <v>Completed</v>
      </c>
      <c r="P1220" s="2" t="s">
        <v>82</v>
      </c>
      <c r="Q1220" s="2">
        <v>1</v>
      </c>
      <c r="R1220" s="2" t="s">
        <v>24</v>
      </c>
      <c r="S1220" s="11" t="str">
        <f t="shared" si="98"/>
        <v>Rendah</v>
      </c>
      <c r="T1220" s="2" t="str">
        <f t="shared" si="99"/>
        <v>Sangat Rendah</v>
      </c>
    </row>
    <row r="1221" spans="1:20" ht="15.75" customHeight="1" x14ac:dyDescent="0.3">
      <c r="A1221" s="4" t="s">
        <v>1155</v>
      </c>
      <c r="B1221" s="3">
        <v>45695.963761574072</v>
      </c>
      <c r="C1221" s="2" t="s">
        <v>125</v>
      </c>
      <c r="D1221" s="2" t="s">
        <v>126</v>
      </c>
      <c r="E1221" s="2" t="s">
        <v>67</v>
      </c>
      <c r="F1221" s="2">
        <v>15000</v>
      </c>
      <c r="G1221" s="2">
        <v>3</v>
      </c>
      <c r="H1221" s="2">
        <v>10</v>
      </c>
      <c r="I1221">
        <f t="shared" si="95"/>
        <v>45000</v>
      </c>
      <c r="J1221">
        <f t="shared" si="96"/>
        <v>4500</v>
      </c>
      <c r="K1221" s="6">
        <f t="shared" si="97"/>
        <v>40500</v>
      </c>
      <c r="L1221" s="2">
        <v>84000</v>
      </c>
      <c r="M1221" s="6">
        <f>Table1[[#This Row],[Total Sales]]+Table1[[#This Row],[Shipping Fee]]</f>
        <v>124500</v>
      </c>
      <c r="N1221" s="2" t="s">
        <v>22</v>
      </c>
      <c r="O1221" t="str">
        <f>VLOOKUP(Table1[[#This Row],[Order ID]],Status!A:B, 2,FALSE)</f>
        <v>Returned</v>
      </c>
      <c r="P1221" s="2" t="s">
        <v>30</v>
      </c>
      <c r="Q1221" s="2">
        <v>5</v>
      </c>
      <c r="R1221" s="2" t="s">
        <v>24</v>
      </c>
      <c r="S1221" s="11" t="str">
        <f t="shared" si="98"/>
        <v>Bagus</v>
      </c>
      <c r="T1221" s="2" t="str">
        <f t="shared" si="99"/>
        <v>Sangat Rendah</v>
      </c>
    </row>
    <row r="1222" spans="1:20" ht="15.75" customHeight="1" x14ac:dyDescent="0.3">
      <c r="A1222" s="4" t="s">
        <v>1154</v>
      </c>
      <c r="B1222" s="3">
        <v>45695.789201388892</v>
      </c>
      <c r="C1222" s="2" t="s">
        <v>900</v>
      </c>
      <c r="D1222" s="2" t="s">
        <v>27</v>
      </c>
      <c r="E1222" s="2" t="s">
        <v>62</v>
      </c>
      <c r="F1222" s="2">
        <v>50000</v>
      </c>
      <c r="G1222" s="2">
        <v>5</v>
      </c>
      <c r="H1222" s="2">
        <v>15</v>
      </c>
      <c r="I1222">
        <f t="shared" si="95"/>
        <v>250000</v>
      </c>
      <c r="J1222">
        <f t="shared" si="96"/>
        <v>37500</v>
      </c>
      <c r="K1222" s="6">
        <f t="shared" si="97"/>
        <v>212500</v>
      </c>
      <c r="L1222" s="2">
        <v>17000</v>
      </c>
      <c r="M1222" s="6">
        <f>Table1[[#This Row],[Total Sales]]+Table1[[#This Row],[Shipping Fee]]</f>
        <v>229500</v>
      </c>
      <c r="N1222" s="2" t="s">
        <v>22</v>
      </c>
      <c r="O1222" t="str">
        <f>VLOOKUP(Table1[[#This Row],[Order ID]],Status!A:B, 2,FALSE)</f>
        <v>Completed</v>
      </c>
      <c r="P1222" s="2" t="s">
        <v>36</v>
      </c>
      <c r="Q1222" s="2">
        <v>3</v>
      </c>
      <c r="R1222" s="2" t="s">
        <v>24</v>
      </c>
      <c r="S1222" s="11" t="str">
        <f t="shared" si="98"/>
        <v>Standar</v>
      </c>
      <c r="T1222" s="2" t="str">
        <f t="shared" si="99"/>
        <v>Sangat Tinggi</v>
      </c>
    </row>
    <row r="1223" spans="1:20" ht="15.75" customHeight="1" x14ac:dyDescent="0.3">
      <c r="A1223" s="4" t="s">
        <v>1153</v>
      </c>
      <c r="B1223" s="3">
        <v>45695.398715277777</v>
      </c>
      <c r="C1223" s="2" t="s">
        <v>237</v>
      </c>
      <c r="D1223" s="2" t="s">
        <v>238</v>
      </c>
      <c r="E1223" s="2" t="s">
        <v>93</v>
      </c>
      <c r="F1223" s="2">
        <v>25000</v>
      </c>
      <c r="G1223" s="2">
        <v>3</v>
      </c>
      <c r="H1223" s="2">
        <v>0</v>
      </c>
      <c r="I1223">
        <f t="shared" si="95"/>
        <v>75000</v>
      </c>
      <c r="J1223">
        <f t="shared" si="96"/>
        <v>0</v>
      </c>
      <c r="K1223" s="6">
        <f t="shared" si="97"/>
        <v>75000</v>
      </c>
      <c r="L1223" s="2">
        <v>28000</v>
      </c>
      <c r="M1223" s="6">
        <f>Table1[[#This Row],[Total Sales]]+Table1[[#This Row],[Shipping Fee]]</f>
        <v>103000</v>
      </c>
      <c r="N1223" s="2" t="s">
        <v>29</v>
      </c>
      <c r="O1223" t="str">
        <f>VLOOKUP(Table1[[#This Row],[Order ID]],Status!A:B, 2,FALSE)</f>
        <v>Completed</v>
      </c>
      <c r="P1223" s="2" t="s">
        <v>46</v>
      </c>
      <c r="Q1223" s="2">
        <v>1</v>
      </c>
      <c r="R1223" s="2" t="s">
        <v>24</v>
      </c>
      <c r="S1223" s="11" t="str">
        <f t="shared" si="98"/>
        <v>Rendah</v>
      </c>
      <c r="T1223" s="2" t="str">
        <f t="shared" si="99"/>
        <v>Sangat Rendah</v>
      </c>
    </row>
    <row r="1224" spans="1:20" ht="15.75" customHeight="1" x14ac:dyDescent="0.3">
      <c r="A1224" s="4" t="s">
        <v>1152</v>
      </c>
      <c r="B1224" s="3">
        <v>45695.245104166657</v>
      </c>
      <c r="C1224" s="2" t="s">
        <v>157</v>
      </c>
      <c r="D1224" s="2" t="s">
        <v>20</v>
      </c>
      <c r="E1224" s="2" t="s">
        <v>45</v>
      </c>
      <c r="F1224" s="2">
        <v>40000</v>
      </c>
      <c r="G1224" s="2">
        <v>5</v>
      </c>
      <c r="H1224" s="2">
        <v>5</v>
      </c>
      <c r="I1224">
        <f t="shared" si="95"/>
        <v>200000</v>
      </c>
      <c r="J1224">
        <f t="shared" si="96"/>
        <v>10000</v>
      </c>
      <c r="K1224" s="6">
        <f t="shared" si="97"/>
        <v>190000</v>
      </c>
      <c r="L1224" s="2">
        <v>15000</v>
      </c>
      <c r="M1224" s="6">
        <f>Table1[[#This Row],[Total Sales]]+Table1[[#This Row],[Shipping Fee]]</f>
        <v>205000</v>
      </c>
      <c r="N1224" s="2" t="s">
        <v>35</v>
      </c>
      <c r="O1224" t="str">
        <f>VLOOKUP(Table1[[#This Row],[Order ID]],Status!A:B, 2,FALSE)</f>
        <v>Completed</v>
      </c>
      <c r="P1224" s="2" t="s">
        <v>23</v>
      </c>
      <c r="Q1224" s="2">
        <v>4</v>
      </c>
      <c r="R1224" s="2" t="s">
        <v>24</v>
      </c>
      <c r="S1224" s="11" t="str">
        <f t="shared" si="98"/>
        <v>Bagus</v>
      </c>
      <c r="T1224" s="2" t="str">
        <f t="shared" si="99"/>
        <v>Rendah</v>
      </c>
    </row>
    <row r="1225" spans="1:20" ht="15.75" customHeight="1" x14ac:dyDescent="0.3">
      <c r="A1225" s="4" t="s">
        <v>1151</v>
      </c>
      <c r="B1225" s="3">
        <v>45695.20621527778</v>
      </c>
      <c r="C1225" s="2" t="s">
        <v>106</v>
      </c>
      <c r="D1225" s="2" t="s">
        <v>107</v>
      </c>
      <c r="E1225" s="2" t="s">
        <v>93</v>
      </c>
      <c r="F1225" s="2">
        <v>25000</v>
      </c>
      <c r="G1225" s="2">
        <v>2</v>
      </c>
      <c r="H1225" s="2">
        <v>0</v>
      </c>
      <c r="I1225">
        <f t="shared" si="95"/>
        <v>50000</v>
      </c>
      <c r="J1225">
        <f t="shared" si="96"/>
        <v>0</v>
      </c>
      <c r="K1225" s="6">
        <f t="shared" si="97"/>
        <v>50000</v>
      </c>
      <c r="L1225" s="2">
        <v>97000</v>
      </c>
      <c r="M1225" s="6">
        <f>Table1[[#This Row],[Total Sales]]+Table1[[#This Row],[Shipping Fee]]</f>
        <v>147000</v>
      </c>
      <c r="N1225" s="2" t="s">
        <v>29</v>
      </c>
      <c r="O1225" t="str">
        <f>VLOOKUP(Table1[[#This Row],[Order ID]],Status!A:B, 2,FALSE)</f>
        <v>Completed</v>
      </c>
      <c r="P1225" s="2" t="s">
        <v>23</v>
      </c>
      <c r="Q1225" s="2">
        <v>1</v>
      </c>
      <c r="R1225" s="2" t="s">
        <v>24</v>
      </c>
      <c r="S1225" s="11" t="str">
        <f t="shared" si="98"/>
        <v>Rendah</v>
      </c>
      <c r="T1225" s="2" t="str">
        <f t="shared" si="99"/>
        <v>Sangat Rendah</v>
      </c>
    </row>
    <row r="1226" spans="1:20" ht="15.75" customHeight="1" x14ac:dyDescent="0.3">
      <c r="A1226" s="4" t="s">
        <v>1150</v>
      </c>
      <c r="B1226" s="3">
        <v>45694.859965277778</v>
      </c>
      <c r="C1226" s="2" t="s">
        <v>979</v>
      </c>
      <c r="D1226" s="2" t="s">
        <v>49</v>
      </c>
      <c r="E1226" s="2" t="s">
        <v>186</v>
      </c>
      <c r="F1226" s="2">
        <v>45000</v>
      </c>
      <c r="G1226" s="2">
        <v>3</v>
      </c>
      <c r="H1226" s="2">
        <v>15</v>
      </c>
      <c r="I1226">
        <f t="shared" si="95"/>
        <v>135000</v>
      </c>
      <c r="J1226">
        <f t="shared" si="96"/>
        <v>20250</v>
      </c>
      <c r="K1226" s="6">
        <f t="shared" si="97"/>
        <v>114750</v>
      </c>
      <c r="L1226" s="2">
        <v>43000</v>
      </c>
      <c r="M1226" s="6">
        <f>Table1[[#This Row],[Total Sales]]+Table1[[#This Row],[Shipping Fee]]</f>
        <v>157750</v>
      </c>
      <c r="N1226" s="2" t="s">
        <v>22</v>
      </c>
      <c r="O1226" t="str">
        <f>VLOOKUP(Table1[[#This Row],[Order ID]],Status!A:B, 2,FALSE)</f>
        <v>Completed</v>
      </c>
      <c r="P1226" s="2" t="s">
        <v>23</v>
      </c>
      <c r="Q1226" s="2">
        <v>4</v>
      </c>
      <c r="R1226" s="2" t="s">
        <v>24</v>
      </c>
      <c r="S1226" s="11" t="str">
        <f t="shared" si="98"/>
        <v>Bagus</v>
      </c>
      <c r="T1226" s="2" t="str">
        <f t="shared" si="99"/>
        <v>Tinggi</v>
      </c>
    </row>
    <row r="1227" spans="1:20" ht="15.75" customHeight="1" x14ac:dyDescent="0.3">
      <c r="A1227" s="4" t="s">
        <v>1149</v>
      </c>
      <c r="B1227" s="3">
        <v>45694.565115740741</v>
      </c>
      <c r="C1227" s="2" t="s">
        <v>192</v>
      </c>
      <c r="D1227" s="2" t="s">
        <v>107</v>
      </c>
      <c r="E1227" s="2" t="s">
        <v>38</v>
      </c>
      <c r="F1227" s="2">
        <v>28000</v>
      </c>
      <c r="G1227" s="2">
        <v>1</v>
      </c>
      <c r="H1227" s="2">
        <v>5</v>
      </c>
      <c r="I1227">
        <f t="shared" si="95"/>
        <v>28000</v>
      </c>
      <c r="J1227">
        <f t="shared" si="96"/>
        <v>1400</v>
      </c>
      <c r="K1227" s="6">
        <f t="shared" si="97"/>
        <v>26600</v>
      </c>
      <c r="L1227" s="2">
        <v>97000</v>
      </c>
      <c r="M1227" s="6">
        <f>Table1[[#This Row],[Total Sales]]+Table1[[#This Row],[Shipping Fee]]</f>
        <v>123600</v>
      </c>
      <c r="N1227" s="2" t="s">
        <v>22</v>
      </c>
      <c r="O1227" t="str">
        <f>VLOOKUP(Table1[[#This Row],[Order ID]],Status!A:B, 2,FALSE)</f>
        <v>Completed</v>
      </c>
      <c r="P1227" s="2" t="s">
        <v>82</v>
      </c>
      <c r="Q1227" s="2">
        <v>3</v>
      </c>
      <c r="R1227" s="2" t="s">
        <v>24</v>
      </c>
      <c r="S1227" s="11" t="str">
        <f t="shared" si="98"/>
        <v>Standar</v>
      </c>
      <c r="T1227" s="2" t="str">
        <f t="shared" si="99"/>
        <v>Sangat Rendah</v>
      </c>
    </row>
    <row r="1228" spans="1:20" ht="15.75" customHeight="1" x14ac:dyDescent="0.3">
      <c r="A1228" s="4" t="s">
        <v>1148</v>
      </c>
      <c r="B1228" s="3">
        <v>45694.367881944447</v>
      </c>
      <c r="C1228" s="2" t="s">
        <v>605</v>
      </c>
      <c r="D1228" s="2" t="s">
        <v>151</v>
      </c>
      <c r="E1228" s="2" t="s">
        <v>144</v>
      </c>
      <c r="F1228" s="2">
        <v>18000</v>
      </c>
      <c r="G1228" s="2">
        <v>1</v>
      </c>
      <c r="H1228" s="2">
        <v>15</v>
      </c>
      <c r="I1228">
        <f t="shared" si="95"/>
        <v>18000</v>
      </c>
      <c r="J1228">
        <f t="shared" si="96"/>
        <v>2700</v>
      </c>
      <c r="K1228" s="6">
        <f t="shared" si="97"/>
        <v>15300</v>
      </c>
      <c r="L1228" s="2">
        <v>55000</v>
      </c>
      <c r="M1228" s="6">
        <f>Table1[[#This Row],[Total Sales]]+Table1[[#This Row],[Shipping Fee]]</f>
        <v>70300</v>
      </c>
      <c r="N1228" s="2" t="s">
        <v>29</v>
      </c>
      <c r="O1228" t="str">
        <f>VLOOKUP(Table1[[#This Row],[Order ID]],Status!A:B, 2,FALSE)</f>
        <v>Returned</v>
      </c>
      <c r="P1228" s="2" t="s">
        <v>23</v>
      </c>
      <c r="Q1228" s="2">
        <v>1</v>
      </c>
      <c r="R1228" s="2" t="s">
        <v>24</v>
      </c>
      <c r="S1228" s="11" t="str">
        <f t="shared" si="98"/>
        <v>Rendah</v>
      </c>
      <c r="T1228" s="2" t="str">
        <f t="shared" si="99"/>
        <v>Sangat Rendah</v>
      </c>
    </row>
    <row r="1229" spans="1:20" ht="15.75" customHeight="1" x14ac:dyDescent="0.3">
      <c r="A1229" s="4" t="s">
        <v>1147</v>
      </c>
      <c r="B1229" s="3">
        <v>45694.304247685177</v>
      </c>
      <c r="C1229" s="2" t="s">
        <v>468</v>
      </c>
      <c r="D1229" s="2" t="s">
        <v>163</v>
      </c>
      <c r="E1229" s="2" t="s">
        <v>104</v>
      </c>
      <c r="F1229" s="2">
        <v>30000</v>
      </c>
      <c r="G1229" s="2">
        <v>2</v>
      </c>
      <c r="H1229" s="2">
        <v>20</v>
      </c>
      <c r="I1229">
        <f t="shared" si="95"/>
        <v>60000</v>
      </c>
      <c r="J1229">
        <f t="shared" si="96"/>
        <v>12000</v>
      </c>
      <c r="K1229" s="6">
        <f t="shared" si="97"/>
        <v>48000</v>
      </c>
      <c r="L1229" s="2">
        <v>50000</v>
      </c>
      <c r="M1229" s="6">
        <f>Table1[[#This Row],[Total Sales]]+Table1[[#This Row],[Shipping Fee]]</f>
        <v>98000</v>
      </c>
      <c r="N1229" s="2" t="s">
        <v>29</v>
      </c>
      <c r="O1229" t="str">
        <f>VLOOKUP(Table1[[#This Row],[Order ID]],Status!A:B, 2,FALSE)</f>
        <v>Completed</v>
      </c>
      <c r="P1229" s="2" t="s">
        <v>46</v>
      </c>
      <c r="Q1229" s="2">
        <v>1</v>
      </c>
      <c r="R1229" s="2" t="s">
        <v>24</v>
      </c>
      <c r="S1229" s="11" t="str">
        <f t="shared" si="98"/>
        <v>Rendah</v>
      </c>
      <c r="T1229" s="2" t="str">
        <f t="shared" si="99"/>
        <v>Normal</v>
      </c>
    </row>
    <row r="1230" spans="1:20" ht="15.75" customHeight="1" x14ac:dyDescent="0.3">
      <c r="A1230" s="4" t="s">
        <v>1145</v>
      </c>
      <c r="B1230" s="3">
        <v>45694.231400462973</v>
      </c>
      <c r="C1230" s="2" t="s">
        <v>1146</v>
      </c>
      <c r="D1230" s="2" t="s">
        <v>116</v>
      </c>
      <c r="E1230" s="2" t="s">
        <v>21</v>
      </c>
      <c r="F1230" s="2">
        <v>45000</v>
      </c>
      <c r="G1230" s="2">
        <v>1</v>
      </c>
      <c r="H1230" s="2">
        <v>15</v>
      </c>
      <c r="I1230">
        <f t="shared" si="95"/>
        <v>45000</v>
      </c>
      <c r="J1230">
        <f t="shared" si="96"/>
        <v>6750</v>
      </c>
      <c r="K1230" s="6">
        <f t="shared" si="97"/>
        <v>38250</v>
      </c>
      <c r="L1230" s="2">
        <v>72000</v>
      </c>
      <c r="M1230" s="6">
        <f>Table1[[#This Row],[Total Sales]]+Table1[[#This Row],[Shipping Fee]]</f>
        <v>110250</v>
      </c>
      <c r="N1230" s="2" t="s">
        <v>35</v>
      </c>
      <c r="O1230" t="str">
        <f>VLOOKUP(Table1[[#This Row],[Order ID]],Status!A:B, 2,FALSE)</f>
        <v>Completed</v>
      </c>
      <c r="P1230" s="2" t="s">
        <v>23</v>
      </c>
      <c r="Q1230" s="2">
        <v>3</v>
      </c>
      <c r="R1230" s="2" t="s">
        <v>24</v>
      </c>
      <c r="S1230" s="11" t="str">
        <f t="shared" si="98"/>
        <v>Standar</v>
      </c>
      <c r="T1230" s="2" t="str">
        <f t="shared" si="99"/>
        <v>Rendah</v>
      </c>
    </row>
    <row r="1231" spans="1:20" ht="15.75" customHeight="1" x14ac:dyDescent="0.3">
      <c r="A1231" s="4" t="s">
        <v>1144</v>
      </c>
      <c r="B1231" s="3">
        <v>45694.074432870373</v>
      </c>
      <c r="C1231" s="2" t="s">
        <v>446</v>
      </c>
      <c r="D1231" s="2" t="s">
        <v>296</v>
      </c>
      <c r="E1231" s="2" t="s">
        <v>186</v>
      </c>
      <c r="F1231" s="2">
        <v>45000</v>
      </c>
      <c r="G1231" s="2">
        <v>2</v>
      </c>
      <c r="H1231" s="2">
        <v>5</v>
      </c>
      <c r="I1231">
        <f t="shared" si="95"/>
        <v>90000</v>
      </c>
      <c r="J1231">
        <f t="shared" si="96"/>
        <v>4500</v>
      </c>
      <c r="K1231" s="6">
        <f t="shared" si="97"/>
        <v>85500</v>
      </c>
      <c r="L1231" s="2">
        <v>79000</v>
      </c>
      <c r="M1231" s="6">
        <f>Table1[[#This Row],[Total Sales]]+Table1[[#This Row],[Shipping Fee]]</f>
        <v>164500</v>
      </c>
      <c r="N1231" s="2" t="s">
        <v>22</v>
      </c>
      <c r="O1231" t="str">
        <f>VLOOKUP(Table1[[#This Row],[Order ID]],Status!A:B, 2,FALSE)</f>
        <v>Returned</v>
      </c>
      <c r="P1231" s="2" t="s">
        <v>46</v>
      </c>
      <c r="Q1231" s="2">
        <v>3</v>
      </c>
      <c r="R1231" s="2" t="s">
        <v>37</v>
      </c>
      <c r="S1231" s="11" t="str">
        <f t="shared" si="98"/>
        <v>Standar</v>
      </c>
      <c r="T1231" s="2" t="str">
        <f t="shared" si="99"/>
        <v>Sangat Rendah</v>
      </c>
    </row>
    <row r="1232" spans="1:20" ht="15.75" customHeight="1" x14ac:dyDescent="0.3">
      <c r="A1232" s="4" t="s">
        <v>1143</v>
      </c>
      <c r="B1232" s="3">
        <v>45693.829722222217</v>
      </c>
      <c r="C1232" s="2" t="s">
        <v>853</v>
      </c>
      <c r="D1232" s="2" t="s">
        <v>151</v>
      </c>
      <c r="E1232" s="2" t="s">
        <v>190</v>
      </c>
      <c r="F1232" s="2">
        <v>35000</v>
      </c>
      <c r="G1232" s="2">
        <v>5</v>
      </c>
      <c r="H1232" s="2">
        <v>20</v>
      </c>
      <c r="I1232">
        <f t="shared" si="95"/>
        <v>175000</v>
      </c>
      <c r="J1232">
        <f t="shared" si="96"/>
        <v>35000</v>
      </c>
      <c r="K1232" s="6">
        <f t="shared" si="97"/>
        <v>140000</v>
      </c>
      <c r="L1232" s="2">
        <v>55000</v>
      </c>
      <c r="M1232" s="6">
        <f>Table1[[#This Row],[Total Sales]]+Table1[[#This Row],[Shipping Fee]]</f>
        <v>195000</v>
      </c>
      <c r="N1232" s="2" t="s">
        <v>35</v>
      </c>
      <c r="O1232" t="str">
        <f>VLOOKUP(Table1[[#This Row],[Order ID]],Status!A:B, 2,FALSE)</f>
        <v>Completed</v>
      </c>
      <c r="P1232" s="2" t="s">
        <v>82</v>
      </c>
      <c r="Q1232" s="2">
        <v>1</v>
      </c>
      <c r="R1232" s="2" t="s">
        <v>24</v>
      </c>
      <c r="S1232" s="11" t="str">
        <f t="shared" si="98"/>
        <v>Rendah</v>
      </c>
      <c r="T1232" s="2" t="str">
        <f t="shared" si="99"/>
        <v>Tinggi</v>
      </c>
    </row>
    <row r="1233" spans="1:20" ht="15.75" customHeight="1" x14ac:dyDescent="0.3">
      <c r="A1233" s="4" t="s">
        <v>1142</v>
      </c>
      <c r="B1233" s="3">
        <v>45693.717557870368</v>
      </c>
      <c r="C1233" s="2" t="s">
        <v>782</v>
      </c>
      <c r="D1233" s="2" t="s">
        <v>177</v>
      </c>
      <c r="E1233" s="2" t="s">
        <v>136</v>
      </c>
      <c r="F1233" s="2">
        <v>12000</v>
      </c>
      <c r="G1233" s="2">
        <v>3</v>
      </c>
      <c r="H1233" s="2">
        <v>0</v>
      </c>
      <c r="I1233">
        <f t="shared" si="95"/>
        <v>36000</v>
      </c>
      <c r="J1233">
        <f t="shared" si="96"/>
        <v>0</v>
      </c>
      <c r="K1233" s="6">
        <f t="shared" si="97"/>
        <v>36000</v>
      </c>
      <c r="L1233" s="2">
        <v>56000</v>
      </c>
      <c r="M1233" s="6">
        <f>Table1[[#This Row],[Total Sales]]+Table1[[#This Row],[Shipping Fee]]</f>
        <v>92000</v>
      </c>
      <c r="N1233" s="2" t="s">
        <v>22</v>
      </c>
      <c r="O1233" t="str">
        <f>VLOOKUP(Table1[[#This Row],[Order ID]],Status!A:B, 2,FALSE)</f>
        <v>Completed</v>
      </c>
      <c r="P1233" s="2" t="s">
        <v>30</v>
      </c>
      <c r="Q1233" s="2">
        <v>5</v>
      </c>
      <c r="R1233" s="2" t="s">
        <v>24</v>
      </c>
      <c r="S1233" s="11" t="str">
        <f t="shared" si="98"/>
        <v>Bagus</v>
      </c>
      <c r="T1233" s="2" t="str">
        <f t="shared" si="99"/>
        <v>Sangat Rendah</v>
      </c>
    </row>
    <row r="1234" spans="1:20" ht="15.75" customHeight="1" x14ac:dyDescent="0.3">
      <c r="A1234" s="4" t="s">
        <v>1141</v>
      </c>
      <c r="B1234" s="3">
        <v>45693.457546296297</v>
      </c>
      <c r="C1234" s="2" t="s">
        <v>318</v>
      </c>
      <c r="D1234" s="2" t="s">
        <v>244</v>
      </c>
      <c r="E1234" s="2" t="s">
        <v>110</v>
      </c>
      <c r="F1234" s="2">
        <v>6000</v>
      </c>
      <c r="G1234" s="2">
        <v>2</v>
      </c>
      <c r="H1234" s="2">
        <v>15</v>
      </c>
      <c r="I1234">
        <f t="shared" si="95"/>
        <v>12000</v>
      </c>
      <c r="J1234">
        <f t="shared" si="96"/>
        <v>1800</v>
      </c>
      <c r="K1234" s="6">
        <f t="shared" si="97"/>
        <v>10200</v>
      </c>
      <c r="L1234" s="2">
        <v>80000</v>
      </c>
      <c r="M1234" s="6">
        <f>Table1[[#This Row],[Total Sales]]+Table1[[#This Row],[Shipping Fee]]</f>
        <v>90200</v>
      </c>
      <c r="N1234" s="2" t="s">
        <v>29</v>
      </c>
      <c r="O1234" t="str">
        <f>VLOOKUP(Table1[[#This Row],[Order ID]],Status!A:B, 2,FALSE)</f>
        <v>Completed</v>
      </c>
      <c r="P1234" s="2" t="s">
        <v>30</v>
      </c>
      <c r="Q1234" s="2">
        <v>3</v>
      </c>
      <c r="R1234" s="2" t="s">
        <v>37</v>
      </c>
      <c r="S1234" s="11" t="str">
        <f t="shared" si="98"/>
        <v>Standar</v>
      </c>
      <c r="T1234" s="2" t="str">
        <f t="shared" si="99"/>
        <v>Sangat Rendah</v>
      </c>
    </row>
    <row r="1235" spans="1:20" ht="15.75" customHeight="1" x14ac:dyDescent="0.3">
      <c r="A1235" s="4" t="s">
        <v>1140</v>
      </c>
      <c r="B1235" s="3">
        <v>45693.429791666669</v>
      </c>
      <c r="C1235" s="2" t="s">
        <v>483</v>
      </c>
      <c r="D1235" s="2" t="s">
        <v>170</v>
      </c>
      <c r="E1235" s="2" t="s">
        <v>186</v>
      </c>
      <c r="F1235" s="2">
        <v>45000</v>
      </c>
      <c r="G1235" s="2">
        <v>2</v>
      </c>
      <c r="H1235" s="2">
        <v>20</v>
      </c>
      <c r="I1235">
        <f t="shared" si="95"/>
        <v>90000</v>
      </c>
      <c r="J1235">
        <f t="shared" si="96"/>
        <v>18000</v>
      </c>
      <c r="K1235" s="6">
        <f t="shared" si="97"/>
        <v>72000</v>
      </c>
      <c r="L1235" s="2">
        <v>46000</v>
      </c>
      <c r="M1235" s="6">
        <f>Table1[[#This Row],[Total Sales]]+Table1[[#This Row],[Shipping Fee]]</f>
        <v>118000</v>
      </c>
      <c r="N1235" s="2" t="s">
        <v>63</v>
      </c>
      <c r="O1235" t="str">
        <f>VLOOKUP(Table1[[#This Row],[Order ID]],Status!A:B, 2,FALSE)</f>
        <v>Completed</v>
      </c>
      <c r="P1235" s="2" t="s">
        <v>36</v>
      </c>
      <c r="Q1235" s="2">
        <v>2</v>
      </c>
      <c r="R1235" s="2" t="s">
        <v>24</v>
      </c>
      <c r="S1235" s="11" t="str">
        <f t="shared" si="98"/>
        <v>Rendah</v>
      </c>
      <c r="T1235" s="2" t="str">
        <f t="shared" si="99"/>
        <v>Normal</v>
      </c>
    </row>
    <row r="1236" spans="1:20" ht="15.75" customHeight="1" x14ac:dyDescent="0.3">
      <c r="A1236" s="4" t="s">
        <v>1138</v>
      </c>
      <c r="B1236" s="3">
        <v>45693.254884259259</v>
      </c>
      <c r="C1236" s="2" t="s">
        <v>1139</v>
      </c>
      <c r="D1236" s="2" t="s">
        <v>53</v>
      </c>
      <c r="E1236" s="2" t="s">
        <v>186</v>
      </c>
      <c r="F1236" s="2">
        <v>45000</v>
      </c>
      <c r="G1236" s="2">
        <v>1</v>
      </c>
      <c r="H1236" s="2">
        <v>20</v>
      </c>
      <c r="I1236">
        <f t="shared" si="95"/>
        <v>45000</v>
      </c>
      <c r="J1236">
        <f t="shared" si="96"/>
        <v>9000</v>
      </c>
      <c r="K1236" s="6">
        <f t="shared" si="97"/>
        <v>36000</v>
      </c>
      <c r="L1236" s="2">
        <v>18000</v>
      </c>
      <c r="M1236" s="6">
        <f>Table1[[#This Row],[Total Sales]]+Table1[[#This Row],[Shipping Fee]]</f>
        <v>54000</v>
      </c>
      <c r="N1236" s="2" t="s">
        <v>35</v>
      </c>
      <c r="O1236" t="str">
        <f>VLOOKUP(Table1[[#This Row],[Order ID]],Status!A:B, 2,FALSE)</f>
        <v>Completed</v>
      </c>
      <c r="P1236" s="2" t="s">
        <v>46</v>
      </c>
      <c r="Q1236" s="2">
        <v>3</v>
      </c>
      <c r="R1236" s="2" t="s">
        <v>37</v>
      </c>
      <c r="S1236" s="11" t="str">
        <f t="shared" si="98"/>
        <v>Standar</v>
      </c>
      <c r="T1236" s="2" t="str">
        <f t="shared" si="99"/>
        <v>Rendah</v>
      </c>
    </row>
    <row r="1237" spans="1:20" ht="15.75" customHeight="1" x14ac:dyDescent="0.3">
      <c r="A1237" s="4" t="s">
        <v>1137</v>
      </c>
      <c r="B1237" s="3">
        <v>45693.053726851853</v>
      </c>
      <c r="C1237" s="2" t="s">
        <v>598</v>
      </c>
      <c r="D1237" s="2" t="s">
        <v>61</v>
      </c>
      <c r="E1237" s="2" t="s">
        <v>67</v>
      </c>
      <c r="F1237" s="2">
        <v>15000</v>
      </c>
      <c r="G1237" s="2">
        <v>1</v>
      </c>
      <c r="H1237" s="2">
        <v>15</v>
      </c>
      <c r="I1237">
        <f t="shared" si="95"/>
        <v>15000</v>
      </c>
      <c r="J1237">
        <f t="shared" si="96"/>
        <v>2250</v>
      </c>
      <c r="K1237" s="6">
        <f t="shared" si="97"/>
        <v>12750</v>
      </c>
      <c r="L1237" s="2">
        <v>26000</v>
      </c>
      <c r="M1237" s="6">
        <f>Table1[[#This Row],[Total Sales]]+Table1[[#This Row],[Shipping Fee]]</f>
        <v>38750</v>
      </c>
      <c r="N1237" s="2" t="s">
        <v>29</v>
      </c>
      <c r="O1237" t="str">
        <f>VLOOKUP(Table1[[#This Row],[Order ID]],Status!A:B, 2,FALSE)</f>
        <v>Cancelled</v>
      </c>
      <c r="P1237" s="2" t="s">
        <v>30</v>
      </c>
      <c r="Q1237" s="2">
        <v>1</v>
      </c>
      <c r="R1237" s="2" t="s">
        <v>24</v>
      </c>
      <c r="S1237" s="11" t="str">
        <f t="shared" si="98"/>
        <v>Rendah</v>
      </c>
      <c r="T1237" s="2" t="str">
        <f t="shared" si="99"/>
        <v>Sangat Rendah</v>
      </c>
    </row>
    <row r="1238" spans="1:20" ht="15.75" customHeight="1" x14ac:dyDescent="0.3">
      <c r="A1238" s="4" t="s">
        <v>1137</v>
      </c>
      <c r="B1238" s="3">
        <v>45693.053726851853</v>
      </c>
      <c r="C1238" s="2" t="s">
        <v>598</v>
      </c>
      <c r="D1238" s="2" t="s">
        <v>61</v>
      </c>
      <c r="E1238" s="2" t="s">
        <v>250</v>
      </c>
      <c r="F1238" s="2">
        <v>18000</v>
      </c>
      <c r="G1238" s="2">
        <v>1</v>
      </c>
      <c r="H1238" s="2">
        <v>0</v>
      </c>
      <c r="I1238">
        <f t="shared" si="95"/>
        <v>18000</v>
      </c>
      <c r="J1238">
        <f t="shared" si="96"/>
        <v>0</v>
      </c>
      <c r="K1238" s="6">
        <f t="shared" si="97"/>
        <v>18000</v>
      </c>
      <c r="L1238" s="2">
        <v>0</v>
      </c>
      <c r="M1238" s="6">
        <f>Table1[[#This Row],[Total Sales]]+Table1[[#This Row],[Shipping Fee]]</f>
        <v>18000</v>
      </c>
      <c r="N1238" s="2" t="s">
        <v>29</v>
      </c>
      <c r="O1238" t="str">
        <f>VLOOKUP(Table1[[#This Row],[Order ID]],Status!A:B, 2,FALSE)</f>
        <v>Cancelled</v>
      </c>
      <c r="P1238" s="2" t="s">
        <v>30</v>
      </c>
      <c r="Q1238" s="2">
        <v>1</v>
      </c>
      <c r="R1238" s="2" t="s">
        <v>24</v>
      </c>
      <c r="S1238" s="11" t="str">
        <f t="shared" si="98"/>
        <v>Rendah</v>
      </c>
      <c r="T1238" s="2" t="str">
        <f t="shared" si="99"/>
        <v>Sangat Rendah</v>
      </c>
    </row>
    <row r="1239" spans="1:20" ht="15.75" customHeight="1" x14ac:dyDescent="0.3">
      <c r="A1239" s="4" t="s">
        <v>1135</v>
      </c>
      <c r="B1239" s="3">
        <v>45692.964780092603</v>
      </c>
      <c r="C1239" s="2" t="s">
        <v>1136</v>
      </c>
      <c r="D1239" s="2" t="s">
        <v>195</v>
      </c>
      <c r="E1239" s="2" t="s">
        <v>144</v>
      </c>
      <c r="F1239" s="2">
        <v>18000</v>
      </c>
      <c r="G1239" s="2">
        <v>5</v>
      </c>
      <c r="H1239" s="2">
        <v>15</v>
      </c>
      <c r="I1239">
        <f t="shared" si="95"/>
        <v>90000</v>
      </c>
      <c r="J1239">
        <f t="shared" si="96"/>
        <v>13500</v>
      </c>
      <c r="K1239" s="6">
        <f t="shared" si="97"/>
        <v>76500</v>
      </c>
      <c r="L1239" s="2">
        <v>87000</v>
      </c>
      <c r="M1239" s="6">
        <f>Table1[[#This Row],[Total Sales]]+Table1[[#This Row],[Shipping Fee]]</f>
        <v>163500</v>
      </c>
      <c r="N1239" s="2" t="s">
        <v>63</v>
      </c>
      <c r="O1239" t="str">
        <f>VLOOKUP(Table1[[#This Row],[Order ID]],Status!A:B, 2,FALSE)</f>
        <v>Completed</v>
      </c>
      <c r="P1239" s="2" t="s">
        <v>46</v>
      </c>
      <c r="Q1239" s="2">
        <v>1</v>
      </c>
      <c r="R1239" s="2" t="s">
        <v>24</v>
      </c>
      <c r="S1239" s="11" t="str">
        <f t="shared" si="98"/>
        <v>Rendah</v>
      </c>
      <c r="T1239" s="2" t="str">
        <f t="shared" si="99"/>
        <v>Normal</v>
      </c>
    </row>
    <row r="1240" spans="1:20" ht="15.75" customHeight="1" x14ac:dyDescent="0.3">
      <c r="A1240" s="4" t="s">
        <v>1134</v>
      </c>
      <c r="B1240" s="3">
        <v>45692.917812500003</v>
      </c>
      <c r="C1240" s="2" t="s">
        <v>441</v>
      </c>
      <c r="D1240" s="2" t="s">
        <v>116</v>
      </c>
      <c r="E1240" s="2" t="s">
        <v>62</v>
      </c>
      <c r="F1240" s="2">
        <v>50000</v>
      </c>
      <c r="G1240" s="2">
        <v>4</v>
      </c>
      <c r="H1240" s="2">
        <v>5</v>
      </c>
      <c r="I1240">
        <f t="shared" si="95"/>
        <v>200000</v>
      </c>
      <c r="J1240">
        <f t="shared" si="96"/>
        <v>10000</v>
      </c>
      <c r="K1240" s="6">
        <f t="shared" si="97"/>
        <v>190000</v>
      </c>
      <c r="L1240" s="2">
        <v>72000</v>
      </c>
      <c r="M1240" s="6">
        <f>Table1[[#This Row],[Total Sales]]+Table1[[#This Row],[Shipping Fee]]</f>
        <v>262000</v>
      </c>
      <c r="N1240" s="2" t="s">
        <v>29</v>
      </c>
      <c r="O1240" t="str">
        <f>VLOOKUP(Table1[[#This Row],[Order ID]],Status!A:B, 2,FALSE)</f>
        <v>Completed</v>
      </c>
      <c r="P1240" s="2" t="s">
        <v>36</v>
      </c>
      <c r="Q1240" s="2">
        <v>3</v>
      </c>
      <c r="R1240" s="2" t="s">
        <v>37</v>
      </c>
      <c r="S1240" s="11" t="str">
        <f t="shared" si="98"/>
        <v>Standar</v>
      </c>
      <c r="T1240" s="2" t="str">
        <f t="shared" si="99"/>
        <v>Rendah</v>
      </c>
    </row>
    <row r="1241" spans="1:20" ht="15.75" customHeight="1" x14ac:dyDescent="0.3">
      <c r="A1241" s="4" t="s">
        <v>1132</v>
      </c>
      <c r="B1241" s="3">
        <v>45692.893854166658</v>
      </c>
      <c r="C1241" s="2" t="s">
        <v>1133</v>
      </c>
      <c r="D1241" s="2" t="s">
        <v>80</v>
      </c>
      <c r="E1241" s="2" t="s">
        <v>88</v>
      </c>
      <c r="F1241" s="2">
        <v>14000</v>
      </c>
      <c r="G1241" s="2">
        <v>5</v>
      </c>
      <c r="H1241" s="2">
        <v>15</v>
      </c>
      <c r="I1241">
        <f t="shared" si="95"/>
        <v>70000</v>
      </c>
      <c r="J1241">
        <f t="shared" si="96"/>
        <v>10500</v>
      </c>
      <c r="K1241" s="6">
        <f t="shared" si="97"/>
        <v>59500</v>
      </c>
      <c r="L1241" s="2">
        <v>74000</v>
      </c>
      <c r="M1241" s="6">
        <f>Table1[[#This Row],[Total Sales]]+Table1[[#This Row],[Shipping Fee]]</f>
        <v>133500</v>
      </c>
      <c r="N1241" s="2" t="s">
        <v>35</v>
      </c>
      <c r="O1241" t="str">
        <f>VLOOKUP(Table1[[#This Row],[Order ID]],Status!A:B, 2,FALSE)</f>
        <v>Completed</v>
      </c>
      <c r="P1241" s="2" t="s">
        <v>46</v>
      </c>
      <c r="Q1241" s="2">
        <v>5</v>
      </c>
      <c r="R1241" s="2" t="s">
        <v>24</v>
      </c>
      <c r="S1241" s="11" t="str">
        <f t="shared" si="98"/>
        <v>Bagus</v>
      </c>
      <c r="T1241" s="2" t="str">
        <f t="shared" si="99"/>
        <v>Normal</v>
      </c>
    </row>
    <row r="1242" spans="1:20" ht="15.75" customHeight="1" x14ac:dyDescent="0.3">
      <c r="A1242" s="4" t="s">
        <v>1131</v>
      </c>
      <c r="B1242" s="3">
        <v>45692.876574074071</v>
      </c>
      <c r="C1242" s="2" t="s">
        <v>457</v>
      </c>
      <c r="D1242" s="2" t="s">
        <v>80</v>
      </c>
      <c r="E1242" s="2" t="s">
        <v>138</v>
      </c>
      <c r="F1242" s="2">
        <v>17000</v>
      </c>
      <c r="G1242" s="2">
        <v>5</v>
      </c>
      <c r="H1242" s="2">
        <v>15</v>
      </c>
      <c r="I1242">
        <f t="shared" si="95"/>
        <v>85000</v>
      </c>
      <c r="J1242">
        <f t="shared" si="96"/>
        <v>12750</v>
      </c>
      <c r="K1242" s="6">
        <f t="shared" si="97"/>
        <v>72250</v>
      </c>
      <c r="L1242" s="2">
        <v>74000</v>
      </c>
      <c r="M1242" s="6">
        <f>Table1[[#This Row],[Total Sales]]+Table1[[#This Row],[Shipping Fee]]</f>
        <v>146250</v>
      </c>
      <c r="N1242" s="2" t="s">
        <v>63</v>
      </c>
      <c r="O1242" t="str">
        <f>VLOOKUP(Table1[[#This Row],[Order ID]],Status!A:B, 2,FALSE)</f>
        <v>Completed</v>
      </c>
      <c r="P1242" s="2" t="s">
        <v>23</v>
      </c>
      <c r="Q1242" s="2">
        <v>1</v>
      </c>
      <c r="R1242" s="2" t="s">
        <v>24</v>
      </c>
      <c r="S1242" s="11" t="str">
        <f t="shared" si="98"/>
        <v>Rendah</v>
      </c>
      <c r="T1242" s="2" t="str">
        <f t="shared" si="99"/>
        <v>Normal</v>
      </c>
    </row>
    <row r="1243" spans="1:20" ht="15.75" customHeight="1" x14ac:dyDescent="0.3">
      <c r="A1243" s="4" t="s">
        <v>1129</v>
      </c>
      <c r="B1243" s="3">
        <v>45692.610300925917</v>
      </c>
      <c r="C1243" s="2" t="s">
        <v>1130</v>
      </c>
      <c r="D1243" s="2" t="s">
        <v>122</v>
      </c>
      <c r="E1243" s="2" t="s">
        <v>75</v>
      </c>
      <c r="F1243" s="2">
        <v>55000</v>
      </c>
      <c r="G1243" s="2">
        <v>5</v>
      </c>
      <c r="H1243" s="2">
        <v>20</v>
      </c>
      <c r="I1243">
        <f t="shared" si="95"/>
        <v>275000</v>
      </c>
      <c r="J1243">
        <f t="shared" si="96"/>
        <v>55000</v>
      </c>
      <c r="K1243" s="6">
        <f t="shared" si="97"/>
        <v>220000</v>
      </c>
      <c r="L1243" s="2">
        <v>78000</v>
      </c>
      <c r="M1243" s="6">
        <f>Table1[[#This Row],[Total Sales]]+Table1[[#This Row],[Shipping Fee]]</f>
        <v>298000</v>
      </c>
      <c r="N1243" s="2" t="s">
        <v>35</v>
      </c>
      <c r="O1243" t="str">
        <f>VLOOKUP(Table1[[#This Row],[Order ID]],Status!A:B, 2,FALSE)</f>
        <v>Completed</v>
      </c>
      <c r="P1243" s="2" t="s">
        <v>82</v>
      </c>
      <c r="Q1243" s="2">
        <v>2</v>
      </c>
      <c r="R1243" s="2" t="s">
        <v>24</v>
      </c>
      <c r="S1243" s="11" t="str">
        <f t="shared" si="98"/>
        <v>Rendah</v>
      </c>
      <c r="T1243" s="2" t="str">
        <f t="shared" si="99"/>
        <v>Clearance</v>
      </c>
    </row>
    <row r="1244" spans="1:20" ht="15.75" customHeight="1" x14ac:dyDescent="0.3">
      <c r="A1244" s="4" t="s">
        <v>1127</v>
      </c>
      <c r="B1244" s="3">
        <v>45692.273553240739</v>
      </c>
      <c r="C1244" s="2" t="s">
        <v>1128</v>
      </c>
      <c r="D1244" s="2" t="s">
        <v>113</v>
      </c>
      <c r="E1244" s="2" t="s">
        <v>174</v>
      </c>
      <c r="F1244" s="2">
        <v>10000</v>
      </c>
      <c r="G1244" s="2">
        <v>5</v>
      </c>
      <c r="H1244" s="2">
        <v>20</v>
      </c>
      <c r="I1244">
        <f t="shared" si="95"/>
        <v>50000</v>
      </c>
      <c r="J1244">
        <f t="shared" si="96"/>
        <v>10000</v>
      </c>
      <c r="K1244" s="6">
        <f t="shared" si="97"/>
        <v>40000</v>
      </c>
      <c r="L1244" s="2">
        <v>18000</v>
      </c>
      <c r="M1244" s="6">
        <f>Table1[[#This Row],[Total Sales]]+Table1[[#This Row],[Shipping Fee]]</f>
        <v>58000</v>
      </c>
      <c r="N1244" s="2" t="s">
        <v>22</v>
      </c>
      <c r="O1244" t="str">
        <f>VLOOKUP(Table1[[#This Row],[Order ID]],Status!A:B, 2,FALSE)</f>
        <v>Completed</v>
      </c>
      <c r="P1244" s="2" t="s">
        <v>46</v>
      </c>
      <c r="Q1244" s="2">
        <v>4</v>
      </c>
      <c r="R1244" s="2" t="s">
        <v>24</v>
      </c>
      <c r="S1244" s="11" t="str">
        <f t="shared" si="98"/>
        <v>Bagus</v>
      </c>
      <c r="T1244" s="2" t="str">
        <f t="shared" si="99"/>
        <v>Rendah</v>
      </c>
    </row>
    <row r="1245" spans="1:20" ht="15.75" customHeight="1" x14ac:dyDescent="0.3">
      <c r="A1245" s="4" t="s">
        <v>1126</v>
      </c>
      <c r="B1245" s="3">
        <v>45692.066134259258</v>
      </c>
      <c r="C1245" s="2" t="s">
        <v>285</v>
      </c>
      <c r="D1245" s="2" t="s">
        <v>20</v>
      </c>
      <c r="E1245" s="2" t="s">
        <v>85</v>
      </c>
      <c r="F1245" s="2">
        <v>35000</v>
      </c>
      <c r="G1245" s="2">
        <v>3</v>
      </c>
      <c r="H1245" s="2">
        <v>5</v>
      </c>
      <c r="I1245">
        <f t="shared" si="95"/>
        <v>105000</v>
      </c>
      <c r="J1245">
        <f t="shared" si="96"/>
        <v>5250</v>
      </c>
      <c r="K1245" s="6">
        <f t="shared" si="97"/>
        <v>99750</v>
      </c>
      <c r="L1245" s="2">
        <v>15000</v>
      </c>
      <c r="M1245" s="6">
        <f>Table1[[#This Row],[Total Sales]]+Table1[[#This Row],[Shipping Fee]]</f>
        <v>114750</v>
      </c>
      <c r="N1245" s="2" t="s">
        <v>29</v>
      </c>
      <c r="O1245" t="str">
        <f>VLOOKUP(Table1[[#This Row],[Order ID]],Status!A:B, 2,FALSE)</f>
        <v>Completed</v>
      </c>
      <c r="P1245" s="2" t="s">
        <v>30</v>
      </c>
      <c r="Q1245" s="2">
        <v>3</v>
      </c>
      <c r="R1245" s="2" t="s">
        <v>37</v>
      </c>
      <c r="S1245" s="11" t="str">
        <f t="shared" si="98"/>
        <v>Standar</v>
      </c>
      <c r="T1245" s="2" t="str">
        <f t="shared" si="99"/>
        <v>Rendah</v>
      </c>
    </row>
    <row r="1246" spans="1:20" ht="15.75" customHeight="1" x14ac:dyDescent="0.3">
      <c r="A1246" s="4" t="s">
        <v>1124</v>
      </c>
      <c r="B1246" s="3">
        <v>45691.805914351848</v>
      </c>
      <c r="C1246" s="2" t="s">
        <v>1125</v>
      </c>
      <c r="D1246" s="2" t="s">
        <v>170</v>
      </c>
      <c r="E1246" s="2" t="s">
        <v>45</v>
      </c>
      <c r="F1246" s="2">
        <v>40000</v>
      </c>
      <c r="G1246" s="2">
        <v>1</v>
      </c>
      <c r="H1246" s="2">
        <v>15</v>
      </c>
      <c r="I1246">
        <f t="shared" si="95"/>
        <v>40000</v>
      </c>
      <c r="J1246">
        <f t="shared" si="96"/>
        <v>6000</v>
      </c>
      <c r="K1246" s="6">
        <f t="shared" si="97"/>
        <v>34000</v>
      </c>
      <c r="L1246" s="2">
        <v>46000</v>
      </c>
      <c r="M1246" s="6">
        <f>Table1[[#This Row],[Total Sales]]+Table1[[#This Row],[Shipping Fee]]</f>
        <v>80000</v>
      </c>
      <c r="N1246" s="2" t="s">
        <v>22</v>
      </c>
      <c r="O1246" t="str">
        <f>VLOOKUP(Table1[[#This Row],[Order ID]],Status!A:B, 2,FALSE)</f>
        <v>Completed</v>
      </c>
      <c r="P1246" s="2" t="s">
        <v>46</v>
      </c>
      <c r="Q1246" s="2">
        <v>1</v>
      </c>
      <c r="R1246" s="2" t="s">
        <v>24</v>
      </c>
      <c r="S1246" s="11" t="str">
        <f t="shared" si="98"/>
        <v>Rendah</v>
      </c>
      <c r="T1246" s="2" t="str">
        <f t="shared" si="99"/>
        <v>Rendah</v>
      </c>
    </row>
    <row r="1247" spans="1:20" ht="15.75" customHeight="1" x14ac:dyDescent="0.3">
      <c r="A1247" s="4" t="s">
        <v>1123</v>
      </c>
      <c r="B1247" s="3">
        <v>45691.065671296303</v>
      </c>
      <c r="C1247" s="2" t="s">
        <v>377</v>
      </c>
      <c r="D1247" s="2" t="s">
        <v>182</v>
      </c>
      <c r="E1247" s="2" t="s">
        <v>50</v>
      </c>
      <c r="F1247" s="2">
        <v>14000</v>
      </c>
      <c r="G1247" s="2">
        <v>2</v>
      </c>
      <c r="H1247" s="2">
        <v>0</v>
      </c>
      <c r="I1247">
        <f t="shared" si="95"/>
        <v>28000</v>
      </c>
      <c r="J1247">
        <f t="shared" si="96"/>
        <v>0</v>
      </c>
      <c r="K1247" s="6">
        <f t="shared" si="97"/>
        <v>28000</v>
      </c>
      <c r="L1247" s="2">
        <v>48000</v>
      </c>
      <c r="M1247" s="6">
        <f>Table1[[#This Row],[Total Sales]]+Table1[[#This Row],[Shipping Fee]]</f>
        <v>76000</v>
      </c>
      <c r="N1247" s="2" t="s">
        <v>63</v>
      </c>
      <c r="O1247" t="str">
        <f>VLOOKUP(Table1[[#This Row],[Order ID]],Status!A:B, 2,FALSE)</f>
        <v>Completed</v>
      </c>
      <c r="P1247" s="2" t="s">
        <v>23</v>
      </c>
      <c r="Q1247" s="2">
        <v>4</v>
      </c>
      <c r="R1247" s="2" t="s">
        <v>24</v>
      </c>
      <c r="S1247" s="11" t="str">
        <f t="shared" si="98"/>
        <v>Bagus</v>
      </c>
      <c r="T1247" s="2" t="str">
        <f t="shared" si="99"/>
        <v>Sangat Rendah</v>
      </c>
    </row>
    <row r="1248" spans="1:20" ht="15.75" customHeight="1" x14ac:dyDescent="0.3">
      <c r="A1248" s="4" t="s">
        <v>1121</v>
      </c>
      <c r="B1248" s="3">
        <v>45690.70416666667</v>
      </c>
      <c r="C1248" s="2" t="s">
        <v>1122</v>
      </c>
      <c r="D1248" s="2" t="s">
        <v>33</v>
      </c>
      <c r="E1248" s="2" t="s">
        <v>250</v>
      </c>
      <c r="F1248" s="2">
        <v>18000</v>
      </c>
      <c r="G1248" s="2">
        <v>5</v>
      </c>
      <c r="H1248" s="2">
        <v>10</v>
      </c>
      <c r="I1248">
        <f t="shared" si="95"/>
        <v>90000</v>
      </c>
      <c r="J1248">
        <f t="shared" si="96"/>
        <v>9000</v>
      </c>
      <c r="K1248" s="6">
        <f t="shared" si="97"/>
        <v>81000</v>
      </c>
      <c r="L1248" s="2">
        <v>0</v>
      </c>
      <c r="M1248" s="6">
        <f>Table1[[#This Row],[Total Sales]]+Table1[[#This Row],[Shipping Fee]]</f>
        <v>81000</v>
      </c>
      <c r="N1248" s="2" t="s">
        <v>35</v>
      </c>
      <c r="O1248" t="str">
        <f>VLOOKUP(Table1[[#This Row],[Order ID]],Status!A:B, 2,FALSE)</f>
        <v>Returned</v>
      </c>
      <c r="P1248" s="2" t="s">
        <v>46</v>
      </c>
      <c r="Q1248" s="2">
        <v>4</v>
      </c>
      <c r="R1248" s="2" t="s">
        <v>24</v>
      </c>
      <c r="S1248" s="11" t="str">
        <f t="shared" si="98"/>
        <v>Bagus</v>
      </c>
      <c r="T1248" s="2" t="str">
        <f t="shared" si="99"/>
        <v>Rendah</v>
      </c>
    </row>
    <row r="1249" spans="1:20" ht="15.75" customHeight="1" x14ac:dyDescent="0.3">
      <c r="A1249" s="4" t="s">
        <v>1121</v>
      </c>
      <c r="B1249" s="3">
        <v>45690.70416666667</v>
      </c>
      <c r="C1249" s="2" t="s">
        <v>1122</v>
      </c>
      <c r="D1249" s="2" t="s">
        <v>33</v>
      </c>
      <c r="E1249" s="2" t="s">
        <v>21</v>
      </c>
      <c r="F1249" s="2">
        <v>45000</v>
      </c>
      <c r="G1249" s="2">
        <v>4</v>
      </c>
      <c r="H1249" s="2">
        <v>15</v>
      </c>
      <c r="I1249">
        <f t="shared" si="95"/>
        <v>180000</v>
      </c>
      <c r="J1249">
        <f t="shared" si="96"/>
        <v>27000</v>
      </c>
      <c r="K1249" s="6">
        <f t="shared" si="97"/>
        <v>153000</v>
      </c>
      <c r="L1249" s="2">
        <v>76000</v>
      </c>
      <c r="M1249" s="6">
        <f>Table1[[#This Row],[Total Sales]]+Table1[[#This Row],[Shipping Fee]]</f>
        <v>229000</v>
      </c>
      <c r="N1249" s="2" t="s">
        <v>35</v>
      </c>
      <c r="O1249" t="str">
        <f>VLOOKUP(Table1[[#This Row],[Order ID]],Status!A:B, 2,FALSE)</f>
        <v>Returned</v>
      </c>
      <c r="P1249" s="2" t="s">
        <v>46</v>
      </c>
      <c r="Q1249" s="2">
        <v>4</v>
      </c>
      <c r="R1249" s="2" t="s">
        <v>24</v>
      </c>
      <c r="S1249" s="11" t="str">
        <f t="shared" si="98"/>
        <v>Bagus</v>
      </c>
      <c r="T1249" s="2" t="str">
        <f t="shared" si="99"/>
        <v>Tinggi</v>
      </c>
    </row>
    <row r="1250" spans="1:20" ht="15.75" customHeight="1" x14ac:dyDescent="0.3">
      <c r="A1250" s="4" t="s">
        <v>1119</v>
      </c>
      <c r="B1250" s="3">
        <v>45690.148148148153</v>
      </c>
      <c r="C1250" s="2" t="s">
        <v>1120</v>
      </c>
      <c r="D1250" s="2" t="s">
        <v>173</v>
      </c>
      <c r="E1250" s="2" t="s">
        <v>58</v>
      </c>
      <c r="F1250" s="2">
        <v>16000</v>
      </c>
      <c r="G1250" s="2">
        <v>4</v>
      </c>
      <c r="H1250" s="2">
        <v>15</v>
      </c>
      <c r="I1250">
        <f t="shared" si="95"/>
        <v>64000</v>
      </c>
      <c r="J1250">
        <f t="shared" si="96"/>
        <v>9600</v>
      </c>
      <c r="K1250" s="6">
        <f t="shared" si="97"/>
        <v>54400</v>
      </c>
      <c r="L1250" s="2">
        <v>49000</v>
      </c>
      <c r="M1250" s="6">
        <f>Table1[[#This Row],[Total Sales]]+Table1[[#This Row],[Shipping Fee]]</f>
        <v>103400</v>
      </c>
      <c r="N1250" s="2" t="s">
        <v>63</v>
      </c>
      <c r="O1250" t="str">
        <f>VLOOKUP(Table1[[#This Row],[Order ID]],Status!A:B, 2,FALSE)</f>
        <v>Completed</v>
      </c>
      <c r="P1250" s="2" t="s">
        <v>23</v>
      </c>
      <c r="Q1250" s="2">
        <v>4</v>
      </c>
      <c r="R1250" s="2" t="s">
        <v>24</v>
      </c>
      <c r="S1250" s="11" t="str">
        <f t="shared" si="98"/>
        <v>Bagus</v>
      </c>
      <c r="T1250" s="2" t="str">
        <f t="shared" si="99"/>
        <v>Rendah</v>
      </c>
    </row>
    <row r="1251" spans="1:20" ht="15.75" customHeight="1" x14ac:dyDescent="0.3">
      <c r="A1251" s="4" t="s">
        <v>1118</v>
      </c>
      <c r="B1251" s="3">
        <v>45690.020752314813</v>
      </c>
      <c r="C1251" s="2" t="s">
        <v>201</v>
      </c>
      <c r="D1251" s="2" t="s">
        <v>107</v>
      </c>
      <c r="E1251" s="2" t="s">
        <v>136</v>
      </c>
      <c r="F1251" s="2">
        <v>12000</v>
      </c>
      <c r="G1251" s="2">
        <v>5</v>
      </c>
      <c r="H1251" s="2">
        <v>20</v>
      </c>
      <c r="I1251">
        <f t="shared" si="95"/>
        <v>60000</v>
      </c>
      <c r="J1251">
        <f t="shared" si="96"/>
        <v>12000</v>
      </c>
      <c r="K1251" s="6">
        <f t="shared" si="97"/>
        <v>48000</v>
      </c>
      <c r="L1251" s="2">
        <v>97000</v>
      </c>
      <c r="M1251" s="6">
        <f>Table1[[#This Row],[Total Sales]]+Table1[[#This Row],[Shipping Fee]]</f>
        <v>145000</v>
      </c>
      <c r="N1251" s="2" t="s">
        <v>29</v>
      </c>
      <c r="O1251" t="str">
        <f>VLOOKUP(Table1[[#This Row],[Order ID]],Status!A:B, 2,FALSE)</f>
        <v>Completed</v>
      </c>
      <c r="P1251" s="2" t="s">
        <v>36</v>
      </c>
      <c r="Q1251" s="2">
        <v>3</v>
      </c>
      <c r="R1251" s="2" t="s">
        <v>24</v>
      </c>
      <c r="S1251" s="11" t="str">
        <f t="shared" si="98"/>
        <v>Standar</v>
      </c>
      <c r="T1251" s="2" t="str">
        <f t="shared" si="99"/>
        <v>Normal</v>
      </c>
    </row>
    <row r="1252" spans="1:20" ht="15.75" customHeight="1" x14ac:dyDescent="0.3">
      <c r="A1252" s="4" t="s">
        <v>1116</v>
      </c>
      <c r="B1252" s="3">
        <v>45689.952928240738</v>
      </c>
      <c r="C1252" s="2" t="s">
        <v>1117</v>
      </c>
      <c r="D1252" s="2" t="s">
        <v>126</v>
      </c>
      <c r="E1252" s="2" t="s">
        <v>250</v>
      </c>
      <c r="F1252" s="2">
        <v>18000</v>
      </c>
      <c r="G1252" s="2">
        <v>1</v>
      </c>
      <c r="H1252" s="2">
        <v>10</v>
      </c>
      <c r="I1252">
        <f t="shared" si="95"/>
        <v>18000</v>
      </c>
      <c r="J1252">
        <f t="shared" si="96"/>
        <v>1800</v>
      </c>
      <c r="K1252" s="6">
        <f t="shared" si="97"/>
        <v>16200</v>
      </c>
      <c r="L1252" s="2">
        <v>84000</v>
      </c>
      <c r="M1252" s="6">
        <f>Table1[[#This Row],[Total Sales]]+Table1[[#This Row],[Shipping Fee]]</f>
        <v>100200</v>
      </c>
      <c r="N1252" s="2" t="s">
        <v>63</v>
      </c>
      <c r="O1252" t="str">
        <f>VLOOKUP(Table1[[#This Row],[Order ID]],Status!A:B, 2,FALSE)</f>
        <v>Returned</v>
      </c>
      <c r="P1252" s="2" t="s">
        <v>82</v>
      </c>
      <c r="Q1252" s="2">
        <v>1</v>
      </c>
      <c r="R1252" s="2" t="s">
        <v>24</v>
      </c>
      <c r="S1252" s="11" t="str">
        <f t="shared" si="98"/>
        <v>Rendah</v>
      </c>
      <c r="T1252" s="2" t="str">
        <f t="shared" si="99"/>
        <v>Sangat Rendah</v>
      </c>
    </row>
    <row r="1253" spans="1:20" ht="15.75" customHeight="1" x14ac:dyDescent="0.3">
      <c r="A1253" s="4" t="s">
        <v>1115</v>
      </c>
      <c r="B1253" s="3">
        <v>45689.713287037041</v>
      </c>
      <c r="C1253" s="2" t="s">
        <v>570</v>
      </c>
      <c r="D1253" s="2" t="s">
        <v>80</v>
      </c>
      <c r="E1253" s="2" t="s">
        <v>123</v>
      </c>
      <c r="F1253" s="2">
        <v>22000</v>
      </c>
      <c r="G1253" s="2">
        <v>4</v>
      </c>
      <c r="H1253" s="2">
        <v>20</v>
      </c>
      <c r="I1253">
        <f t="shared" si="95"/>
        <v>88000</v>
      </c>
      <c r="J1253">
        <f t="shared" si="96"/>
        <v>17600</v>
      </c>
      <c r="K1253" s="6">
        <f t="shared" si="97"/>
        <v>70400</v>
      </c>
      <c r="L1253" s="2">
        <v>74000</v>
      </c>
      <c r="M1253" s="6">
        <f>Table1[[#This Row],[Total Sales]]+Table1[[#This Row],[Shipping Fee]]</f>
        <v>144400</v>
      </c>
      <c r="N1253" s="2" t="s">
        <v>29</v>
      </c>
      <c r="O1253" t="str">
        <f>VLOOKUP(Table1[[#This Row],[Order ID]],Status!A:B, 2,FALSE)</f>
        <v>Completed</v>
      </c>
      <c r="P1253" s="2" t="s">
        <v>46</v>
      </c>
      <c r="Q1253" s="2">
        <v>2</v>
      </c>
      <c r="R1253" s="2" t="s">
        <v>24</v>
      </c>
      <c r="S1253" s="11" t="str">
        <f t="shared" si="98"/>
        <v>Rendah</v>
      </c>
      <c r="T1253" s="2" t="str">
        <f t="shared" si="99"/>
        <v>Normal</v>
      </c>
    </row>
    <row r="1254" spans="1:20" ht="15.75" customHeight="1" x14ac:dyDescent="0.3">
      <c r="A1254" s="4" t="s">
        <v>1114</v>
      </c>
      <c r="B1254" s="3">
        <v>45689.659432870372</v>
      </c>
      <c r="C1254" s="2" t="s">
        <v>461</v>
      </c>
      <c r="D1254" s="2" t="s">
        <v>92</v>
      </c>
      <c r="E1254" s="2" t="s">
        <v>62</v>
      </c>
      <c r="F1254" s="2">
        <v>50000</v>
      </c>
      <c r="G1254" s="2">
        <v>1</v>
      </c>
      <c r="H1254" s="2">
        <v>15</v>
      </c>
      <c r="I1254">
        <f t="shared" si="95"/>
        <v>50000</v>
      </c>
      <c r="J1254">
        <f t="shared" si="96"/>
        <v>7500</v>
      </c>
      <c r="K1254" s="6">
        <f t="shared" si="97"/>
        <v>42500</v>
      </c>
      <c r="L1254" s="2">
        <v>30000</v>
      </c>
      <c r="M1254" s="6">
        <f>Table1[[#This Row],[Total Sales]]+Table1[[#This Row],[Shipping Fee]]</f>
        <v>72500</v>
      </c>
      <c r="N1254" s="2" t="s">
        <v>29</v>
      </c>
      <c r="O1254" t="str">
        <f>VLOOKUP(Table1[[#This Row],[Order ID]],Status!A:B, 2,FALSE)</f>
        <v>Completed</v>
      </c>
      <c r="P1254" s="2" t="s">
        <v>46</v>
      </c>
      <c r="Q1254" s="2">
        <v>3</v>
      </c>
      <c r="R1254" s="2" t="s">
        <v>37</v>
      </c>
      <c r="S1254" s="11" t="str">
        <f t="shared" si="98"/>
        <v>Standar</v>
      </c>
      <c r="T1254" s="2" t="str">
        <f t="shared" si="99"/>
        <v>Rendah</v>
      </c>
    </row>
    <row r="1255" spans="1:20" ht="15.75" customHeight="1" x14ac:dyDescent="0.3">
      <c r="A1255" s="4" t="s">
        <v>1113</v>
      </c>
      <c r="B1255" s="3">
        <v>45689.554756944453</v>
      </c>
      <c r="C1255" s="2" t="s">
        <v>741</v>
      </c>
      <c r="D1255" s="2" t="s">
        <v>189</v>
      </c>
      <c r="E1255" s="2" t="s">
        <v>144</v>
      </c>
      <c r="F1255" s="2">
        <v>18000</v>
      </c>
      <c r="G1255" s="2">
        <v>5</v>
      </c>
      <c r="H1255" s="2">
        <v>20</v>
      </c>
      <c r="I1255">
        <f t="shared" si="95"/>
        <v>90000</v>
      </c>
      <c r="J1255">
        <f t="shared" si="96"/>
        <v>18000</v>
      </c>
      <c r="K1255" s="6">
        <f t="shared" si="97"/>
        <v>72000</v>
      </c>
      <c r="L1255" s="2">
        <v>57000</v>
      </c>
      <c r="M1255" s="6">
        <f>Table1[[#This Row],[Total Sales]]+Table1[[#This Row],[Shipping Fee]]</f>
        <v>129000</v>
      </c>
      <c r="N1255" s="2" t="s">
        <v>22</v>
      </c>
      <c r="O1255" t="str">
        <f>VLOOKUP(Table1[[#This Row],[Order ID]],Status!A:B, 2,FALSE)</f>
        <v>Completed</v>
      </c>
      <c r="P1255" s="2" t="s">
        <v>30</v>
      </c>
      <c r="Q1255" s="2">
        <v>3</v>
      </c>
      <c r="R1255" s="2" t="s">
        <v>24</v>
      </c>
      <c r="S1255" s="11" t="str">
        <f t="shared" si="98"/>
        <v>Standar</v>
      </c>
      <c r="T1255" s="2" t="str">
        <f t="shared" si="99"/>
        <v>Normal</v>
      </c>
    </row>
    <row r="1256" spans="1:20" ht="15.75" customHeight="1" x14ac:dyDescent="0.3">
      <c r="A1256" s="4" t="s">
        <v>1112</v>
      </c>
      <c r="B1256" s="3">
        <v>45689.339363425926</v>
      </c>
      <c r="C1256" s="2" t="s">
        <v>483</v>
      </c>
      <c r="D1256" s="2" t="s">
        <v>170</v>
      </c>
      <c r="E1256" s="2" t="s">
        <v>75</v>
      </c>
      <c r="F1256" s="2">
        <v>55000</v>
      </c>
      <c r="G1256" s="2">
        <v>2</v>
      </c>
      <c r="H1256" s="2">
        <v>20</v>
      </c>
      <c r="I1256">
        <f t="shared" si="95"/>
        <v>110000</v>
      </c>
      <c r="J1256">
        <f t="shared" si="96"/>
        <v>22000</v>
      </c>
      <c r="K1256" s="6">
        <f t="shared" si="97"/>
        <v>88000</v>
      </c>
      <c r="L1256" s="2">
        <v>46000</v>
      </c>
      <c r="M1256" s="6">
        <f>Table1[[#This Row],[Total Sales]]+Table1[[#This Row],[Shipping Fee]]</f>
        <v>134000</v>
      </c>
      <c r="N1256" s="2" t="s">
        <v>22</v>
      </c>
      <c r="O1256" t="str">
        <f>VLOOKUP(Table1[[#This Row],[Order ID]],Status!A:B, 2,FALSE)</f>
        <v>Cancelled</v>
      </c>
      <c r="P1256" s="2" t="s">
        <v>30</v>
      </c>
      <c r="Q1256" s="2">
        <v>2</v>
      </c>
      <c r="R1256" s="2" t="s">
        <v>24</v>
      </c>
      <c r="S1256" s="11" t="str">
        <f t="shared" si="98"/>
        <v>Rendah</v>
      </c>
      <c r="T1256" s="2" t="str">
        <f t="shared" si="99"/>
        <v>Tinggi</v>
      </c>
    </row>
    <row r="1257" spans="1:20" ht="15.75" customHeight="1" x14ac:dyDescent="0.3">
      <c r="A1257" s="4" t="s">
        <v>1110</v>
      </c>
      <c r="B1257" s="3">
        <v>45689.042731481481</v>
      </c>
      <c r="C1257" s="2" t="s">
        <v>1111</v>
      </c>
      <c r="D1257" s="2" t="s">
        <v>151</v>
      </c>
      <c r="E1257" s="2" t="s">
        <v>138</v>
      </c>
      <c r="F1257" s="2">
        <v>17000</v>
      </c>
      <c r="G1257" s="2">
        <v>1</v>
      </c>
      <c r="H1257" s="2">
        <v>5</v>
      </c>
      <c r="I1257">
        <f t="shared" si="95"/>
        <v>17000</v>
      </c>
      <c r="J1257">
        <f t="shared" si="96"/>
        <v>850</v>
      </c>
      <c r="K1257" s="6">
        <f t="shared" si="97"/>
        <v>16150</v>
      </c>
      <c r="L1257" s="2">
        <v>55000</v>
      </c>
      <c r="M1257" s="6">
        <f>Table1[[#This Row],[Total Sales]]+Table1[[#This Row],[Shipping Fee]]</f>
        <v>71150</v>
      </c>
      <c r="N1257" s="2" t="s">
        <v>35</v>
      </c>
      <c r="O1257" t="str">
        <f>VLOOKUP(Table1[[#This Row],[Order ID]],Status!A:B, 2,FALSE)</f>
        <v>Completed</v>
      </c>
      <c r="P1257" s="2" t="s">
        <v>30</v>
      </c>
      <c r="Q1257" s="2">
        <v>2</v>
      </c>
      <c r="R1257" s="2" t="s">
        <v>37</v>
      </c>
      <c r="S1257" s="11" t="str">
        <f t="shared" si="98"/>
        <v>Rendah</v>
      </c>
      <c r="T1257" s="2" t="str">
        <f t="shared" si="99"/>
        <v>Sangat Rendah</v>
      </c>
    </row>
    <row r="1258" spans="1:20" ht="15.75" customHeight="1" x14ac:dyDescent="0.3">
      <c r="A1258" s="4" t="s">
        <v>1109</v>
      </c>
      <c r="B1258" s="3">
        <v>45689.021377314813</v>
      </c>
      <c r="C1258" s="2" t="s">
        <v>125</v>
      </c>
      <c r="D1258" s="2" t="s">
        <v>126</v>
      </c>
      <c r="E1258" s="2" t="s">
        <v>85</v>
      </c>
      <c r="F1258" s="2">
        <v>35000</v>
      </c>
      <c r="G1258" s="2">
        <v>3</v>
      </c>
      <c r="H1258" s="2">
        <v>0</v>
      </c>
      <c r="I1258">
        <f t="shared" si="95"/>
        <v>105000</v>
      </c>
      <c r="J1258">
        <f t="shared" si="96"/>
        <v>0</v>
      </c>
      <c r="K1258" s="6">
        <f t="shared" si="97"/>
        <v>105000</v>
      </c>
      <c r="L1258" s="2">
        <v>84000</v>
      </c>
      <c r="M1258" s="6">
        <f>Table1[[#This Row],[Total Sales]]+Table1[[#This Row],[Shipping Fee]]</f>
        <v>189000</v>
      </c>
      <c r="N1258" s="2" t="s">
        <v>35</v>
      </c>
      <c r="O1258" t="str">
        <f>VLOOKUP(Table1[[#This Row],[Order ID]],Status!A:B, 2,FALSE)</f>
        <v>Completed</v>
      </c>
      <c r="P1258" s="2" t="s">
        <v>36</v>
      </c>
      <c r="Q1258" s="2">
        <v>2</v>
      </c>
      <c r="R1258" s="2" t="s">
        <v>24</v>
      </c>
      <c r="S1258" s="11" t="str">
        <f t="shared" si="98"/>
        <v>Rendah</v>
      </c>
      <c r="T1258" s="2" t="str">
        <f t="shared" si="99"/>
        <v>Sangat Rendah</v>
      </c>
    </row>
    <row r="1259" spans="1:20" ht="15.75" customHeight="1" x14ac:dyDescent="0.3">
      <c r="A1259" s="4" t="s">
        <v>1108</v>
      </c>
      <c r="B1259" s="3">
        <v>45689.01189814815</v>
      </c>
      <c r="C1259" s="2" t="s">
        <v>669</v>
      </c>
      <c r="D1259" s="2" t="s">
        <v>151</v>
      </c>
      <c r="E1259" s="2" t="s">
        <v>110</v>
      </c>
      <c r="F1259" s="2">
        <v>6000</v>
      </c>
      <c r="G1259" s="2">
        <v>1</v>
      </c>
      <c r="H1259" s="2">
        <v>20</v>
      </c>
      <c r="I1259">
        <f t="shared" si="95"/>
        <v>6000</v>
      </c>
      <c r="J1259">
        <f t="shared" si="96"/>
        <v>1200</v>
      </c>
      <c r="K1259" s="6">
        <f t="shared" si="97"/>
        <v>4800</v>
      </c>
      <c r="L1259" s="2">
        <v>55000</v>
      </c>
      <c r="M1259" s="6">
        <f>Table1[[#This Row],[Total Sales]]+Table1[[#This Row],[Shipping Fee]]</f>
        <v>59800</v>
      </c>
      <c r="N1259" s="2" t="s">
        <v>63</v>
      </c>
      <c r="O1259" t="str">
        <f>VLOOKUP(Table1[[#This Row],[Order ID]],Status!A:B, 2,FALSE)</f>
        <v>Completed</v>
      </c>
      <c r="P1259" s="2" t="s">
        <v>36</v>
      </c>
      <c r="Q1259" s="2">
        <v>3</v>
      </c>
      <c r="R1259" s="2" t="s">
        <v>24</v>
      </c>
      <c r="S1259" s="11" t="str">
        <f t="shared" si="98"/>
        <v>Standar</v>
      </c>
      <c r="T1259" s="2" t="str">
        <f t="shared" si="99"/>
        <v>Sangat Rendah</v>
      </c>
    </row>
    <row r="1260" spans="1:20" ht="15.75" customHeight="1" x14ac:dyDescent="0.3">
      <c r="A1260" s="4" t="s">
        <v>1107</v>
      </c>
      <c r="B1260" s="3">
        <v>45688.908587962957</v>
      </c>
      <c r="C1260" s="2" t="s">
        <v>309</v>
      </c>
      <c r="D1260" s="2" t="s">
        <v>107</v>
      </c>
      <c r="E1260" s="2" t="s">
        <v>71</v>
      </c>
      <c r="F1260" s="2">
        <v>40000</v>
      </c>
      <c r="G1260" s="2">
        <v>3</v>
      </c>
      <c r="H1260" s="2">
        <v>5</v>
      </c>
      <c r="I1260">
        <f t="shared" si="95"/>
        <v>120000</v>
      </c>
      <c r="J1260">
        <f t="shared" si="96"/>
        <v>6000</v>
      </c>
      <c r="K1260" s="6">
        <f t="shared" si="97"/>
        <v>114000</v>
      </c>
      <c r="L1260" s="2">
        <v>97000</v>
      </c>
      <c r="M1260" s="6">
        <f>Table1[[#This Row],[Total Sales]]+Table1[[#This Row],[Shipping Fee]]</f>
        <v>211000</v>
      </c>
      <c r="N1260" s="2" t="s">
        <v>35</v>
      </c>
      <c r="O1260" t="str">
        <f>VLOOKUP(Table1[[#This Row],[Order ID]],Status!A:B, 2,FALSE)</f>
        <v>Completed</v>
      </c>
      <c r="P1260" s="2" t="s">
        <v>23</v>
      </c>
      <c r="Q1260" s="2">
        <v>3</v>
      </c>
      <c r="R1260" s="2" t="s">
        <v>37</v>
      </c>
      <c r="S1260" s="11" t="str">
        <f t="shared" si="98"/>
        <v>Standar</v>
      </c>
      <c r="T1260" s="2" t="str">
        <f t="shared" si="99"/>
        <v>Rendah</v>
      </c>
    </row>
    <row r="1261" spans="1:20" ht="15.75" customHeight="1" x14ac:dyDescent="0.3">
      <c r="A1261" s="4" t="s">
        <v>1105</v>
      </c>
      <c r="B1261" s="3">
        <v>45688.695543981477</v>
      </c>
      <c r="C1261" s="2" t="s">
        <v>1106</v>
      </c>
      <c r="D1261" s="2" t="s">
        <v>70</v>
      </c>
      <c r="E1261" s="2" t="s">
        <v>138</v>
      </c>
      <c r="F1261" s="2">
        <v>17000</v>
      </c>
      <c r="G1261" s="2">
        <v>4</v>
      </c>
      <c r="H1261" s="2">
        <v>10</v>
      </c>
      <c r="I1261">
        <f t="shared" si="95"/>
        <v>68000</v>
      </c>
      <c r="J1261">
        <f t="shared" si="96"/>
        <v>6800</v>
      </c>
      <c r="K1261" s="6">
        <f t="shared" si="97"/>
        <v>61200</v>
      </c>
      <c r="L1261" s="2">
        <v>89000</v>
      </c>
      <c r="M1261" s="6">
        <f>Table1[[#This Row],[Total Sales]]+Table1[[#This Row],[Shipping Fee]]</f>
        <v>150200</v>
      </c>
      <c r="N1261" s="2" t="s">
        <v>63</v>
      </c>
      <c r="O1261" t="str">
        <f>VLOOKUP(Table1[[#This Row],[Order ID]],Status!A:B, 2,FALSE)</f>
        <v>Cancelled</v>
      </c>
      <c r="P1261" s="2" t="s">
        <v>30</v>
      </c>
      <c r="Q1261" s="2">
        <v>1</v>
      </c>
      <c r="R1261" s="2" t="s">
        <v>24</v>
      </c>
      <c r="S1261" s="11" t="str">
        <f t="shared" si="98"/>
        <v>Rendah</v>
      </c>
      <c r="T1261" s="2" t="str">
        <f t="shared" si="99"/>
        <v>Rendah</v>
      </c>
    </row>
    <row r="1262" spans="1:20" ht="15.75" customHeight="1" x14ac:dyDescent="0.3">
      <c r="A1262" s="4" t="s">
        <v>1104</v>
      </c>
      <c r="B1262" s="3">
        <v>45688.387233796297</v>
      </c>
      <c r="C1262" s="2" t="s">
        <v>649</v>
      </c>
      <c r="D1262" s="2" t="s">
        <v>177</v>
      </c>
      <c r="E1262" s="2" t="s">
        <v>75</v>
      </c>
      <c r="F1262" s="2">
        <v>55000</v>
      </c>
      <c r="G1262" s="2">
        <v>5</v>
      </c>
      <c r="H1262" s="2">
        <v>10</v>
      </c>
      <c r="I1262">
        <f t="shared" si="95"/>
        <v>275000</v>
      </c>
      <c r="J1262">
        <f t="shared" si="96"/>
        <v>27500</v>
      </c>
      <c r="K1262" s="6">
        <f t="shared" si="97"/>
        <v>247500</v>
      </c>
      <c r="L1262" s="2">
        <v>56000</v>
      </c>
      <c r="M1262" s="6">
        <f>Table1[[#This Row],[Total Sales]]+Table1[[#This Row],[Shipping Fee]]</f>
        <v>303500</v>
      </c>
      <c r="N1262" s="2" t="s">
        <v>29</v>
      </c>
      <c r="O1262" t="str">
        <f>VLOOKUP(Table1[[#This Row],[Order ID]],Status!A:B, 2,FALSE)</f>
        <v>Completed</v>
      </c>
      <c r="P1262" s="2" t="s">
        <v>36</v>
      </c>
      <c r="Q1262" s="2">
        <v>1</v>
      </c>
      <c r="R1262" s="2" t="s">
        <v>24</v>
      </c>
      <c r="S1262" s="11" t="str">
        <f t="shared" si="98"/>
        <v>Rendah</v>
      </c>
      <c r="T1262" s="2" t="str">
        <f t="shared" si="99"/>
        <v>Tinggi</v>
      </c>
    </row>
    <row r="1263" spans="1:20" ht="15.75" customHeight="1" x14ac:dyDescent="0.3">
      <c r="A1263" s="4" t="s">
        <v>1103</v>
      </c>
      <c r="B1263" s="3">
        <v>45688.090949074067</v>
      </c>
      <c r="C1263" s="2" t="s">
        <v>488</v>
      </c>
      <c r="D1263" s="2" t="s">
        <v>49</v>
      </c>
      <c r="E1263" s="2" t="s">
        <v>123</v>
      </c>
      <c r="F1263" s="2">
        <v>22000</v>
      </c>
      <c r="G1263" s="2">
        <v>5</v>
      </c>
      <c r="H1263" s="2">
        <v>10</v>
      </c>
      <c r="I1263">
        <f t="shared" si="95"/>
        <v>110000</v>
      </c>
      <c r="J1263">
        <f t="shared" si="96"/>
        <v>11000</v>
      </c>
      <c r="K1263" s="6">
        <f t="shared" si="97"/>
        <v>99000</v>
      </c>
      <c r="L1263" s="2">
        <v>43000</v>
      </c>
      <c r="M1263" s="6">
        <f>Table1[[#This Row],[Total Sales]]+Table1[[#This Row],[Shipping Fee]]</f>
        <v>142000</v>
      </c>
      <c r="N1263" s="2" t="s">
        <v>35</v>
      </c>
      <c r="O1263" t="str">
        <f>VLOOKUP(Table1[[#This Row],[Order ID]],Status!A:B, 2,FALSE)</f>
        <v>Completed</v>
      </c>
      <c r="P1263" s="2" t="s">
        <v>46</v>
      </c>
      <c r="Q1263" s="2">
        <v>4</v>
      </c>
      <c r="R1263" s="2" t="s">
        <v>24</v>
      </c>
      <c r="S1263" s="11" t="str">
        <f t="shared" si="98"/>
        <v>Bagus</v>
      </c>
      <c r="T1263" s="2" t="str">
        <f t="shared" si="99"/>
        <v>Normal</v>
      </c>
    </row>
    <row r="1264" spans="1:20" ht="15.75" customHeight="1" x14ac:dyDescent="0.3">
      <c r="A1264" s="4" t="s">
        <v>1102</v>
      </c>
      <c r="B1264" s="3">
        <v>45688.018125000002</v>
      </c>
      <c r="C1264" s="2" t="s">
        <v>638</v>
      </c>
      <c r="D1264" s="2" t="s">
        <v>195</v>
      </c>
      <c r="E1264" s="2" t="s">
        <v>41</v>
      </c>
      <c r="F1264" s="2">
        <v>4000</v>
      </c>
      <c r="G1264" s="2">
        <v>5</v>
      </c>
      <c r="H1264" s="2">
        <v>0</v>
      </c>
      <c r="I1264">
        <f t="shared" si="95"/>
        <v>20000</v>
      </c>
      <c r="J1264">
        <f t="shared" si="96"/>
        <v>0</v>
      </c>
      <c r="K1264" s="6">
        <f t="shared" si="97"/>
        <v>20000</v>
      </c>
      <c r="L1264" s="2">
        <v>87000</v>
      </c>
      <c r="M1264" s="6">
        <f>Table1[[#This Row],[Total Sales]]+Table1[[#This Row],[Shipping Fee]]</f>
        <v>107000</v>
      </c>
      <c r="N1264" s="2" t="s">
        <v>22</v>
      </c>
      <c r="O1264" t="str">
        <f>VLOOKUP(Table1[[#This Row],[Order ID]],Status!A:B, 2,FALSE)</f>
        <v>Completed</v>
      </c>
      <c r="P1264" s="2" t="s">
        <v>46</v>
      </c>
      <c r="Q1264" s="2">
        <v>3</v>
      </c>
      <c r="R1264" s="2" t="s">
        <v>37</v>
      </c>
      <c r="S1264" s="11" t="str">
        <f t="shared" si="98"/>
        <v>Standar</v>
      </c>
      <c r="T1264" s="2" t="str">
        <f t="shared" si="99"/>
        <v>Sangat Rendah</v>
      </c>
    </row>
    <row r="1265" spans="1:20" ht="15.75" customHeight="1" x14ac:dyDescent="0.3">
      <c r="A1265" s="4" t="s">
        <v>1101</v>
      </c>
      <c r="B1265" s="3">
        <v>45687.905613425923</v>
      </c>
      <c r="C1265" s="2" t="s">
        <v>52</v>
      </c>
      <c r="D1265" s="2" t="s">
        <v>53</v>
      </c>
      <c r="E1265" s="2" t="s">
        <v>50</v>
      </c>
      <c r="F1265" s="2">
        <v>14000</v>
      </c>
      <c r="G1265" s="2">
        <v>1</v>
      </c>
      <c r="H1265" s="2">
        <v>15</v>
      </c>
      <c r="I1265">
        <f t="shared" si="95"/>
        <v>14000</v>
      </c>
      <c r="J1265">
        <f t="shared" si="96"/>
        <v>2100</v>
      </c>
      <c r="K1265" s="6">
        <f t="shared" si="97"/>
        <v>11900</v>
      </c>
      <c r="L1265" s="2">
        <v>18000</v>
      </c>
      <c r="M1265" s="6">
        <f>Table1[[#This Row],[Total Sales]]+Table1[[#This Row],[Shipping Fee]]</f>
        <v>29900</v>
      </c>
      <c r="N1265" s="2" t="s">
        <v>29</v>
      </c>
      <c r="O1265" t="str">
        <f>VLOOKUP(Table1[[#This Row],[Order ID]],Status!A:B, 2,FALSE)</f>
        <v>Completed</v>
      </c>
      <c r="P1265" s="2" t="s">
        <v>82</v>
      </c>
      <c r="Q1265" s="2">
        <v>4</v>
      </c>
      <c r="R1265" s="2" t="s">
        <v>24</v>
      </c>
      <c r="S1265" s="11" t="str">
        <f t="shared" si="98"/>
        <v>Bagus</v>
      </c>
      <c r="T1265" s="2" t="str">
        <f t="shared" si="99"/>
        <v>Sangat Rendah</v>
      </c>
    </row>
    <row r="1266" spans="1:20" ht="15.75" customHeight="1" x14ac:dyDescent="0.3">
      <c r="A1266" s="4" t="s">
        <v>1100</v>
      </c>
      <c r="B1266" s="3">
        <v>45687.633761574078</v>
      </c>
      <c r="C1266" s="2" t="s">
        <v>598</v>
      </c>
      <c r="D1266" s="2" t="s">
        <v>61</v>
      </c>
      <c r="E1266" s="2" t="s">
        <v>41</v>
      </c>
      <c r="F1266" s="2">
        <v>4000</v>
      </c>
      <c r="G1266" s="2">
        <v>2</v>
      </c>
      <c r="H1266" s="2">
        <v>5</v>
      </c>
      <c r="I1266">
        <f t="shared" si="95"/>
        <v>8000</v>
      </c>
      <c r="J1266">
        <f t="shared" si="96"/>
        <v>400</v>
      </c>
      <c r="K1266" s="6">
        <f t="shared" si="97"/>
        <v>7600</v>
      </c>
      <c r="L1266" s="2">
        <v>26000</v>
      </c>
      <c r="M1266" s="6">
        <f>Table1[[#This Row],[Total Sales]]+Table1[[#This Row],[Shipping Fee]]</f>
        <v>33600</v>
      </c>
      <c r="N1266" s="2" t="s">
        <v>29</v>
      </c>
      <c r="O1266" t="str">
        <f>VLOOKUP(Table1[[#This Row],[Order ID]],Status!A:B, 2,FALSE)</f>
        <v>Completed</v>
      </c>
      <c r="P1266" s="2" t="s">
        <v>36</v>
      </c>
      <c r="Q1266" s="2">
        <v>1</v>
      </c>
      <c r="R1266" s="2" t="s">
        <v>24</v>
      </c>
      <c r="S1266" s="11" t="str">
        <f t="shared" si="98"/>
        <v>Rendah</v>
      </c>
      <c r="T1266" s="2" t="str">
        <f t="shared" si="99"/>
        <v>Sangat Rendah</v>
      </c>
    </row>
    <row r="1267" spans="1:20" ht="15.75" customHeight="1" x14ac:dyDescent="0.3">
      <c r="A1267" s="4" t="s">
        <v>1100</v>
      </c>
      <c r="B1267" s="3">
        <v>45687.633761574078</v>
      </c>
      <c r="C1267" s="2" t="s">
        <v>598</v>
      </c>
      <c r="D1267" s="2" t="s">
        <v>61</v>
      </c>
      <c r="E1267" s="2" t="s">
        <v>110</v>
      </c>
      <c r="F1267" s="2">
        <v>6000</v>
      </c>
      <c r="G1267" s="2">
        <v>1</v>
      </c>
      <c r="H1267" s="2">
        <v>20</v>
      </c>
      <c r="I1267">
        <f t="shared" si="95"/>
        <v>6000</v>
      </c>
      <c r="J1267">
        <f t="shared" si="96"/>
        <v>1200</v>
      </c>
      <c r="K1267" s="6">
        <f t="shared" si="97"/>
        <v>4800</v>
      </c>
      <c r="L1267" s="2">
        <v>0</v>
      </c>
      <c r="M1267" s="6">
        <f>Table1[[#This Row],[Total Sales]]+Table1[[#This Row],[Shipping Fee]]</f>
        <v>4800</v>
      </c>
      <c r="N1267" s="2" t="s">
        <v>29</v>
      </c>
      <c r="O1267" t="str">
        <f>VLOOKUP(Table1[[#This Row],[Order ID]],Status!A:B, 2,FALSE)</f>
        <v>Completed</v>
      </c>
      <c r="P1267" s="2" t="s">
        <v>36</v>
      </c>
      <c r="Q1267" s="2">
        <v>1</v>
      </c>
      <c r="R1267" s="2" t="s">
        <v>24</v>
      </c>
      <c r="S1267" s="11" t="str">
        <f t="shared" si="98"/>
        <v>Rendah</v>
      </c>
      <c r="T1267" s="2" t="str">
        <f t="shared" si="99"/>
        <v>Sangat Rendah</v>
      </c>
    </row>
    <row r="1268" spans="1:20" ht="15.75" customHeight="1" x14ac:dyDescent="0.3">
      <c r="A1268" s="4" t="s">
        <v>1099</v>
      </c>
      <c r="B1268" s="3">
        <v>45686.779074074067</v>
      </c>
      <c r="C1268" s="2" t="s">
        <v>340</v>
      </c>
      <c r="D1268" s="2" t="s">
        <v>126</v>
      </c>
      <c r="E1268" s="2" t="s">
        <v>28</v>
      </c>
      <c r="F1268" s="2">
        <v>5000</v>
      </c>
      <c r="G1268" s="2">
        <v>3</v>
      </c>
      <c r="H1268" s="2">
        <v>15</v>
      </c>
      <c r="I1268">
        <f t="shared" si="95"/>
        <v>15000</v>
      </c>
      <c r="J1268">
        <f t="shared" si="96"/>
        <v>2250</v>
      </c>
      <c r="K1268" s="6">
        <f t="shared" si="97"/>
        <v>12750</v>
      </c>
      <c r="L1268" s="2">
        <v>84000</v>
      </c>
      <c r="M1268" s="6">
        <f>Table1[[#This Row],[Total Sales]]+Table1[[#This Row],[Shipping Fee]]</f>
        <v>96750</v>
      </c>
      <c r="N1268" s="2" t="s">
        <v>29</v>
      </c>
      <c r="O1268" t="str">
        <f>VLOOKUP(Table1[[#This Row],[Order ID]],Status!A:B, 2,FALSE)</f>
        <v>Completed</v>
      </c>
      <c r="P1268" s="2" t="s">
        <v>36</v>
      </c>
      <c r="Q1268" s="2">
        <v>4</v>
      </c>
      <c r="R1268" s="2" t="s">
        <v>37</v>
      </c>
      <c r="S1268" s="11" t="str">
        <f t="shared" si="98"/>
        <v>Bagus</v>
      </c>
      <c r="T1268" s="2" t="str">
        <f t="shared" si="99"/>
        <v>Sangat Rendah</v>
      </c>
    </row>
    <row r="1269" spans="1:20" ht="15.75" customHeight="1" x14ac:dyDescent="0.3">
      <c r="A1269" s="4" t="s">
        <v>1097</v>
      </c>
      <c r="B1269" s="3">
        <v>45686.323159722233</v>
      </c>
      <c r="C1269" s="2" t="s">
        <v>1098</v>
      </c>
      <c r="D1269" s="2" t="s">
        <v>126</v>
      </c>
      <c r="E1269" s="2" t="s">
        <v>58</v>
      </c>
      <c r="F1269" s="2">
        <v>16000</v>
      </c>
      <c r="G1269" s="2">
        <v>1</v>
      </c>
      <c r="H1269" s="2">
        <v>10</v>
      </c>
      <c r="I1269">
        <f t="shared" si="95"/>
        <v>16000</v>
      </c>
      <c r="J1269">
        <f t="shared" si="96"/>
        <v>1600</v>
      </c>
      <c r="K1269" s="6">
        <f t="shared" si="97"/>
        <v>14400</v>
      </c>
      <c r="L1269" s="2">
        <v>84000</v>
      </c>
      <c r="M1269" s="6">
        <f>Table1[[#This Row],[Total Sales]]+Table1[[#This Row],[Shipping Fee]]</f>
        <v>98400</v>
      </c>
      <c r="N1269" s="2" t="s">
        <v>22</v>
      </c>
      <c r="O1269" t="str">
        <f>VLOOKUP(Table1[[#This Row],[Order ID]],Status!A:B, 2,FALSE)</f>
        <v>Completed</v>
      </c>
      <c r="P1269" s="2" t="s">
        <v>82</v>
      </c>
      <c r="Q1269" s="2">
        <v>2</v>
      </c>
      <c r="R1269" s="2" t="s">
        <v>37</v>
      </c>
      <c r="S1269" s="11" t="str">
        <f t="shared" si="98"/>
        <v>Rendah</v>
      </c>
      <c r="T1269" s="2" t="str">
        <f t="shared" si="99"/>
        <v>Sangat Rendah</v>
      </c>
    </row>
    <row r="1270" spans="1:20" ht="15.75" customHeight="1" x14ac:dyDescent="0.3">
      <c r="A1270" s="4" t="s">
        <v>1096</v>
      </c>
      <c r="B1270" s="3">
        <v>45686.161377314813</v>
      </c>
      <c r="C1270" s="2" t="s">
        <v>389</v>
      </c>
      <c r="D1270" s="2" t="s">
        <v>182</v>
      </c>
      <c r="E1270" s="2" t="s">
        <v>88</v>
      </c>
      <c r="F1270" s="2">
        <v>14000</v>
      </c>
      <c r="G1270" s="2">
        <v>2</v>
      </c>
      <c r="H1270" s="2">
        <v>10</v>
      </c>
      <c r="I1270">
        <f t="shared" si="95"/>
        <v>28000</v>
      </c>
      <c r="J1270">
        <f t="shared" si="96"/>
        <v>2800</v>
      </c>
      <c r="K1270" s="6">
        <f t="shared" si="97"/>
        <v>25200</v>
      </c>
      <c r="L1270" s="2">
        <v>48000</v>
      </c>
      <c r="M1270" s="6">
        <f>Table1[[#This Row],[Total Sales]]+Table1[[#This Row],[Shipping Fee]]</f>
        <v>73200</v>
      </c>
      <c r="N1270" s="2" t="s">
        <v>35</v>
      </c>
      <c r="O1270" t="str">
        <f>VLOOKUP(Table1[[#This Row],[Order ID]],Status!A:B, 2,FALSE)</f>
        <v>Completed</v>
      </c>
      <c r="P1270" s="2" t="s">
        <v>23</v>
      </c>
      <c r="Q1270" s="2">
        <v>4</v>
      </c>
      <c r="R1270" s="2" t="s">
        <v>24</v>
      </c>
      <c r="S1270" s="11" t="str">
        <f t="shared" si="98"/>
        <v>Bagus</v>
      </c>
      <c r="T1270" s="2" t="str">
        <f t="shared" si="99"/>
        <v>Sangat Rendah</v>
      </c>
    </row>
    <row r="1271" spans="1:20" ht="15.75" customHeight="1" x14ac:dyDescent="0.3">
      <c r="A1271" s="4" t="s">
        <v>1095</v>
      </c>
      <c r="B1271" s="3">
        <v>45686.106516203698</v>
      </c>
      <c r="C1271" s="2" t="s">
        <v>875</v>
      </c>
      <c r="D1271" s="2" t="s">
        <v>170</v>
      </c>
      <c r="E1271" s="2" t="s">
        <v>93</v>
      </c>
      <c r="F1271" s="2">
        <v>25000</v>
      </c>
      <c r="G1271" s="2">
        <v>4</v>
      </c>
      <c r="H1271" s="2">
        <v>0</v>
      </c>
      <c r="I1271">
        <f t="shared" si="95"/>
        <v>100000</v>
      </c>
      <c r="J1271">
        <f t="shared" si="96"/>
        <v>0</v>
      </c>
      <c r="K1271" s="6">
        <f t="shared" si="97"/>
        <v>100000</v>
      </c>
      <c r="L1271" s="2">
        <v>46000</v>
      </c>
      <c r="M1271" s="6">
        <f>Table1[[#This Row],[Total Sales]]+Table1[[#This Row],[Shipping Fee]]</f>
        <v>146000</v>
      </c>
      <c r="N1271" s="2" t="s">
        <v>63</v>
      </c>
      <c r="O1271" t="str">
        <f>VLOOKUP(Table1[[#This Row],[Order ID]],Status!A:B, 2,FALSE)</f>
        <v>Completed</v>
      </c>
      <c r="P1271" s="2" t="s">
        <v>30</v>
      </c>
      <c r="Q1271" s="2">
        <v>1</v>
      </c>
      <c r="R1271" s="2" t="s">
        <v>24</v>
      </c>
      <c r="S1271" s="11" t="str">
        <f t="shared" si="98"/>
        <v>Rendah</v>
      </c>
      <c r="T1271" s="2" t="str">
        <f t="shared" si="99"/>
        <v>Sangat Rendah</v>
      </c>
    </row>
    <row r="1272" spans="1:20" ht="15.75" customHeight="1" x14ac:dyDescent="0.3">
      <c r="A1272" s="4" t="s">
        <v>1094</v>
      </c>
      <c r="B1272" s="3">
        <v>45685.746377314812</v>
      </c>
      <c r="C1272" s="2" t="s">
        <v>1069</v>
      </c>
      <c r="D1272" s="2" t="s">
        <v>189</v>
      </c>
      <c r="E1272" s="2" t="s">
        <v>28</v>
      </c>
      <c r="F1272" s="2">
        <v>5000</v>
      </c>
      <c r="G1272" s="2">
        <v>1</v>
      </c>
      <c r="H1272" s="2">
        <v>15</v>
      </c>
      <c r="I1272">
        <f t="shared" si="95"/>
        <v>5000</v>
      </c>
      <c r="J1272">
        <f t="shared" si="96"/>
        <v>750</v>
      </c>
      <c r="K1272" s="6">
        <f t="shared" si="97"/>
        <v>4250</v>
      </c>
      <c r="L1272" s="2">
        <v>57000</v>
      </c>
      <c r="M1272" s="6">
        <f>Table1[[#This Row],[Total Sales]]+Table1[[#This Row],[Shipping Fee]]</f>
        <v>61250</v>
      </c>
      <c r="N1272" s="2" t="s">
        <v>35</v>
      </c>
      <c r="O1272" t="str">
        <f>VLOOKUP(Table1[[#This Row],[Order ID]],Status!A:B, 2,FALSE)</f>
        <v>Completed</v>
      </c>
      <c r="P1272" s="2" t="s">
        <v>36</v>
      </c>
      <c r="Q1272" s="2">
        <v>2</v>
      </c>
      <c r="R1272" s="2" t="s">
        <v>24</v>
      </c>
      <c r="S1272" s="11" t="str">
        <f t="shared" si="98"/>
        <v>Rendah</v>
      </c>
      <c r="T1272" s="2" t="str">
        <f t="shared" si="99"/>
        <v>Sangat Rendah</v>
      </c>
    </row>
    <row r="1273" spans="1:20" ht="15.75" customHeight="1" x14ac:dyDescent="0.3">
      <c r="A1273" s="4" t="s">
        <v>1093</v>
      </c>
      <c r="B1273" s="3">
        <v>45685.369444444441</v>
      </c>
      <c r="C1273" s="2" t="s">
        <v>40</v>
      </c>
      <c r="D1273" s="2" t="s">
        <v>27</v>
      </c>
      <c r="E1273" s="2" t="s">
        <v>88</v>
      </c>
      <c r="F1273" s="2">
        <v>14000</v>
      </c>
      <c r="G1273" s="2">
        <v>2</v>
      </c>
      <c r="H1273" s="2">
        <v>15</v>
      </c>
      <c r="I1273">
        <f t="shared" si="95"/>
        <v>28000</v>
      </c>
      <c r="J1273">
        <f t="shared" si="96"/>
        <v>4200</v>
      </c>
      <c r="K1273" s="6">
        <f t="shared" si="97"/>
        <v>23800</v>
      </c>
      <c r="L1273" s="2">
        <v>17000</v>
      </c>
      <c r="M1273" s="6">
        <f>Table1[[#This Row],[Total Sales]]+Table1[[#This Row],[Shipping Fee]]</f>
        <v>40800</v>
      </c>
      <c r="N1273" s="2" t="s">
        <v>29</v>
      </c>
      <c r="O1273" t="str">
        <f>VLOOKUP(Table1[[#This Row],[Order ID]],Status!A:B, 2,FALSE)</f>
        <v>Completed</v>
      </c>
      <c r="P1273" s="2" t="s">
        <v>23</v>
      </c>
      <c r="Q1273" s="2">
        <v>4</v>
      </c>
      <c r="R1273" s="2" t="s">
        <v>24</v>
      </c>
      <c r="S1273" s="11" t="str">
        <f t="shared" si="98"/>
        <v>Bagus</v>
      </c>
      <c r="T1273" s="2" t="str">
        <f t="shared" si="99"/>
        <v>Sangat Rendah</v>
      </c>
    </row>
    <row r="1274" spans="1:20" ht="15.75" customHeight="1" x14ac:dyDescent="0.3">
      <c r="A1274" s="4" t="s">
        <v>1092</v>
      </c>
      <c r="B1274" s="3">
        <v>45685.353761574072</v>
      </c>
      <c r="C1274" s="2" t="s">
        <v>596</v>
      </c>
      <c r="D1274" s="2" t="s">
        <v>70</v>
      </c>
      <c r="E1274" s="2" t="s">
        <v>45</v>
      </c>
      <c r="F1274" s="2">
        <v>40000</v>
      </c>
      <c r="G1274" s="2">
        <v>1</v>
      </c>
      <c r="H1274" s="2">
        <v>15</v>
      </c>
      <c r="I1274">
        <f t="shared" si="95"/>
        <v>40000</v>
      </c>
      <c r="J1274">
        <f t="shared" si="96"/>
        <v>6000</v>
      </c>
      <c r="K1274" s="6">
        <f t="shared" si="97"/>
        <v>34000</v>
      </c>
      <c r="L1274" s="2">
        <v>89000</v>
      </c>
      <c r="M1274" s="6">
        <f>Table1[[#This Row],[Total Sales]]+Table1[[#This Row],[Shipping Fee]]</f>
        <v>123000</v>
      </c>
      <c r="N1274" s="2" t="s">
        <v>29</v>
      </c>
      <c r="O1274" t="str">
        <f>VLOOKUP(Table1[[#This Row],[Order ID]],Status!A:B, 2,FALSE)</f>
        <v>Completed</v>
      </c>
      <c r="P1274" s="2" t="s">
        <v>30</v>
      </c>
      <c r="Q1274" s="2">
        <v>4</v>
      </c>
      <c r="R1274" s="2" t="s">
        <v>24</v>
      </c>
      <c r="S1274" s="11" t="str">
        <f t="shared" si="98"/>
        <v>Bagus</v>
      </c>
      <c r="T1274" s="2" t="str">
        <f t="shared" si="99"/>
        <v>Rendah</v>
      </c>
    </row>
    <row r="1275" spans="1:20" ht="15.75" customHeight="1" x14ac:dyDescent="0.3">
      <c r="A1275" s="4" t="s">
        <v>1090</v>
      </c>
      <c r="B1275" s="3">
        <v>45684.688935185193</v>
      </c>
      <c r="C1275" s="2" t="s">
        <v>1091</v>
      </c>
      <c r="D1275" s="2" t="s">
        <v>160</v>
      </c>
      <c r="E1275" s="2" t="s">
        <v>62</v>
      </c>
      <c r="F1275" s="2">
        <v>50000</v>
      </c>
      <c r="G1275" s="2">
        <v>2</v>
      </c>
      <c r="H1275" s="2">
        <v>10</v>
      </c>
      <c r="I1275">
        <f t="shared" si="95"/>
        <v>100000</v>
      </c>
      <c r="J1275">
        <f t="shared" si="96"/>
        <v>10000</v>
      </c>
      <c r="K1275" s="6">
        <f t="shared" si="97"/>
        <v>90000</v>
      </c>
      <c r="L1275" s="2">
        <v>68000</v>
      </c>
      <c r="M1275" s="6">
        <f>Table1[[#This Row],[Total Sales]]+Table1[[#This Row],[Shipping Fee]]</f>
        <v>158000</v>
      </c>
      <c r="N1275" s="2" t="s">
        <v>22</v>
      </c>
      <c r="O1275" t="str">
        <f>VLOOKUP(Table1[[#This Row],[Order ID]],Status!A:B, 2,FALSE)</f>
        <v>Completed</v>
      </c>
      <c r="P1275" s="2" t="s">
        <v>30</v>
      </c>
      <c r="Q1275" s="2">
        <v>4</v>
      </c>
      <c r="R1275" s="2" t="s">
        <v>37</v>
      </c>
      <c r="S1275" s="11" t="str">
        <f t="shared" si="98"/>
        <v>Bagus</v>
      </c>
      <c r="T1275" s="2" t="str">
        <f t="shared" si="99"/>
        <v>Rendah</v>
      </c>
    </row>
    <row r="1276" spans="1:20" ht="15.75" customHeight="1" x14ac:dyDescent="0.3">
      <c r="A1276" s="4" t="s">
        <v>1089</v>
      </c>
      <c r="B1276" s="3">
        <v>45684.484722222223</v>
      </c>
      <c r="C1276" s="2" t="s">
        <v>412</v>
      </c>
      <c r="D1276" s="2" t="s">
        <v>70</v>
      </c>
      <c r="E1276" s="2" t="s">
        <v>110</v>
      </c>
      <c r="F1276" s="2">
        <v>6000</v>
      </c>
      <c r="G1276" s="2">
        <v>5</v>
      </c>
      <c r="H1276" s="2">
        <v>10</v>
      </c>
      <c r="I1276">
        <f t="shared" si="95"/>
        <v>30000</v>
      </c>
      <c r="J1276">
        <f t="shared" si="96"/>
        <v>3000</v>
      </c>
      <c r="K1276" s="6">
        <f t="shared" si="97"/>
        <v>27000</v>
      </c>
      <c r="L1276" s="2">
        <v>89000</v>
      </c>
      <c r="M1276" s="6">
        <f>Table1[[#This Row],[Total Sales]]+Table1[[#This Row],[Shipping Fee]]</f>
        <v>116000</v>
      </c>
      <c r="N1276" s="2" t="s">
        <v>22</v>
      </c>
      <c r="O1276" t="str">
        <f>VLOOKUP(Table1[[#This Row],[Order ID]],Status!A:B, 2,FALSE)</f>
        <v>Returned</v>
      </c>
      <c r="P1276" s="2" t="s">
        <v>36</v>
      </c>
      <c r="Q1276" s="2">
        <v>5</v>
      </c>
      <c r="R1276" s="2" t="s">
        <v>24</v>
      </c>
      <c r="S1276" s="11" t="str">
        <f t="shared" si="98"/>
        <v>Bagus</v>
      </c>
      <c r="T1276" s="2" t="str">
        <f t="shared" si="99"/>
        <v>Sangat Rendah</v>
      </c>
    </row>
    <row r="1277" spans="1:20" ht="15.75" customHeight="1" x14ac:dyDescent="0.3">
      <c r="A1277" s="4" t="s">
        <v>1088</v>
      </c>
      <c r="B1277" s="3">
        <v>45683.790763888886</v>
      </c>
      <c r="C1277" s="2" t="s">
        <v>763</v>
      </c>
      <c r="D1277" s="2" t="s">
        <v>74</v>
      </c>
      <c r="E1277" s="2" t="s">
        <v>81</v>
      </c>
      <c r="F1277" s="2">
        <v>17000</v>
      </c>
      <c r="G1277" s="2">
        <v>4</v>
      </c>
      <c r="H1277" s="2">
        <v>0</v>
      </c>
      <c r="I1277">
        <f t="shared" si="95"/>
        <v>68000</v>
      </c>
      <c r="J1277">
        <f t="shared" si="96"/>
        <v>0</v>
      </c>
      <c r="K1277" s="6">
        <f t="shared" si="97"/>
        <v>68000</v>
      </c>
      <c r="L1277" s="2">
        <v>87000</v>
      </c>
      <c r="M1277" s="6">
        <f>Table1[[#This Row],[Total Sales]]+Table1[[#This Row],[Shipping Fee]]</f>
        <v>155000</v>
      </c>
      <c r="N1277" s="2" t="s">
        <v>63</v>
      </c>
      <c r="O1277" t="str">
        <f>VLOOKUP(Table1[[#This Row],[Order ID]],Status!A:B, 2,FALSE)</f>
        <v>Completed</v>
      </c>
      <c r="P1277" s="2" t="s">
        <v>82</v>
      </c>
      <c r="Q1277" s="2">
        <v>4</v>
      </c>
      <c r="R1277" s="2" t="s">
        <v>24</v>
      </c>
      <c r="S1277" s="11" t="str">
        <f t="shared" si="98"/>
        <v>Bagus</v>
      </c>
      <c r="T1277" s="2" t="str">
        <f t="shared" si="99"/>
        <v>Sangat Rendah</v>
      </c>
    </row>
    <row r="1278" spans="1:20" ht="15.75" customHeight="1" x14ac:dyDescent="0.3">
      <c r="A1278" s="4" t="s">
        <v>1086</v>
      </c>
      <c r="B1278" s="3">
        <v>45683.758414351847</v>
      </c>
      <c r="C1278" s="2" t="s">
        <v>1087</v>
      </c>
      <c r="D1278" s="2" t="s">
        <v>143</v>
      </c>
      <c r="E1278" s="2" t="s">
        <v>21</v>
      </c>
      <c r="F1278" s="2">
        <v>45000</v>
      </c>
      <c r="G1278" s="2">
        <v>5</v>
      </c>
      <c r="H1278" s="2">
        <v>0</v>
      </c>
      <c r="I1278">
        <f t="shared" si="95"/>
        <v>225000</v>
      </c>
      <c r="J1278">
        <f t="shared" si="96"/>
        <v>0</v>
      </c>
      <c r="K1278" s="6">
        <f t="shared" si="97"/>
        <v>225000</v>
      </c>
      <c r="L1278" s="2">
        <v>50000</v>
      </c>
      <c r="M1278" s="6">
        <f>Table1[[#This Row],[Total Sales]]+Table1[[#This Row],[Shipping Fee]]</f>
        <v>275000</v>
      </c>
      <c r="N1278" s="2" t="s">
        <v>29</v>
      </c>
      <c r="O1278" t="str">
        <f>VLOOKUP(Table1[[#This Row],[Order ID]],Status!A:B, 2,FALSE)</f>
        <v>Completed</v>
      </c>
      <c r="P1278" s="2" t="s">
        <v>82</v>
      </c>
      <c r="Q1278" s="2">
        <v>5</v>
      </c>
      <c r="R1278" s="2" t="s">
        <v>24</v>
      </c>
      <c r="S1278" s="11" t="str">
        <f t="shared" si="98"/>
        <v>Bagus</v>
      </c>
      <c r="T1278" s="2" t="str">
        <f t="shared" si="99"/>
        <v>Sangat Rendah</v>
      </c>
    </row>
    <row r="1279" spans="1:20" ht="15.75" customHeight="1" x14ac:dyDescent="0.3">
      <c r="A1279" s="4" t="s">
        <v>1085</v>
      </c>
      <c r="B1279" s="3">
        <v>45683.608252314807</v>
      </c>
      <c r="C1279" s="2" t="s">
        <v>408</v>
      </c>
      <c r="D1279" s="2" t="s">
        <v>74</v>
      </c>
      <c r="E1279" s="2" t="s">
        <v>50</v>
      </c>
      <c r="F1279" s="2">
        <v>14000</v>
      </c>
      <c r="G1279" s="2">
        <v>2</v>
      </c>
      <c r="H1279" s="2">
        <v>15</v>
      </c>
      <c r="I1279">
        <f t="shared" si="95"/>
        <v>28000</v>
      </c>
      <c r="J1279">
        <f t="shared" si="96"/>
        <v>4200</v>
      </c>
      <c r="K1279" s="6">
        <f t="shared" si="97"/>
        <v>23800</v>
      </c>
      <c r="L1279" s="2">
        <v>87000</v>
      </c>
      <c r="M1279" s="6">
        <f>Table1[[#This Row],[Total Sales]]+Table1[[#This Row],[Shipping Fee]]</f>
        <v>110800</v>
      </c>
      <c r="N1279" s="2" t="s">
        <v>22</v>
      </c>
      <c r="O1279" t="str">
        <f>VLOOKUP(Table1[[#This Row],[Order ID]],Status!A:B, 2,FALSE)</f>
        <v>Completed</v>
      </c>
      <c r="P1279" s="2" t="s">
        <v>82</v>
      </c>
      <c r="Q1279" s="2">
        <v>3</v>
      </c>
      <c r="R1279" s="2" t="s">
        <v>24</v>
      </c>
      <c r="S1279" s="11" t="str">
        <f t="shared" si="98"/>
        <v>Standar</v>
      </c>
      <c r="T1279" s="2" t="str">
        <f t="shared" si="99"/>
        <v>Sangat Rendah</v>
      </c>
    </row>
    <row r="1280" spans="1:20" ht="15.75" customHeight="1" x14ac:dyDescent="0.3">
      <c r="A1280" s="4" t="s">
        <v>1084</v>
      </c>
      <c r="B1280" s="3">
        <v>45683.408587962957</v>
      </c>
      <c r="C1280" s="2" t="s">
        <v>959</v>
      </c>
      <c r="D1280" s="2" t="s">
        <v>182</v>
      </c>
      <c r="E1280" s="2" t="s">
        <v>93</v>
      </c>
      <c r="F1280" s="2">
        <v>25000</v>
      </c>
      <c r="G1280" s="2">
        <v>5</v>
      </c>
      <c r="H1280" s="2">
        <v>0</v>
      </c>
      <c r="I1280">
        <f t="shared" si="95"/>
        <v>125000</v>
      </c>
      <c r="J1280">
        <f t="shared" si="96"/>
        <v>0</v>
      </c>
      <c r="K1280" s="6">
        <f t="shared" si="97"/>
        <v>125000</v>
      </c>
      <c r="L1280" s="2">
        <v>48000</v>
      </c>
      <c r="M1280" s="6">
        <f>Table1[[#This Row],[Total Sales]]+Table1[[#This Row],[Shipping Fee]]</f>
        <v>173000</v>
      </c>
      <c r="N1280" s="2" t="s">
        <v>35</v>
      </c>
      <c r="O1280" t="str">
        <f>VLOOKUP(Table1[[#This Row],[Order ID]],Status!A:B, 2,FALSE)</f>
        <v>Completed</v>
      </c>
      <c r="P1280" s="2" t="s">
        <v>23</v>
      </c>
      <c r="Q1280" s="2">
        <v>5</v>
      </c>
      <c r="R1280" s="2" t="s">
        <v>24</v>
      </c>
      <c r="S1280" s="11" t="str">
        <f t="shared" si="98"/>
        <v>Bagus</v>
      </c>
      <c r="T1280" s="2" t="str">
        <f t="shared" si="99"/>
        <v>Sangat Rendah</v>
      </c>
    </row>
    <row r="1281" spans="1:20" ht="15.75" customHeight="1" x14ac:dyDescent="0.3">
      <c r="A1281" s="4" t="s">
        <v>1082</v>
      </c>
      <c r="B1281" s="3">
        <v>45682.917245370372</v>
      </c>
      <c r="C1281" s="2" t="s">
        <v>1083</v>
      </c>
      <c r="D1281" s="2" t="s">
        <v>170</v>
      </c>
      <c r="E1281" s="2" t="s">
        <v>34</v>
      </c>
      <c r="F1281" s="2">
        <v>16000</v>
      </c>
      <c r="G1281" s="2">
        <v>3</v>
      </c>
      <c r="H1281" s="2">
        <v>20</v>
      </c>
      <c r="I1281">
        <f t="shared" si="95"/>
        <v>48000</v>
      </c>
      <c r="J1281">
        <f t="shared" si="96"/>
        <v>9600</v>
      </c>
      <c r="K1281" s="6">
        <f t="shared" si="97"/>
        <v>38400</v>
      </c>
      <c r="L1281" s="2">
        <v>46000</v>
      </c>
      <c r="M1281" s="6">
        <f>Table1[[#This Row],[Total Sales]]+Table1[[#This Row],[Shipping Fee]]</f>
        <v>84400</v>
      </c>
      <c r="N1281" s="2" t="s">
        <v>22</v>
      </c>
      <c r="O1281" t="str">
        <f>VLOOKUP(Table1[[#This Row],[Order ID]],Status!A:B, 2,FALSE)</f>
        <v>Completed</v>
      </c>
      <c r="P1281" s="2" t="s">
        <v>46</v>
      </c>
      <c r="Q1281" s="2">
        <v>2</v>
      </c>
      <c r="R1281" s="2" t="s">
        <v>24</v>
      </c>
      <c r="S1281" s="11" t="str">
        <f t="shared" si="98"/>
        <v>Rendah</v>
      </c>
      <c r="T1281" s="2" t="str">
        <f t="shared" si="99"/>
        <v>Rendah</v>
      </c>
    </row>
    <row r="1282" spans="1:20" ht="15.75" customHeight="1" x14ac:dyDescent="0.3">
      <c r="A1282" s="4" t="s">
        <v>1081</v>
      </c>
      <c r="B1282" s="3">
        <v>45682.660451388889</v>
      </c>
      <c r="C1282" s="2" t="s">
        <v>194</v>
      </c>
      <c r="D1282" s="2" t="s">
        <v>195</v>
      </c>
      <c r="E1282" s="2" t="s">
        <v>104</v>
      </c>
      <c r="F1282" s="2">
        <v>30000</v>
      </c>
      <c r="G1282" s="2">
        <v>4</v>
      </c>
      <c r="H1282" s="2">
        <v>15</v>
      </c>
      <c r="I1282">
        <f t="shared" ref="I1282:I1345" si="100">F1282*G1282</f>
        <v>120000</v>
      </c>
      <c r="J1282">
        <f t="shared" ref="J1282:J1345" si="101">I1282*H1282/100</f>
        <v>18000</v>
      </c>
      <c r="K1282" s="6">
        <f t="shared" ref="K1282:K1345" si="102">I1282-J1282</f>
        <v>102000</v>
      </c>
      <c r="L1282" s="2">
        <v>87000</v>
      </c>
      <c r="M1282" s="6">
        <f>Table1[[#This Row],[Total Sales]]+Table1[[#This Row],[Shipping Fee]]</f>
        <v>189000</v>
      </c>
      <c r="N1282" s="2" t="s">
        <v>29</v>
      </c>
      <c r="O1282" t="str">
        <f>VLOOKUP(Table1[[#This Row],[Order ID]],Status!A:B, 2,FALSE)</f>
        <v>Completed</v>
      </c>
      <c r="P1282" s="2" t="s">
        <v>23</v>
      </c>
      <c r="Q1282" s="2">
        <v>5</v>
      </c>
      <c r="R1282" s="2" t="s">
        <v>24</v>
      </c>
      <c r="S1282" s="11" t="str">
        <f t="shared" ref="S1282:S1345" si="103">_xlfn.IFS(Q1282&gt;3,"Bagus",Q1282=3,"Standar",Q1282&lt;3,"Rendah")</f>
        <v>Bagus</v>
      </c>
      <c r="T1282" s="2" t="str">
        <f t="shared" ref="T1282:T1345" si="104">_xlfn.IFS(J1282&lt;=5000,"Sangat Rendah", J1282&lt;=10000,"Rendah", J1282&lt;=20000, "Normal", J1282&lt;=35000, "Tinggi", J1282&lt;= 50000, "Sangat Tinggi", J1282&gt;50000, "Clearance")</f>
        <v>Normal</v>
      </c>
    </row>
    <row r="1283" spans="1:20" ht="15.75" customHeight="1" x14ac:dyDescent="0.3">
      <c r="A1283" s="4" t="s">
        <v>1080</v>
      </c>
      <c r="B1283" s="3">
        <v>45682.525972222233</v>
      </c>
      <c r="C1283" s="2" t="s">
        <v>582</v>
      </c>
      <c r="D1283" s="2" t="s">
        <v>435</v>
      </c>
      <c r="E1283" s="2" t="s">
        <v>28</v>
      </c>
      <c r="F1283" s="2">
        <v>5000</v>
      </c>
      <c r="G1283" s="2">
        <v>5</v>
      </c>
      <c r="H1283" s="2">
        <v>10</v>
      </c>
      <c r="I1283">
        <f t="shared" si="100"/>
        <v>25000</v>
      </c>
      <c r="J1283">
        <f t="shared" si="101"/>
        <v>2500</v>
      </c>
      <c r="K1283" s="6">
        <f t="shared" si="102"/>
        <v>22500</v>
      </c>
      <c r="L1283" s="2">
        <v>67000</v>
      </c>
      <c r="M1283" s="6">
        <f>Table1[[#This Row],[Total Sales]]+Table1[[#This Row],[Shipping Fee]]</f>
        <v>89500</v>
      </c>
      <c r="N1283" s="2" t="s">
        <v>22</v>
      </c>
      <c r="O1283" t="str">
        <f>VLOOKUP(Table1[[#This Row],[Order ID]],Status!A:B, 2,FALSE)</f>
        <v>Completed</v>
      </c>
      <c r="P1283" s="2" t="s">
        <v>30</v>
      </c>
      <c r="Q1283" s="2">
        <v>4</v>
      </c>
      <c r="R1283" s="2" t="s">
        <v>24</v>
      </c>
      <c r="S1283" s="11" t="str">
        <f t="shared" si="103"/>
        <v>Bagus</v>
      </c>
      <c r="T1283" s="2" t="str">
        <f t="shared" si="104"/>
        <v>Sangat Rendah</v>
      </c>
    </row>
    <row r="1284" spans="1:20" ht="15.75" customHeight="1" x14ac:dyDescent="0.3">
      <c r="A1284" s="4" t="s">
        <v>1079</v>
      </c>
      <c r="B1284" s="3">
        <v>45682.301770833343</v>
      </c>
      <c r="C1284" s="2" t="s">
        <v>56</v>
      </c>
      <c r="D1284" s="2" t="s">
        <v>57</v>
      </c>
      <c r="E1284" s="2" t="s">
        <v>144</v>
      </c>
      <c r="F1284" s="2">
        <v>18000</v>
      </c>
      <c r="G1284" s="2">
        <v>5</v>
      </c>
      <c r="H1284" s="2">
        <v>20</v>
      </c>
      <c r="I1284">
        <f t="shared" si="100"/>
        <v>90000</v>
      </c>
      <c r="J1284">
        <f t="shared" si="101"/>
        <v>18000</v>
      </c>
      <c r="K1284" s="6">
        <f t="shared" si="102"/>
        <v>72000</v>
      </c>
      <c r="L1284" s="2">
        <v>80000</v>
      </c>
      <c r="M1284" s="6">
        <f>Table1[[#This Row],[Total Sales]]+Table1[[#This Row],[Shipping Fee]]</f>
        <v>152000</v>
      </c>
      <c r="N1284" s="2" t="s">
        <v>29</v>
      </c>
      <c r="O1284" t="str">
        <f>VLOOKUP(Table1[[#This Row],[Order ID]],Status!A:B, 2,FALSE)</f>
        <v>Completed</v>
      </c>
      <c r="P1284" s="2" t="s">
        <v>30</v>
      </c>
      <c r="Q1284" s="2">
        <v>3</v>
      </c>
      <c r="R1284" s="2" t="s">
        <v>24</v>
      </c>
      <c r="S1284" s="11" t="str">
        <f t="shared" si="103"/>
        <v>Standar</v>
      </c>
      <c r="T1284" s="2" t="str">
        <f t="shared" si="104"/>
        <v>Normal</v>
      </c>
    </row>
    <row r="1285" spans="1:20" ht="15.75" customHeight="1" x14ac:dyDescent="0.3">
      <c r="A1285" s="4" t="s">
        <v>1078</v>
      </c>
      <c r="B1285" s="3">
        <v>45682.285428240742</v>
      </c>
      <c r="C1285" s="2" t="s">
        <v>235</v>
      </c>
      <c r="D1285" s="2" t="s">
        <v>189</v>
      </c>
      <c r="E1285" s="2" t="s">
        <v>62</v>
      </c>
      <c r="F1285" s="2">
        <v>50000</v>
      </c>
      <c r="G1285" s="2">
        <v>5</v>
      </c>
      <c r="H1285" s="2">
        <v>10</v>
      </c>
      <c r="I1285">
        <f t="shared" si="100"/>
        <v>250000</v>
      </c>
      <c r="J1285">
        <f t="shared" si="101"/>
        <v>25000</v>
      </c>
      <c r="K1285" s="6">
        <f t="shared" si="102"/>
        <v>225000</v>
      </c>
      <c r="L1285" s="2">
        <v>57000</v>
      </c>
      <c r="M1285" s="6">
        <f>Table1[[#This Row],[Total Sales]]+Table1[[#This Row],[Shipping Fee]]</f>
        <v>282000</v>
      </c>
      <c r="N1285" s="2" t="s">
        <v>22</v>
      </c>
      <c r="O1285" t="str">
        <f>VLOOKUP(Table1[[#This Row],[Order ID]],Status!A:B, 2,FALSE)</f>
        <v>Completed</v>
      </c>
      <c r="P1285" s="2" t="s">
        <v>46</v>
      </c>
      <c r="Q1285" s="2">
        <v>3</v>
      </c>
      <c r="R1285" s="2" t="s">
        <v>37</v>
      </c>
      <c r="S1285" s="11" t="str">
        <f t="shared" si="103"/>
        <v>Standar</v>
      </c>
      <c r="T1285" s="2" t="str">
        <f t="shared" si="104"/>
        <v>Tinggi</v>
      </c>
    </row>
    <row r="1286" spans="1:20" ht="15.75" customHeight="1" x14ac:dyDescent="0.3">
      <c r="A1286" s="4" t="s">
        <v>1077</v>
      </c>
      <c r="B1286" s="3">
        <v>45682.091898148137</v>
      </c>
      <c r="C1286" s="2" t="s">
        <v>363</v>
      </c>
      <c r="D1286" s="2" t="s">
        <v>189</v>
      </c>
      <c r="E1286" s="2" t="s">
        <v>93</v>
      </c>
      <c r="F1286" s="2">
        <v>25000</v>
      </c>
      <c r="G1286" s="2">
        <v>3</v>
      </c>
      <c r="H1286" s="2">
        <v>5</v>
      </c>
      <c r="I1286">
        <f t="shared" si="100"/>
        <v>75000</v>
      </c>
      <c r="J1286">
        <f t="shared" si="101"/>
        <v>3750</v>
      </c>
      <c r="K1286" s="6">
        <f t="shared" si="102"/>
        <v>71250</v>
      </c>
      <c r="L1286" s="2">
        <v>57000</v>
      </c>
      <c r="M1286" s="6">
        <f>Table1[[#This Row],[Total Sales]]+Table1[[#This Row],[Shipping Fee]]</f>
        <v>128250</v>
      </c>
      <c r="N1286" s="2" t="s">
        <v>63</v>
      </c>
      <c r="O1286" t="str">
        <f>VLOOKUP(Table1[[#This Row],[Order ID]],Status!A:B, 2,FALSE)</f>
        <v>Completed</v>
      </c>
      <c r="P1286" s="2" t="s">
        <v>30</v>
      </c>
      <c r="Q1286" s="2">
        <v>4</v>
      </c>
      <c r="R1286" s="2" t="s">
        <v>24</v>
      </c>
      <c r="S1286" s="11" t="str">
        <f t="shared" si="103"/>
        <v>Bagus</v>
      </c>
      <c r="T1286" s="2" t="str">
        <f t="shared" si="104"/>
        <v>Sangat Rendah</v>
      </c>
    </row>
    <row r="1287" spans="1:20" ht="15.75" customHeight="1" x14ac:dyDescent="0.3">
      <c r="A1287" s="4" t="s">
        <v>1076</v>
      </c>
      <c r="B1287" s="3">
        <v>45681.946469907409</v>
      </c>
      <c r="C1287" s="2" t="s">
        <v>1033</v>
      </c>
      <c r="D1287" s="2" t="s">
        <v>122</v>
      </c>
      <c r="E1287" s="2" t="s">
        <v>123</v>
      </c>
      <c r="F1287" s="2">
        <v>22000</v>
      </c>
      <c r="G1287" s="2">
        <v>3</v>
      </c>
      <c r="H1287" s="2">
        <v>15</v>
      </c>
      <c r="I1287">
        <f t="shared" si="100"/>
        <v>66000</v>
      </c>
      <c r="J1287">
        <f t="shared" si="101"/>
        <v>9900</v>
      </c>
      <c r="K1287" s="6">
        <f t="shared" si="102"/>
        <v>56100</v>
      </c>
      <c r="L1287" s="2">
        <v>78000</v>
      </c>
      <c r="M1287" s="6">
        <f>Table1[[#This Row],[Total Sales]]+Table1[[#This Row],[Shipping Fee]]</f>
        <v>134100</v>
      </c>
      <c r="N1287" s="2" t="s">
        <v>63</v>
      </c>
      <c r="O1287" t="str">
        <f>VLOOKUP(Table1[[#This Row],[Order ID]],Status!A:B, 2,FALSE)</f>
        <v>Completed</v>
      </c>
      <c r="P1287" s="2" t="s">
        <v>30</v>
      </c>
      <c r="Q1287" s="2">
        <v>3</v>
      </c>
      <c r="R1287" s="2" t="s">
        <v>24</v>
      </c>
      <c r="S1287" s="11" t="str">
        <f t="shared" si="103"/>
        <v>Standar</v>
      </c>
      <c r="T1287" s="2" t="str">
        <f t="shared" si="104"/>
        <v>Rendah</v>
      </c>
    </row>
    <row r="1288" spans="1:20" ht="15.75" customHeight="1" x14ac:dyDescent="0.3">
      <c r="A1288" s="4" t="s">
        <v>1075</v>
      </c>
      <c r="B1288" s="3">
        <v>45681.790972222218</v>
      </c>
      <c r="C1288" s="2" t="s">
        <v>140</v>
      </c>
      <c r="D1288" s="2" t="s">
        <v>92</v>
      </c>
      <c r="E1288" s="2" t="s">
        <v>67</v>
      </c>
      <c r="F1288" s="2">
        <v>15000</v>
      </c>
      <c r="G1288" s="2">
        <v>3</v>
      </c>
      <c r="H1288" s="2">
        <v>15</v>
      </c>
      <c r="I1288">
        <f t="shared" si="100"/>
        <v>45000</v>
      </c>
      <c r="J1288">
        <f t="shared" si="101"/>
        <v>6750</v>
      </c>
      <c r="K1288" s="6">
        <f t="shared" si="102"/>
        <v>38250</v>
      </c>
      <c r="L1288" s="2">
        <v>30000</v>
      </c>
      <c r="M1288" s="6">
        <f>Table1[[#This Row],[Total Sales]]+Table1[[#This Row],[Shipping Fee]]</f>
        <v>68250</v>
      </c>
      <c r="N1288" s="2" t="s">
        <v>63</v>
      </c>
      <c r="O1288" t="str">
        <f>VLOOKUP(Table1[[#This Row],[Order ID]],Status!A:B, 2,FALSE)</f>
        <v>Completed</v>
      </c>
      <c r="P1288" s="2" t="s">
        <v>36</v>
      </c>
      <c r="Q1288" s="2">
        <v>1</v>
      </c>
      <c r="R1288" s="2" t="s">
        <v>24</v>
      </c>
      <c r="S1288" s="11" t="str">
        <f t="shared" si="103"/>
        <v>Rendah</v>
      </c>
      <c r="T1288" s="2" t="str">
        <f t="shared" si="104"/>
        <v>Rendah</v>
      </c>
    </row>
    <row r="1289" spans="1:20" ht="15.75" customHeight="1" x14ac:dyDescent="0.3">
      <c r="A1289" s="4" t="s">
        <v>1074</v>
      </c>
      <c r="B1289" s="3">
        <v>45681.651539351849</v>
      </c>
      <c r="C1289" s="2" t="s">
        <v>808</v>
      </c>
      <c r="D1289" s="2" t="s">
        <v>61</v>
      </c>
      <c r="E1289" s="2" t="s">
        <v>190</v>
      </c>
      <c r="F1289" s="2">
        <v>35000</v>
      </c>
      <c r="G1289" s="2">
        <v>4</v>
      </c>
      <c r="H1289" s="2">
        <v>20</v>
      </c>
      <c r="I1289">
        <f t="shared" si="100"/>
        <v>140000</v>
      </c>
      <c r="J1289">
        <f t="shared" si="101"/>
        <v>28000</v>
      </c>
      <c r="K1289" s="6">
        <f t="shared" si="102"/>
        <v>112000</v>
      </c>
      <c r="L1289" s="2">
        <v>26000</v>
      </c>
      <c r="M1289" s="6">
        <f>Table1[[#This Row],[Total Sales]]+Table1[[#This Row],[Shipping Fee]]</f>
        <v>138000</v>
      </c>
      <c r="N1289" s="2" t="s">
        <v>35</v>
      </c>
      <c r="O1289" t="str">
        <f>VLOOKUP(Table1[[#This Row],[Order ID]],Status!A:B, 2,FALSE)</f>
        <v>Completed</v>
      </c>
      <c r="P1289" s="2" t="s">
        <v>30</v>
      </c>
      <c r="Q1289" s="2">
        <v>5</v>
      </c>
      <c r="R1289" s="2" t="s">
        <v>24</v>
      </c>
      <c r="S1289" s="11" t="str">
        <f t="shared" si="103"/>
        <v>Bagus</v>
      </c>
      <c r="T1289" s="2" t="str">
        <f t="shared" si="104"/>
        <v>Tinggi</v>
      </c>
    </row>
    <row r="1290" spans="1:20" ht="15.75" customHeight="1" x14ac:dyDescent="0.3">
      <c r="A1290" s="4" t="s">
        <v>1072</v>
      </c>
      <c r="B1290" s="3">
        <v>45681.422662037039</v>
      </c>
      <c r="C1290" s="2" t="s">
        <v>1073</v>
      </c>
      <c r="D1290" s="2" t="s">
        <v>27</v>
      </c>
      <c r="E1290" s="2" t="s">
        <v>62</v>
      </c>
      <c r="F1290" s="2">
        <v>50000</v>
      </c>
      <c r="G1290" s="2">
        <v>5</v>
      </c>
      <c r="H1290" s="2">
        <v>10</v>
      </c>
      <c r="I1290">
        <f t="shared" si="100"/>
        <v>250000</v>
      </c>
      <c r="J1290">
        <f t="shared" si="101"/>
        <v>25000</v>
      </c>
      <c r="K1290" s="6">
        <f t="shared" si="102"/>
        <v>225000</v>
      </c>
      <c r="L1290" s="2">
        <v>17000</v>
      </c>
      <c r="M1290" s="6">
        <f>Table1[[#This Row],[Total Sales]]+Table1[[#This Row],[Shipping Fee]]</f>
        <v>242000</v>
      </c>
      <c r="N1290" s="2" t="s">
        <v>29</v>
      </c>
      <c r="O1290" t="str">
        <f>VLOOKUP(Table1[[#This Row],[Order ID]],Status!A:B, 2,FALSE)</f>
        <v>Completed</v>
      </c>
      <c r="P1290" s="2" t="s">
        <v>30</v>
      </c>
      <c r="Q1290" s="2">
        <v>1</v>
      </c>
      <c r="R1290" s="2" t="s">
        <v>24</v>
      </c>
      <c r="S1290" s="11" t="str">
        <f t="shared" si="103"/>
        <v>Rendah</v>
      </c>
      <c r="T1290" s="2" t="str">
        <f t="shared" si="104"/>
        <v>Tinggi</v>
      </c>
    </row>
    <row r="1291" spans="1:20" ht="15.75" customHeight="1" x14ac:dyDescent="0.3">
      <c r="A1291" s="4" t="s">
        <v>1071</v>
      </c>
      <c r="B1291" s="3">
        <v>45681.394502314812</v>
      </c>
      <c r="C1291" s="2" t="s">
        <v>568</v>
      </c>
      <c r="D1291" s="2" t="s">
        <v>435</v>
      </c>
      <c r="E1291" s="2" t="s">
        <v>45</v>
      </c>
      <c r="F1291" s="2">
        <v>40000</v>
      </c>
      <c r="G1291" s="2">
        <v>3</v>
      </c>
      <c r="H1291" s="2">
        <v>5</v>
      </c>
      <c r="I1291">
        <f t="shared" si="100"/>
        <v>120000</v>
      </c>
      <c r="J1291">
        <f t="shared" si="101"/>
        <v>6000</v>
      </c>
      <c r="K1291" s="6">
        <f t="shared" si="102"/>
        <v>114000</v>
      </c>
      <c r="L1291" s="2">
        <v>67000</v>
      </c>
      <c r="M1291" s="6">
        <f>Table1[[#This Row],[Total Sales]]+Table1[[#This Row],[Shipping Fee]]</f>
        <v>181000</v>
      </c>
      <c r="N1291" s="2" t="s">
        <v>35</v>
      </c>
      <c r="O1291" t="str">
        <f>VLOOKUP(Table1[[#This Row],[Order ID]],Status!A:B, 2,FALSE)</f>
        <v>Completed</v>
      </c>
      <c r="P1291" s="2" t="s">
        <v>30</v>
      </c>
      <c r="Q1291" s="2">
        <v>3</v>
      </c>
      <c r="R1291" s="2" t="s">
        <v>24</v>
      </c>
      <c r="S1291" s="11" t="str">
        <f t="shared" si="103"/>
        <v>Standar</v>
      </c>
      <c r="T1291" s="2" t="str">
        <f t="shared" si="104"/>
        <v>Rendah</v>
      </c>
    </row>
    <row r="1292" spans="1:20" ht="15.75" customHeight="1" x14ac:dyDescent="0.3">
      <c r="A1292" s="4" t="s">
        <v>1070</v>
      </c>
      <c r="B1292" s="3">
        <v>45681.229664351849</v>
      </c>
      <c r="C1292" s="2" t="s">
        <v>572</v>
      </c>
      <c r="D1292" s="2" t="s">
        <v>33</v>
      </c>
      <c r="E1292" s="2" t="s">
        <v>50</v>
      </c>
      <c r="F1292" s="2">
        <v>14000</v>
      </c>
      <c r="G1292" s="2">
        <v>1</v>
      </c>
      <c r="H1292" s="2">
        <v>5</v>
      </c>
      <c r="I1292">
        <f t="shared" si="100"/>
        <v>14000</v>
      </c>
      <c r="J1292">
        <f t="shared" si="101"/>
        <v>700</v>
      </c>
      <c r="K1292" s="6">
        <f t="shared" si="102"/>
        <v>13300</v>
      </c>
      <c r="L1292" s="2">
        <v>76000</v>
      </c>
      <c r="M1292" s="6">
        <f>Table1[[#This Row],[Total Sales]]+Table1[[#This Row],[Shipping Fee]]</f>
        <v>89300</v>
      </c>
      <c r="N1292" s="2" t="s">
        <v>63</v>
      </c>
      <c r="O1292" t="str">
        <f>VLOOKUP(Table1[[#This Row],[Order ID]],Status!A:B, 2,FALSE)</f>
        <v>Completed</v>
      </c>
      <c r="P1292" s="2" t="s">
        <v>23</v>
      </c>
      <c r="Q1292" s="2">
        <v>5</v>
      </c>
      <c r="R1292" s="2" t="s">
        <v>24</v>
      </c>
      <c r="S1292" s="11" t="str">
        <f t="shared" si="103"/>
        <v>Bagus</v>
      </c>
      <c r="T1292" s="2" t="str">
        <f t="shared" si="104"/>
        <v>Sangat Rendah</v>
      </c>
    </row>
    <row r="1293" spans="1:20" ht="15.75" customHeight="1" x14ac:dyDescent="0.3">
      <c r="A1293" s="4" t="s">
        <v>1068</v>
      </c>
      <c r="B1293" s="3">
        <v>45680.968819444453</v>
      </c>
      <c r="C1293" s="2" t="s">
        <v>1069</v>
      </c>
      <c r="D1293" s="2" t="s">
        <v>189</v>
      </c>
      <c r="E1293" s="2" t="s">
        <v>45</v>
      </c>
      <c r="F1293" s="2">
        <v>40000</v>
      </c>
      <c r="G1293" s="2">
        <v>2</v>
      </c>
      <c r="H1293" s="2">
        <v>15</v>
      </c>
      <c r="I1293">
        <f t="shared" si="100"/>
        <v>80000</v>
      </c>
      <c r="J1293">
        <f t="shared" si="101"/>
        <v>12000</v>
      </c>
      <c r="K1293" s="6">
        <f t="shared" si="102"/>
        <v>68000</v>
      </c>
      <c r="L1293" s="2">
        <v>57000</v>
      </c>
      <c r="M1293" s="6">
        <f>Table1[[#This Row],[Total Sales]]+Table1[[#This Row],[Shipping Fee]]</f>
        <v>125000</v>
      </c>
      <c r="N1293" s="2" t="s">
        <v>29</v>
      </c>
      <c r="O1293" t="str">
        <f>VLOOKUP(Table1[[#This Row],[Order ID]],Status!A:B, 2,FALSE)</f>
        <v>Returned</v>
      </c>
      <c r="P1293" s="2" t="s">
        <v>30</v>
      </c>
      <c r="Q1293" s="2">
        <v>1</v>
      </c>
      <c r="R1293" s="2" t="s">
        <v>24</v>
      </c>
      <c r="S1293" s="11" t="str">
        <f t="shared" si="103"/>
        <v>Rendah</v>
      </c>
      <c r="T1293" s="2" t="str">
        <f t="shared" si="104"/>
        <v>Normal</v>
      </c>
    </row>
    <row r="1294" spans="1:20" ht="15.75" customHeight="1" x14ac:dyDescent="0.3">
      <c r="A1294" s="4" t="s">
        <v>1067</v>
      </c>
      <c r="B1294" s="3">
        <v>45680.820555555547</v>
      </c>
      <c r="C1294" s="2" t="s">
        <v>985</v>
      </c>
      <c r="D1294" s="2" t="s">
        <v>53</v>
      </c>
      <c r="E1294" s="2" t="s">
        <v>144</v>
      </c>
      <c r="F1294" s="2">
        <v>18000</v>
      </c>
      <c r="G1294" s="2">
        <v>5</v>
      </c>
      <c r="H1294" s="2">
        <v>20</v>
      </c>
      <c r="I1294">
        <f t="shared" si="100"/>
        <v>90000</v>
      </c>
      <c r="J1294">
        <f t="shared" si="101"/>
        <v>18000</v>
      </c>
      <c r="K1294" s="6">
        <f t="shared" si="102"/>
        <v>72000</v>
      </c>
      <c r="L1294" s="2">
        <v>18000</v>
      </c>
      <c r="M1294" s="6">
        <f>Table1[[#This Row],[Total Sales]]+Table1[[#This Row],[Shipping Fee]]</f>
        <v>90000</v>
      </c>
      <c r="N1294" s="2" t="s">
        <v>29</v>
      </c>
      <c r="O1294" t="str">
        <f>VLOOKUP(Table1[[#This Row],[Order ID]],Status!A:B, 2,FALSE)</f>
        <v>Completed</v>
      </c>
      <c r="P1294" s="2" t="s">
        <v>23</v>
      </c>
      <c r="Q1294" s="2">
        <v>3</v>
      </c>
      <c r="R1294" s="2" t="s">
        <v>24</v>
      </c>
      <c r="S1294" s="11" t="str">
        <f t="shared" si="103"/>
        <v>Standar</v>
      </c>
      <c r="T1294" s="2" t="str">
        <f t="shared" si="104"/>
        <v>Normal</v>
      </c>
    </row>
    <row r="1295" spans="1:20" ht="15.75" customHeight="1" x14ac:dyDescent="0.3">
      <c r="A1295" s="4" t="s">
        <v>1065</v>
      </c>
      <c r="B1295" s="3">
        <v>45680.813449074078</v>
      </c>
      <c r="C1295" s="2" t="s">
        <v>1066</v>
      </c>
      <c r="D1295" s="2" t="s">
        <v>113</v>
      </c>
      <c r="E1295" s="2" t="s">
        <v>67</v>
      </c>
      <c r="F1295" s="2">
        <v>15000</v>
      </c>
      <c r="G1295" s="2">
        <v>3</v>
      </c>
      <c r="H1295" s="2">
        <v>15</v>
      </c>
      <c r="I1295">
        <f t="shared" si="100"/>
        <v>45000</v>
      </c>
      <c r="J1295">
        <f t="shared" si="101"/>
        <v>6750</v>
      </c>
      <c r="K1295" s="6">
        <f t="shared" si="102"/>
        <v>38250</v>
      </c>
      <c r="L1295" s="2">
        <v>18000</v>
      </c>
      <c r="M1295" s="6">
        <f>Table1[[#This Row],[Total Sales]]+Table1[[#This Row],[Shipping Fee]]</f>
        <v>56250</v>
      </c>
      <c r="N1295" s="2" t="s">
        <v>35</v>
      </c>
      <c r="O1295" t="str">
        <f>VLOOKUP(Table1[[#This Row],[Order ID]],Status!A:B, 2,FALSE)</f>
        <v>Returned</v>
      </c>
      <c r="P1295" s="2" t="s">
        <v>82</v>
      </c>
      <c r="Q1295" s="2">
        <v>3</v>
      </c>
      <c r="R1295" s="2" t="s">
        <v>24</v>
      </c>
      <c r="S1295" s="11" t="str">
        <f t="shared" si="103"/>
        <v>Standar</v>
      </c>
      <c r="T1295" s="2" t="str">
        <f t="shared" si="104"/>
        <v>Rendah</v>
      </c>
    </row>
    <row r="1296" spans="1:20" ht="15.75" customHeight="1" x14ac:dyDescent="0.3">
      <c r="A1296" s="4" t="s">
        <v>1064</v>
      </c>
      <c r="B1296" s="3">
        <v>45680.610115740739</v>
      </c>
      <c r="C1296" s="2" t="s">
        <v>220</v>
      </c>
      <c r="D1296" s="2" t="s">
        <v>53</v>
      </c>
      <c r="E1296" s="2" t="s">
        <v>41</v>
      </c>
      <c r="F1296" s="2">
        <v>4000</v>
      </c>
      <c r="G1296" s="2">
        <v>2</v>
      </c>
      <c r="H1296" s="2">
        <v>15</v>
      </c>
      <c r="I1296">
        <f t="shared" si="100"/>
        <v>8000</v>
      </c>
      <c r="J1296">
        <f t="shared" si="101"/>
        <v>1200</v>
      </c>
      <c r="K1296" s="6">
        <f t="shared" si="102"/>
        <v>6800</v>
      </c>
      <c r="L1296" s="2">
        <v>18000</v>
      </c>
      <c r="M1296" s="6">
        <f>Table1[[#This Row],[Total Sales]]+Table1[[#This Row],[Shipping Fee]]</f>
        <v>24800</v>
      </c>
      <c r="N1296" s="2" t="s">
        <v>63</v>
      </c>
      <c r="O1296" t="str">
        <f>VLOOKUP(Table1[[#This Row],[Order ID]],Status!A:B, 2,FALSE)</f>
        <v>Completed</v>
      </c>
      <c r="P1296" s="2" t="s">
        <v>23</v>
      </c>
      <c r="Q1296" s="2">
        <v>1</v>
      </c>
      <c r="R1296" s="2" t="s">
        <v>24</v>
      </c>
      <c r="S1296" s="11" t="str">
        <f t="shared" si="103"/>
        <v>Rendah</v>
      </c>
      <c r="T1296" s="2" t="str">
        <f t="shared" si="104"/>
        <v>Sangat Rendah</v>
      </c>
    </row>
    <row r="1297" spans="1:20" ht="15.75" customHeight="1" x14ac:dyDescent="0.3">
      <c r="A1297" s="4" t="s">
        <v>1062</v>
      </c>
      <c r="B1297" s="3">
        <v>45680.241643518522</v>
      </c>
      <c r="C1297" s="2" t="s">
        <v>1063</v>
      </c>
      <c r="D1297" s="2" t="s">
        <v>96</v>
      </c>
      <c r="E1297" s="2" t="s">
        <v>138</v>
      </c>
      <c r="F1297" s="2">
        <v>17000</v>
      </c>
      <c r="G1297" s="2">
        <v>2</v>
      </c>
      <c r="H1297" s="2">
        <v>15</v>
      </c>
      <c r="I1297">
        <f t="shared" si="100"/>
        <v>34000</v>
      </c>
      <c r="J1297">
        <f t="shared" si="101"/>
        <v>5100</v>
      </c>
      <c r="K1297" s="6">
        <f t="shared" si="102"/>
        <v>28900</v>
      </c>
      <c r="L1297" s="2">
        <v>49000</v>
      </c>
      <c r="M1297" s="6">
        <f>Table1[[#This Row],[Total Sales]]+Table1[[#This Row],[Shipping Fee]]</f>
        <v>77900</v>
      </c>
      <c r="N1297" s="2" t="s">
        <v>22</v>
      </c>
      <c r="O1297" t="str">
        <f>VLOOKUP(Table1[[#This Row],[Order ID]],Status!A:B, 2,FALSE)</f>
        <v>Completed</v>
      </c>
      <c r="P1297" s="2" t="s">
        <v>36</v>
      </c>
      <c r="Q1297" s="2">
        <v>1</v>
      </c>
      <c r="R1297" s="2" t="s">
        <v>24</v>
      </c>
      <c r="S1297" s="11" t="str">
        <f t="shared" si="103"/>
        <v>Rendah</v>
      </c>
      <c r="T1297" s="2" t="str">
        <f t="shared" si="104"/>
        <v>Rendah</v>
      </c>
    </row>
    <row r="1298" spans="1:20" ht="15.75" customHeight="1" x14ac:dyDescent="0.3">
      <c r="A1298" s="4" t="s">
        <v>1060</v>
      </c>
      <c r="B1298" s="3">
        <v>45680.066099537027</v>
      </c>
      <c r="C1298" s="2" t="s">
        <v>1061</v>
      </c>
      <c r="D1298" s="2" t="s">
        <v>44</v>
      </c>
      <c r="E1298" s="2" t="s">
        <v>81</v>
      </c>
      <c r="F1298" s="2">
        <v>17000</v>
      </c>
      <c r="G1298" s="2">
        <v>3</v>
      </c>
      <c r="H1298" s="2">
        <v>20</v>
      </c>
      <c r="I1298">
        <f t="shared" si="100"/>
        <v>51000</v>
      </c>
      <c r="J1298">
        <f t="shared" si="101"/>
        <v>10200</v>
      </c>
      <c r="K1298" s="6">
        <f t="shared" si="102"/>
        <v>40800</v>
      </c>
      <c r="L1298" s="2">
        <v>93000</v>
      </c>
      <c r="M1298" s="6">
        <f>Table1[[#This Row],[Total Sales]]+Table1[[#This Row],[Shipping Fee]]</f>
        <v>133800</v>
      </c>
      <c r="N1298" s="2" t="s">
        <v>22</v>
      </c>
      <c r="O1298" t="str">
        <f>VLOOKUP(Table1[[#This Row],[Order ID]],Status!A:B, 2,FALSE)</f>
        <v>Completed</v>
      </c>
      <c r="P1298" s="2" t="s">
        <v>23</v>
      </c>
      <c r="Q1298" s="2">
        <v>1</v>
      </c>
      <c r="R1298" s="2" t="s">
        <v>37</v>
      </c>
      <c r="S1298" s="11" t="str">
        <f t="shared" si="103"/>
        <v>Rendah</v>
      </c>
      <c r="T1298" s="2" t="str">
        <f t="shared" si="104"/>
        <v>Normal</v>
      </c>
    </row>
    <row r="1299" spans="1:20" ht="15.75" customHeight="1" x14ac:dyDescent="0.3">
      <c r="A1299" s="4" t="s">
        <v>1059</v>
      </c>
      <c r="B1299" s="3">
        <v>45679.556388888886</v>
      </c>
      <c r="C1299" s="2" t="s">
        <v>515</v>
      </c>
      <c r="D1299" s="2" t="s">
        <v>182</v>
      </c>
      <c r="E1299" s="2" t="s">
        <v>28</v>
      </c>
      <c r="F1299" s="2">
        <v>5000</v>
      </c>
      <c r="G1299" s="2">
        <v>3</v>
      </c>
      <c r="H1299" s="2">
        <v>0</v>
      </c>
      <c r="I1299">
        <f t="shared" si="100"/>
        <v>15000</v>
      </c>
      <c r="J1299">
        <f t="shared" si="101"/>
        <v>0</v>
      </c>
      <c r="K1299" s="6">
        <f t="shared" si="102"/>
        <v>15000</v>
      </c>
      <c r="L1299" s="2">
        <v>48000</v>
      </c>
      <c r="M1299" s="6">
        <f>Table1[[#This Row],[Total Sales]]+Table1[[#This Row],[Shipping Fee]]</f>
        <v>63000</v>
      </c>
      <c r="N1299" s="2" t="s">
        <v>29</v>
      </c>
      <c r="O1299" t="str">
        <f>VLOOKUP(Table1[[#This Row],[Order ID]],Status!A:B, 2,FALSE)</f>
        <v>Completed</v>
      </c>
      <c r="P1299" s="2" t="s">
        <v>36</v>
      </c>
      <c r="Q1299" s="2">
        <v>5</v>
      </c>
      <c r="R1299" s="2" t="s">
        <v>24</v>
      </c>
      <c r="S1299" s="11" t="str">
        <f t="shared" si="103"/>
        <v>Bagus</v>
      </c>
      <c r="T1299" s="2" t="str">
        <f t="shared" si="104"/>
        <v>Sangat Rendah</v>
      </c>
    </row>
    <row r="1300" spans="1:20" ht="15.75" customHeight="1" x14ac:dyDescent="0.3">
      <c r="A1300" s="4" t="s">
        <v>1058</v>
      </c>
      <c r="B1300" s="3">
        <v>45679.472071759257</v>
      </c>
      <c r="C1300" s="2" t="s">
        <v>256</v>
      </c>
      <c r="D1300" s="2" t="s">
        <v>107</v>
      </c>
      <c r="E1300" s="2" t="s">
        <v>144</v>
      </c>
      <c r="F1300" s="2">
        <v>18000</v>
      </c>
      <c r="G1300" s="2">
        <v>1</v>
      </c>
      <c r="H1300" s="2">
        <v>15</v>
      </c>
      <c r="I1300">
        <f t="shared" si="100"/>
        <v>18000</v>
      </c>
      <c r="J1300">
        <f t="shared" si="101"/>
        <v>2700</v>
      </c>
      <c r="K1300" s="6">
        <f t="shared" si="102"/>
        <v>15300</v>
      </c>
      <c r="L1300" s="2">
        <v>97000</v>
      </c>
      <c r="M1300" s="6">
        <f>Table1[[#This Row],[Total Sales]]+Table1[[#This Row],[Shipping Fee]]</f>
        <v>112300</v>
      </c>
      <c r="N1300" s="2" t="s">
        <v>35</v>
      </c>
      <c r="O1300" t="str">
        <f>VLOOKUP(Table1[[#This Row],[Order ID]],Status!A:B, 2,FALSE)</f>
        <v>Returned</v>
      </c>
      <c r="P1300" s="2" t="s">
        <v>82</v>
      </c>
      <c r="Q1300" s="2">
        <v>4</v>
      </c>
      <c r="R1300" s="2" t="s">
        <v>24</v>
      </c>
      <c r="S1300" s="11" t="str">
        <f t="shared" si="103"/>
        <v>Bagus</v>
      </c>
      <c r="T1300" s="2" t="str">
        <f t="shared" si="104"/>
        <v>Sangat Rendah</v>
      </c>
    </row>
    <row r="1301" spans="1:20" ht="15.75" customHeight="1" x14ac:dyDescent="0.3">
      <c r="A1301" s="4" t="s">
        <v>1057</v>
      </c>
      <c r="B1301" s="3">
        <v>45679.285439814812</v>
      </c>
      <c r="C1301" s="2" t="s">
        <v>638</v>
      </c>
      <c r="D1301" s="2" t="s">
        <v>195</v>
      </c>
      <c r="E1301" s="2" t="s">
        <v>21</v>
      </c>
      <c r="F1301" s="2">
        <v>45000</v>
      </c>
      <c r="G1301" s="2">
        <v>1</v>
      </c>
      <c r="H1301" s="2">
        <v>10</v>
      </c>
      <c r="I1301">
        <f t="shared" si="100"/>
        <v>45000</v>
      </c>
      <c r="J1301">
        <f t="shared" si="101"/>
        <v>4500</v>
      </c>
      <c r="K1301" s="6">
        <f t="shared" si="102"/>
        <v>40500</v>
      </c>
      <c r="L1301" s="2">
        <v>87000</v>
      </c>
      <c r="M1301" s="6">
        <f>Table1[[#This Row],[Total Sales]]+Table1[[#This Row],[Shipping Fee]]</f>
        <v>127500</v>
      </c>
      <c r="N1301" s="2" t="s">
        <v>35</v>
      </c>
      <c r="O1301" t="str">
        <f>VLOOKUP(Table1[[#This Row],[Order ID]],Status!A:B, 2,FALSE)</f>
        <v>Returned</v>
      </c>
      <c r="P1301" s="2" t="s">
        <v>36</v>
      </c>
      <c r="Q1301" s="2">
        <v>2</v>
      </c>
      <c r="R1301" s="2" t="s">
        <v>37</v>
      </c>
      <c r="S1301" s="11" t="str">
        <f t="shared" si="103"/>
        <v>Rendah</v>
      </c>
      <c r="T1301" s="2" t="str">
        <f t="shared" si="104"/>
        <v>Sangat Rendah</v>
      </c>
    </row>
    <row r="1302" spans="1:20" ht="15.75" customHeight="1" x14ac:dyDescent="0.3">
      <c r="A1302" s="4" t="s">
        <v>1056</v>
      </c>
      <c r="B1302" s="3">
        <v>45678.930277777778</v>
      </c>
      <c r="C1302" s="2" t="s">
        <v>56</v>
      </c>
      <c r="D1302" s="2" t="s">
        <v>57</v>
      </c>
      <c r="E1302" s="2" t="s">
        <v>123</v>
      </c>
      <c r="F1302" s="2">
        <v>22000</v>
      </c>
      <c r="G1302" s="2">
        <v>3</v>
      </c>
      <c r="H1302" s="2">
        <v>5</v>
      </c>
      <c r="I1302">
        <f t="shared" si="100"/>
        <v>66000</v>
      </c>
      <c r="J1302">
        <f t="shared" si="101"/>
        <v>3300</v>
      </c>
      <c r="K1302" s="6">
        <f t="shared" si="102"/>
        <v>62700</v>
      </c>
      <c r="L1302" s="2">
        <v>80000</v>
      </c>
      <c r="M1302" s="6">
        <f>Table1[[#This Row],[Total Sales]]+Table1[[#This Row],[Shipping Fee]]</f>
        <v>142700</v>
      </c>
      <c r="N1302" s="2" t="s">
        <v>35</v>
      </c>
      <c r="O1302" t="str">
        <f>VLOOKUP(Table1[[#This Row],[Order ID]],Status!A:B, 2,FALSE)</f>
        <v>Completed</v>
      </c>
      <c r="P1302" s="2" t="s">
        <v>82</v>
      </c>
      <c r="Q1302" s="2">
        <v>4</v>
      </c>
      <c r="R1302" s="2" t="s">
        <v>24</v>
      </c>
      <c r="S1302" s="11" t="str">
        <f t="shared" si="103"/>
        <v>Bagus</v>
      </c>
      <c r="T1302" s="2" t="str">
        <f t="shared" si="104"/>
        <v>Sangat Rendah</v>
      </c>
    </row>
    <row r="1303" spans="1:20" ht="15.75" customHeight="1" x14ac:dyDescent="0.3">
      <c r="A1303" s="4" t="s">
        <v>1054</v>
      </c>
      <c r="B1303" s="3">
        <v>45678.822465277779</v>
      </c>
      <c r="C1303" s="2" t="s">
        <v>1055</v>
      </c>
      <c r="D1303" s="2" t="s">
        <v>57</v>
      </c>
      <c r="E1303" s="2" t="s">
        <v>75</v>
      </c>
      <c r="F1303" s="2">
        <v>55000</v>
      </c>
      <c r="G1303" s="2">
        <v>3</v>
      </c>
      <c r="H1303" s="2">
        <v>0</v>
      </c>
      <c r="I1303">
        <f t="shared" si="100"/>
        <v>165000</v>
      </c>
      <c r="J1303">
        <f t="shared" si="101"/>
        <v>0</v>
      </c>
      <c r="K1303" s="6">
        <f t="shared" si="102"/>
        <v>165000</v>
      </c>
      <c r="L1303" s="2">
        <v>80000</v>
      </c>
      <c r="M1303" s="6">
        <f>Table1[[#This Row],[Total Sales]]+Table1[[#This Row],[Shipping Fee]]</f>
        <v>245000</v>
      </c>
      <c r="N1303" s="2" t="s">
        <v>35</v>
      </c>
      <c r="O1303" t="str">
        <f>VLOOKUP(Table1[[#This Row],[Order ID]],Status!A:B, 2,FALSE)</f>
        <v>Completed</v>
      </c>
      <c r="P1303" s="2" t="s">
        <v>36</v>
      </c>
      <c r="Q1303" s="2">
        <v>5</v>
      </c>
      <c r="R1303" s="2" t="s">
        <v>24</v>
      </c>
      <c r="S1303" s="11" t="str">
        <f t="shared" si="103"/>
        <v>Bagus</v>
      </c>
      <c r="T1303" s="2" t="str">
        <f t="shared" si="104"/>
        <v>Sangat Rendah</v>
      </c>
    </row>
    <row r="1304" spans="1:20" ht="15.75" customHeight="1" x14ac:dyDescent="0.3">
      <c r="A1304" s="4" t="s">
        <v>1052</v>
      </c>
      <c r="B1304" s="3">
        <v>45678.796331018522</v>
      </c>
      <c r="C1304" s="2" t="s">
        <v>1053</v>
      </c>
      <c r="D1304" s="2" t="s">
        <v>80</v>
      </c>
      <c r="E1304" s="2" t="s">
        <v>104</v>
      </c>
      <c r="F1304" s="2">
        <v>30000</v>
      </c>
      <c r="G1304" s="2">
        <v>4</v>
      </c>
      <c r="H1304" s="2">
        <v>0</v>
      </c>
      <c r="I1304">
        <f t="shared" si="100"/>
        <v>120000</v>
      </c>
      <c r="J1304">
        <f t="shared" si="101"/>
        <v>0</v>
      </c>
      <c r="K1304" s="6">
        <f t="shared" si="102"/>
        <v>120000</v>
      </c>
      <c r="L1304" s="2">
        <v>74000</v>
      </c>
      <c r="M1304" s="6">
        <f>Table1[[#This Row],[Total Sales]]+Table1[[#This Row],[Shipping Fee]]</f>
        <v>194000</v>
      </c>
      <c r="N1304" s="2" t="s">
        <v>35</v>
      </c>
      <c r="O1304" t="str">
        <f>VLOOKUP(Table1[[#This Row],[Order ID]],Status!A:B, 2,FALSE)</f>
        <v>Returned</v>
      </c>
      <c r="P1304" s="2" t="s">
        <v>36</v>
      </c>
      <c r="Q1304" s="2">
        <v>1</v>
      </c>
      <c r="R1304" s="2" t="s">
        <v>24</v>
      </c>
      <c r="S1304" s="11" t="str">
        <f t="shared" si="103"/>
        <v>Rendah</v>
      </c>
      <c r="T1304" s="2" t="str">
        <f t="shared" si="104"/>
        <v>Sangat Rendah</v>
      </c>
    </row>
    <row r="1305" spans="1:20" ht="15.75" customHeight="1" x14ac:dyDescent="0.3">
      <c r="A1305" s="4" t="s">
        <v>1051</v>
      </c>
      <c r="B1305" s="3">
        <v>45678.638749999998</v>
      </c>
      <c r="C1305" s="2" t="s">
        <v>570</v>
      </c>
      <c r="D1305" s="2" t="s">
        <v>80</v>
      </c>
      <c r="E1305" s="2" t="s">
        <v>58</v>
      </c>
      <c r="F1305" s="2">
        <v>16000</v>
      </c>
      <c r="G1305" s="2">
        <v>2</v>
      </c>
      <c r="H1305" s="2">
        <v>20</v>
      </c>
      <c r="I1305">
        <f t="shared" si="100"/>
        <v>32000</v>
      </c>
      <c r="J1305">
        <f t="shared" si="101"/>
        <v>6400</v>
      </c>
      <c r="K1305" s="6">
        <f t="shared" si="102"/>
        <v>25600</v>
      </c>
      <c r="L1305" s="2">
        <v>74000</v>
      </c>
      <c r="M1305" s="6">
        <f>Table1[[#This Row],[Total Sales]]+Table1[[#This Row],[Shipping Fee]]</f>
        <v>99600</v>
      </c>
      <c r="N1305" s="2" t="s">
        <v>22</v>
      </c>
      <c r="O1305" t="str">
        <f>VLOOKUP(Table1[[#This Row],[Order ID]],Status!A:B, 2,FALSE)</f>
        <v>Completed</v>
      </c>
      <c r="P1305" s="2" t="s">
        <v>36</v>
      </c>
      <c r="Q1305" s="2">
        <v>2</v>
      </c>
      <c r="R1305" s="2" t="s">
        <v>24</v>
      </c>
      <c r="S1305" s="11" t="str">
        <f t="shared" si="103"/>
        <v>Rendah</v>
      </c>
      <c r="T1305" s="2" t="str">
        <f t="shared" si="104"/>
        <v>Rendah</v>
      </c>
    </row>
    <row r="1306" spans="1:20" ht="15.75" customHeight="1" x14ac:dyDescent="0.3">
      <c r="A1306" s="4" t="s">
        <v>1049</v>
      </c>
      <c r="B1306" s="3">
        <v>45678.375023148154</v>
      </c>
      <c r="C1306" s="2" t="s">
        <v>1050</v>
      </c>
      <c r="D1306" s="2" t="s">
        <v>92</v>
      </c>
      <c r="E1306" s="2" t="s">
        <v>144</v>
      </c>
      <c r="F1306" s="2">
        <v>18000</v>
      </c>
      <c r="G1306" s="2">
        <v>4</v>
      </c>
      <c r="H1306" s="2">
        <v>10</v>
      </c>
      <c r="I1306">
        <f t="shared" si="100"/>
        <v>72000</v>
      </c>
      <c r="J1306">
        <f t="shared" si="101"/>
        <v>7200</v>
      </c>
      <c r="K1306" s="6">
        <f t="shared" si="102"/>
        <v>64800</v>
      </c>
      <c r="L1306" s="2">
        <v>30000</v>
      </c>
      <c r="M1306" s="6">
        <f>Table1[[#This Row],[Total Sales]]+Table1[[#This Row],[Shipping Fee]]</f>
        <v>94800</v>
      </c>
      <c r="N1306" s="2" t="s">
        <v>22</v>
      </c>
      <c r="O1306" t="str">
        <f>VLOOKUP(Table1[[#This Row],[Order ID]],Status!A:B, 2,FALSE)</f>
        <v>Completed</v>
      </c>
      <c r="P1306" s="2" t="s">
        <v>36</v>
      </c>
      <c r="Q1306" s="2">
        <v>5</v>
      </c>
      <c r="R1306" s="2" t="s">
        <v>24</v>
      </c>
      <c r="S1306" s="11" t="str">
        <f t="shared" si="103"/>
        <v>Bagus</v>
      </c>
      <c r="T1306" s="2" t="str">
        <f t="shared" si="104"/>
        <v>Rendah</v>
      </c>
    </row>
    <row r="1307" spans="1:20" ht="15.75" customHeight="1" x14ac:dyDescent="0.3">
      <c r="A1307" s="4" t="s">
        <v>1048</v>
      </c>
      <c r="B1307" s="3">
        <v>45677.83971064815</v>
      </c>
      <c r="C1307" s="2" t="s">
        <v>504</v>
      </c>
      <c r="D1307" s="2" t="s">
        <v>195</v>
      </c>
      <c r="E1307" s="2" t="s">
        <v>50</v>
      </c>
      <c r="F1307" s="2">
        <v>14000</v>
      </c>
      <c r="G1307" s="2">
        <v>3</v>
      </c>
      <c r="H1307" s="2">
        <v>10</v>
      </c>
      <c r="I1307">
        <f t="shared" si="100"/>
        <v>42000</v>
      </c>
      <c r="J1307">
        <f t="shared" si="101"/>
        <v>4200</v>
      </c>
      <c r="K1307" s="6">
        <f t="shared" si="102"/>
        <v>37800</v>
      </c>
      <c r="L1307" s="2">
        <v>87000</v>
      </c>
      <c r="M1307" s="6">
        <f>Table1[[#This Row],[Total Sales]]+Table1[[#This Row],[Shipping Fee]]</f>
        <v>124800</v>
      </c>
      <c r="N1307" s="2" t="s">
        <v>35</v>
      </c>
      <c r="O1307" t="str">
        <f>VLOOKUP(Table1[[#This Row],[Order ID]],Status!A:B, 2,FALSE)</f>
        <v>Completed</v>
      </c>
      <c r="P1307" s="2" t="s">
        <v>23</v>
      </c>
      <c r="Q1307" s="2">
        <v>5</v>
      </c>
      <c r="R1307" s="2" t="s">
        <v>24</v>
      </c>
      <c r="S1307" s="11" t="str">
        <f t="shared" si="103"/>
        <v>Bagus</v>
      </c>
      <c r="T1307" s="2" t="str">
        <f t="shared" si="104"/>
        <v>Sangat Rendah</v>
      </c>
    </row>
    <row r="1308" spans="1:20" ht="15.75" customHeight="1" x14ac:dyDescent="0.3">
      <c r="A1308" s="4" t="s">
        <v>1046</v>
      </c>
      <c r="B1308" s="3">
        <v>45677.75513888889</v>
      </c>
      <c r="C1308" s="2" t="s">
        <v>1047</v>
      </c>
      <c r="D1308" s="2" t="s">
        <v>160</v>
      </c>
      <c r="E1308" s="2" t="s">
        <v>67</v>
      </c>
      <c r="F1308" s="2">
        <v>15000</v>
      </c>
      <c r="G1308" s="2">
        <v>5</v>
      </c>
      <c r="H1308" s="2">
        <v>5</v>
      </c>
      <c r="I1308">
        <f t="shared" si="100"/>
        <v>75000</v>
      </c>
      <c r="J1308">
        <f t="shared" si="101"/>
        <v>3750</v>
      </c>
      <c r="K1308" s="6">
        <f t="shared" si="102"/>
        <v>71250</v>
      </c>
      <c r="L1308" s="2">
        <v>68000</v>
      </c>
      <c r="M1308" s="6">
        <f>Table1[[#This Row],[Total Sales]]+Table1[[#This Row],[Shipping Fee]]</f>
        <v>139250</v>
      </c>
      <c r="N1308" s="2" t="s">
        <v>29</v>
      </c>
      <c r="O1308" t="str">
        <f>VLOOKUP(Table1[[#This Row],[Order ID]],Status!A:B, 2,FALSE)</f>
        <v>Completed</v>
      </c>
      <c r="P1308" s="2" t="s">
        <v>46</v>
      </c>
      <c r="Q1308" s="2">
        <v>4</v>
      </c>
      <c r="R1308" s="2" t="s">
        <v>24</v>
      </c>
      <c r="S1308" s="11" t="str">
        <f t="shared" si="103"/>
        <v>Bagus</v>
      </c>
      <c r="T1308" s="2" t="str">
        <f t="shared" si="104"/>
        <v>Sangat Rendah</v>
      </c>
    </row>
    <row r="1309" spans="1:20" ht="15.75" customHeight="1" x14ac:dyDescent="0.3">
      <c r="A1309" s="4" t="s">
        <v>1045</v>
      </c>
      <c r="B1309" s="3">
        <v>45677.636365740742</v>
      </c>
      <c r="C1309" s="2" t="s">
        <v>457</v>
      </c>
      <c r="D1309" s="2" t="s">
        <v>80</v>
      </c>
      <c r="E1309" s="2" t="s">
        <v>144</v>
      </c>
      <c r="F1309" s="2">
        <v>18000</v>
      </c>
      <c r="G1309" s="2">
        <v>5</v>
      </c>
      <c r="H1309" s="2">
        <v>0</v>
      </c>
      <c r="I1309">
        <f t="shared" si="100"/>
        <v>90000</v>
      </c>
      <c r="J1309">
        <f t="shared" si="101"/>
        <v>0</v>
      </c>
      <c r="K1309" s="6">
        <f t="shared" si="102"/>
        <v>90000</v>
      </c>
      <c r="L1309" s="2">
        <v>74000</v>
      </c>
      <c r="M1309" s="6">
        <f>Table1[[#This Row],[Total Sales]]+Table1[[#This Row],[Shipping Fee]]</f>
        <v>164000</v>
      </c>
      <c r="N1309" s="2" t="s">
        <v>22</v>
      </c>
      <c r="O1309" t="str">
        <f>VLOOKUP(Table1[[#This Row],[Order ID]],Status!A:B, 2,FALSE)</f>
        <v>Completed</v>
      </c>
      <c r="P1309" s="2" t="s">
        <v>36</v>
      </c>
      <c r="Q1309" s="2">
        <v>1</v>
      </c>
      <c r="R1309" s="2" t="s">
        <v>24</v>
      </c>
      <c r="S1309" s="11" t="str">
        <f t="shared" si="103"/>
        <v>Rendah</v>
      </c>
      <c r="T1309" s="2" t="str">
        <f t="shared" si="104"/>
        <v>Sangat Rendah</v>
      </c>
    </row>
    <row r="1310" spans="1:20" ht="15.75" customHeight="1" x14ac:dyDescent="0.3">
      <c r="A1310" s="4" t="s">
        <v>1044</v>
      </c>
      <c r="B1310" s="3">
        <v>45677.359699074077</v>
      </c>
      <c r="C1310" s="2" t="s">
        <v>844</v>
      </c>
      <c r="D1310" s="2" t="s">
        <v>119</v>
      </c>
      <c r="E1310" s="2" t="s">
        <v>54</v>
      </c>
      <c r="F1310" s="2">
        <v>16000</v>
      </c>
      <c r="G1310" s="2">
        <v>1</v>
      </c>
      <c r="H1310" s="2">
        <v>0</v>
      </c>
      <c r="I1310">
        <f t="shared" si="100"/>
        <v>16000</v>
      </c>
      <c r="J1310">
        <f t="shared" si="101"/>
        <v>0</v>
      </c>
      <c r="K1310" s="6">
        <f t="shared" si="102"/>
        <v>16000</v>
      </c>
      <c r="L1310" s="2">
        <v>0</v>
      </c>
      <c r="M1310" s="6">
        <f>Table1[[#This Row],[Total Sales]]+Table1[[#This Row],[Shipping Fee]]</f>
        <v>16000</v>
      </c>
      <c r="N1310" s="2" t="s">
        <v>29</v>
      </c>
      <c r="O1310" t="str">
        <f>VLOOKUP(Table1[[#This Row],[Order ID]],Status!A:B, 2,FALSE)</f>
        <v>Returned</v>
      </c>
      <c r="P1310" s="2" t="s">
        <v>36</v>
      </c>
      <c r="Q1310" s="2">
        <v>4</v>
      </c>
      <c r="R1310" s="2" t="s">
        <v>24</v>
      </c>
      <c r="S1310" s="11" t="str">
        <f t="shared" si="103"/>
        <v>Bagus</v>
      </c>
      <c r="T1310" s="2" t="str">
        <f t="shared" si="104"/>
        <v>Sangat Rendah</v>
      </c>
    </row>
    <row r="1311" spans="1:20" ht="15.75" customHeight="1" x14ac:dyDescent="0.3">
      <c r="A1311" s="4" t="s">
        <v>1043</v>
      </c>
      <c r="B1311" s="3">
        <v>45677.306423611109</v>
      </c>
      <c r="C1311" s="2" t="s">
        <v>532</v>
      </c>
      <c r="D1311" s="2" t="s">
        <v>262</v>
      </c>
      <c r="E1311" s="2" t="s">
        <v>58</v>
      </c>
      <c r="F1311" s="2">
        <v>16000</v>
      </c>
      <c r="G1311" s="2">
        <v>4</v>
      </c>
      <c r="H1311" s="2">
        <v>0</v>
      </c>
      <c r="I1311">
        <f t="shared" si="100"/>
        <v>64000</v>
      </c>
      <c r="J1311">
        <f t="shared" si="101"/>
        <v>0</v>
      </c>
      <c r="K1311" s="6">
        <f t="shared" si="102"/>
        <v>64000</v>
      </c>
      <c r="L1311" s="2">
        <v>0</v>
      </c>
      <c r="M1311" s="6">
        <f>Table1[[#This Row],[Total Sales]]+Table1[[#This Row],[Shipping Fee]]</f>
        <v>64000</v>
      </c>
      <c r="N1311" s="2" t="s">
        <v>29</v>
      </c>
      <c r="O1311" t="str">
        <f>VLOOKUP(Table1[[#This Row],[Order ID]],Status!A:B, 2,FALSE)</f>
        <v>Completed</v>
      </c>
      <c r="P1311" s="2" t="s">
        <v>30</v>
      </c>
      <c r="Q1311" s="2">
        <v>3</v>
      </c>
      <c r="R1311" s="2" t="s">
        <v>24</v>
      </c>
      <c r="S1311" s="11" t="str">
        <f t="shared" si="103"/>
        <v>Standar</v>
      </c>
      <c r="T1311" s="2" t="str">
        <f t="shared" si="104"/>
        <v>Sangat Rendah</v>
      </c>
    </row>
    <row r="1312" spans="1:20" ht="15.75" customHeight="1" x14ac:dyDescent="0.3">
      <c r="A1312" s="4" t="s">
        <v>1043</v>
      </c>
      <c r="B1312" s="3">
        <v>45677.306423611109</v>
      </c>
      <c r="C1312" s="2" t="s">
        <v>532</v>
      </c>
      <c r="D1312" s="2" t="s">
        <v>262</v>
      </c>
      <c r="E1312" s="2" t="s">
        <v>21</v>
      </c>
      <c r="F1312" s="2">
        <v>45000</v>
      </c>
      <c r="G1312" s="2">
        <v>5</v>
      </c>
      <c r="H1312" s="2">
        <v>15</v>
      </c>
      <c r="I1312">
        <f t="shared" si="100"/>
        <v>225000</v>
      </c>
      <c r="J1312">
        <f t="shared" si="101"/>
        <v>33750</v>
      </c>
      <c r="K1312" s="6">
        <f t="shared" si="102"/>
        <v>191250</v>
      </c>
      <c r="L1312" s="2">
        <v>18000</v>
      </c>
      <c r="M1312" s="6">
        <f>Table1[[#This Row],[Total Sales]]+Table1[[#This Row],[Shipping Fee]]</f>
        <v>209250</v>
      </c>
      <c r="N1312" s="2" t="s">
        <v>29</v>
      </c>
      <c r="O1312" t="str">
        <f>VLOOKUP(Table1[[#This Row],[Order ID]],Status!A:B, 2,FALSE)</f>
        <v>Completed</v>
      </c>
      <c r="P1312" s="2" t="s">
        <v>30</v>
      </c>
      <c r="Q1312" s="2">
        <v>3</v>
      </c>
      <c r="R1312" s="2" t="s">
        <v>24</v>
      </c>
      <c r="S1312" s="11" t="str">
        <f t="shared" si="103"/>
        <v>Standar</v>
      </c>
      <c r="T1312" s="2" t="str">
        <f t="shared" si="104"/>
        <v>Tinggi</v>
      </c>
    </row>
    <row r="1313" spans="1:20" ht="15.75" customHeight="1" x14ac:dyDescent="0.3">
      <c r="A1313" s="4" t="s">
        <v>1042</v>
      </c>
      <c r="B1313" s="3">
        <v>45676.972048611111</v>
      </c>
      <c r="C1313" s="2" t="s">
        <v>900</v>
      </c>
      <c r="D1313" s="2" t="s">
        <v>27</v>
      </c>
      <c r="E1313" s="2" t="s">
        <v>28</v>
      </c>
      <c r="F1313" s="2">
        <v>5000</v>
      </c>
      <c r="G1313" s="2">
        <v>3</v>
      </c>
      <c r="H1313" s="2">
        <v>10</v>
      </c>
      <c r="I1313">
        <f t="shared" si="100"/>
        <v>15000</v>
      </c>
      <c r="J1313">
        <f t="shared" si="101"/>
        <v>1500</v>
      </c>
      <c r="K1313" s="6">
        <f t="shared" si="102"/>
        <v>13500</v>
      </c>
      <c r="L1313" s="2">
        <v>17000</v>
      </c>
      <c r="M1313" s="6">
        <f>Table1[[#This Row],[Total Sales]]+Table1[[#This Row],[Shipping Fee]]</f>
        <v>30500</v>
      </c>
      <c r="N1313" s="2" t="s">
        <v>63</v>
      </c>
      <c r="O1313" t="str">
        <f>VLOOKUP(Table1[[#This Row],[Order ID]],Status!A:B, 2,FALSE)</f>
        <v>Completed</v>
      </c>
      <c r="P1313" s="2" t="s">
        <v>46</v>
      </c>
      <c r="Q1313" s="2">
        <v>4</v>
      </c>
      <c r="R1313" s="2" t="s">
        <v>24</v>
      </c>
      <c r="S1313" s="11" t="str">
        <f t="shared" si="103"/>
        <v>Bagus</v>
      </c>
      <c r="T1313" s="2" t="str">
        <f t="shared" si="104"/>
        <v>Sangat Rendah</v>
      </c>
    </row>
    <row r="1314" spans="1:20" ht="15.75" customHeight="1" x14ac:dyDescent="0.3">
      <c r="A1314" s="4" t="s">
        <v>1041</v>
      </c>
      <c r="B1314" s="3">
        <v>45676.858136574083</v>
      </c>
      <c r="C1314" s="2" t="s">
        <v>56</v>
      </c>
      <c r="D1314" s="2" t="s">
        <v>57</v>
      </c>
      <c r="E1314" s="2" t="s">
        <v>81</v>
      </c>
      <c r="F1314" s="2">
        <v>17000</v>
      </c>
      <c r="G1314" s="2">
        <v>2</v>
      </c>
      <c r="H1314" s="2">
        <v>0</v>
      </c>
      <c r="I1314">
        <f t="shared" si="100"/>
        <v>34000</v>
      </c>
      <c r="J1314">
        <f t="shared" si="101"/>
        <v>0</v>
      </c>
      <c r="K1314" s="6">
        <f t="shared" si="102"/>
        <v>34000</v>
      </c>
      <c r="L1314" s="2">
        <v>80000</v>
      </c>
      <c r="M1314" s="6">
        <f>Table1[[#This Row],[Total Sales]]+Table1[[#This Row],[Shipping Fee]]</f>
        <v>114000</v>
      </c>
      <c r="N1314" s="2" t="s">
        <v>29</v>
      </c>
      <c r="O1314" t="str">
        <f>VLOOKUP(Table1[[#This Row],[Order ID]],Status!A:B, 2,FALSE)</f>
        <v>Completed</v>
      </c>
      <c r="P1314" s="2" t="s">
        <v>36</v>
      </c>
      <c r="Q1314" s="2">
        <v>4</v>
      </c>
      <c r="R1314" s="2" t="s">
        <v>24</v>
      </c>
      <c r="S1314" s="11" t="str">
        <f t="shared" si="103"/>
        <v>Bagus</v>
      </c>
      <c r="T1314" s="2" t="str">
        <f t="shared" si="104"/>
        <v>Sangat Rendah</v>
      </c>
    </row>
    <row r="1315" spans="1:20" ht="15.75" customHeight="1" x14ac:dyDescent="0.3">
      <c r="A1315" s="4" t="s">
        <v>1039</v>
      </c>
      <c r="B1315" s="3">
        <v>45676.824733796297</v>
      </c>
      <c r="C1315" s="2" t="s">
        <v>1040</v>
      </c>
      <c r="D1315" s="2" t="s">
        <v>61</v>
      </c>
      <c r="E1315" s="2" t="s">
        <v>110</v>
      </c>
      <c r="F1315" s="2">
        <v>6000</v>
      </c>
      <c r="G1315" s="2">
        <v>2</v>
      </c>
      <c r="H1315" s="2">
        <v>20</v>
      </c>
      <c r="I1315">
        <f t="shared" si="100"/>
        <v>12000</v>
      </c>
      <c r="J1315">
        <f t="shared" si="101"/>
        <v>2400</v>
      </c>
      <c r="K1315" s="6">
        <f t="shared" si="102"/>
        <v>9600</v>
      </c>
      <c r="L1315" s="2">
        <v>26000</v>
      </c>
      <c r="M1315" s="6">
        <f>Table1[[#This Row],[Total Sales]]+Table1[[#This Row],[Shipping Fee]]</f>
        <v>35600</v>
      </c>
      <c r="N1315" s="2" t="s">
        <v>29</v>
      </c>
      <c r="O1315" t="str">
        <f>VLOOKUP(Table1[[#This Row],[Order ID]],Status!A:B, 2,FALSE)</f>
        <v>Completed</v>
      </c>
      <c r="P1315" s="2" t="s">
        <v>30</v>
      </c>
      <c r="Q1315" s="2">
        <v>1</v>
      </c>
      <c r="R1315" s="2" t="s">
        <v>24</v>
      </c>
      <c r="S1315" s="11" t="str">
        <f t="shared" si="103"/>
        <v>Rendah</v>
      </c>
      <c r="T1315" s="2" t="str">
        <f t="shared" si="104"/>
        <v>Sangat Rendah</v>
      </c>
    </row>
    <row r="1316" spans="1:20" ht="15.75" customHeight="1" x14ac:dyDescent="0.3">
      <c r="A1316" s="4" t="s">
        <v>1037</v>
      </c>
      <c r="B1316" s="3">
        <v>45676.761990740742</v>
      </c>
      <c r="C1316" s="2" t="s">
        <v>1038</v>
      </c>
      <c r="D1316" s="2" t="s">
        <v>53</v>
      </c>
      <c r="E1316" s="2" t="s">
        <v>174</v>
      </c>
      <c r="F1316" s="2">
        <v>10000</v>
      </c>
      <c r="G1316" s="2">
        <v>3</v>
      </c>
      <c r="H1316" s="2">
        <v>5</v>
      </c>
      <c r="I1316">
        <f t="shared" si="100"/>
        <v>30000</v>
      </c>
      <c r="J1316">
        <f t="shared" si="101"/>
        <v>1500</v>
      </c>
      <c r="K1316" s="6">
        <f t="shared" si="102"/>
        <v>28500</v>
      </c>
      <c r="L1316" s="2">
        <v>18000</v>
      </c>
      <c r="M1316" s="6">
        <f>Table1[[#This Row],[Total Sales]]+Table1[[#This Row],[Shipping Fee]]</f>
        <v>46500</v>
      </c>
      <c r="N1316" s="2" t="s">
        <v>29</v>
      </c>
      <c r="O1316" t="str">
        <f>VLOOKUP(Table1[[#This Row],[Order ID]],Status!A:B, 2,FALSE)</f>
        <v>Completed</v>
      </c>
      <c r="P1316" s="2" t="s">
        <v>46</v>
      </c>
      <c r="Q1316" s="2">
        <v>3</v>
      </c>
      <c r="R1316" s="2" t="s">
        <v>24</v>
      </c>
      <c r="S1316" s="11" t="str">
        <f t="shared" si="103"/>
        <v>Standar</v>
      </c>
      <c r="T1316" s="2" t="str">
        <f t="shared" si="104"/>
        <v>Sangat Rendah</v>
      </c>
    </row>
    <row r="1317" spans="1:20" ht="15.75" customHeight="1" x14ac:dyDescent="0.3">
      <c r="A1317" s="4" t="s">
        <v>1036</v>
      </c>
      <c r="B1317" s="3">
        <v>45676.735034722216</v>
      </c>
      <c r="C1317" s="2" t="s">
        <v>748</v>
      </c>
      <c r="D1317" s="2" t="s">
        <v>160</v>
      </c>
      <c r="E1317" s="2" t="s">
        <v>62</v>
      </c>
      <c r="F1317" s="2">
        <v>50000</v>
      </c>
      <c r="G1317" s="2">
        <v>5</v>
      </c>
      <c r="H1317" s="2">
        <v>20</v>
      </c>
      <c r="I1317">
        <f t="shared" si="100"/>
        <v>250000</v>
      </c>
      <c r="J1317">
        <f t="shared" si="101"/>
        <v>50000</v>
      </c>
      <c r="K1317" s="6">
        <f t="shared" si="102"/>
        <v>200000</v>
      </c>
      <c r="L1317" s="2">
        <v>68000</v>
      </c>
      <c r="M1317" s="6">
        <f>Table1[[#This Row],[Total Sales]]+Table1[[#This Row],[Shipping Fee]]</f>
        <v>268000</v>
      </c>
      <c r="N1317" s="2" t="s">
        <v>63</v>
      </c>
      <c r="O1317" t="str">
        <f>VLOOKUP(Table1[[#This Row],[Order ID]],Status!A:B, 2,FALSE)</f>
        <v>Completed</v>
      </c>
      <c r="P1317" s="2" t="s">
        <v>82</v>
      </c>
      <c r="Q1317" s="2">
        <v>3</v>
      </c>
      <c r="R1317" s="2" t="s">
        <v>24</v>
      </c>
      <c r="S1317" s="11" t="str">
        <f t="shared" si="103"/>
        <v>Standar</v>
      </c>
      <c r="T1317" s="2" t="str">
        <f t="shared" si="104"/>
        <v>Sangat Tinggi</v>
      </c>
    </row>
    <row r="1318" spans="1:20" ht="15.75" customHeight="1" x14ac:dyDescent="0.3">
      <c r="A1318" s="4" t="s">
        <v>1034</v>
      </c>
      <c r="B1318" s="3">
        <v>45676.610335648147</v>
      </c>
      <c r="C1318" s="2" t="s">
        <v>1035</v>
      </c>
      <c r="D1318" s="2" t="s">
        <v>66</v>
      </c>
      <c r="E1318" s="2" t="s">
        <v>54</v>
      </c>
      <c r="F1318" s="2">
        <v>16000</v>
      </c>
      <c r="G1318" s="2">
        <v>1</v>
      </c>
      <c r="H1318" s="2">
        <v>10</v>
      </c>
      <c r="I1318">
        <f t="shared" si="100"/>
        <v>16000</v>
      </c>
      <c r="J1318">
        <f t="shared" si="101"/>
        <v>1600</v>
      </c>
      <c r="K1318" s="6">
        <f t="shared" si="102"/>
        <v>14400</v>
      </c>
      <c r="L1318" s="2">
        <v>0</v>
      </c>
      <c r="M1318" s="6">
        <f>Table1[[#This Row],[Total Sales]]+Table1[[#This Row],[Shipping Fee]]</f>
        <v>14400</v>
      </c>
      <c r="N1318" s="2" t="s">
        <v>29</v>
      </c>
      <c r="O1318" t="str">
        <f>VLOOKUP(Table1[[#This Row],[Order ID]],Status!A:B, 2,FALSE)</f>
        <v>Completed</v>
      </c>
      <c r="P1318" s="2" t="s">
        <v>23</v>
      </c>
      <c r="Q1318" s="2">
        <v>4</v>
      </c>
      <c r="R1318" s="2" t="s">
        <v>24</v>
      </c>
      <c r="S1318" s="11" t="str">
        <f t="shared" si="103"/>
        <v>Bagus</v>
      </c>
      <c r="T1318" s="2" t="str">
        <f t="shared" si="104"/>
        <v>Sangat Rendah</v>
      </c>
    </row>
    <row r="1319" spans="1:20" ht="15.75" customHeight="1" x14ac:dyDescent="0.3">
      <c r="A1319" s="4" t="s">
        <v>1034</v>
      </c>
      <c r="B1319" s="3">
        <v>45676.610335648147</v>
      </c>
      <c r="C1319" s="2" t="s">
        <v>1035</v>
      </c>
      <c r="D1319" s="2" t="s">
        <v>66</v>
      </c>
      <c r="E1319" s="2" t="s">
        <v>21</v>
      </c>
      <c r="F1319" s="2">
        <v>45000</v>
      </c>
      <c r="G1319" s="2">
        <v>4</v>
      </c>
      <c r="H1319" s="2">
        <v>15</v>
      </c>
      <c r="I1319">
        <f t="shared" si="100"/>
        <v>180000</v>
      </c>
      <c r="J1319">
        <f t="shared" si="101"/>
        <v>27000</v>
      </c>
      <c r="K1319" s="6">
        <f t="shared" si="102"/>
        <v>153000</v>
      </c>
      <c r="L1319" s="2">
        <v>59000</v>
      </c>
      <c r="M1319" s="6">
        <f>Table1[[#This Row],[Total Sales]]+Table1[[#This Row],[Shipping Fee]]</f>
        <v>212000</v>
      </c>
      <c r="N1319" s="2" t="s">
        <v>29</v>
      </c>
      <c r="O1319" t="str">
        <f>VLOOKUP(Table1[[#This Row],[Order ID]],Status!A:B, 2,FALSE)</f>
        <v>Completed</v>
      </c>
      <c r="P1319" s="2" t="s">
        <v>23</v>
      </c>
      <c r="Q1319" s="2">
        <v>4</v>
      </c>
      <c r="R1319" s="2" t="s">
        <v>24</v>
      </c>
      <c r="S1319" s="11" t="str">
        <f t="shared" si="103"/>
        <v>Bagus</v>
      </c>
      <c r="T1319" s="2" t="str">
        <f t="shared" si="104"/>
        <v>Tinggi</v>
      </c>
    </row>
    <row r="1320" spans="1:20" ht="15.75" customHeight="1" x14ac:dyDescent="0.3">
      <c r="A1320" s="4" t="s">
        <v>1032</v>
      </c>
      <c r="B1320" s="3">
        <v>45676.408773148149</v>
      </c>
      <c r="C1320" s="2" t="s">
        <v>1033</v>
      </c>
      <c r="D1320" s="2" t="s">
        <v>122</v>
      </c>
      <c r="E1320" s="2" t="s">
        <v>38</v>
      </c>
      <c r="F1320" s="2">
        <v>28000</v>
      </c>
      <c r="G1320" s="2">
        <v>2</v>
      </c>
      <c r="H1320" s="2">
        <v>15</v>
      </c>
      <c r="I1320">
        <f t="shared" si="100"/>
        <v>56000</v>
      </c>
      <c r="J1320">
        <f t="shared" si="101"/>
        <v>8400</v>
      </c>
      <c r="K1320" s="6">
        <f t="shared" si="102"/>
        <v>47600</v>
      </c>
      <c r="L1320" s="2">
        <v>78000</v>
      </c>
      <c r="M1320" s="6">
        <f>Table1[[#This Row],[Total Sales]]+Table1[[#This Row],[Shipping Fee]]</f>
        <v>125600</v>
      </c>
      <c r="N1320" s="2" t="s">
        <v>35</v>
      </c>
      <c r="O1320" t="str">
        <f>VLOOKUP(Table1[[#This Row],[Order ID]],Status!A:B, 2,FALSE)</f>
        <v>Completed</v>
      </c>
      <c r="P1320" s="2" t="s">
        <v>23</v>
      </c>
      <c r="Q1320" s="2">
        <v>3</v>
      </c>
      <c r="R1320" s="2" t="s">
        <v>24</v>
      </c>
      <c r="S1320" s="11" t="str">
        <f t="shared" si="103"/>
        <v>Standar</v>
      </c>
      <c r="T1320" s="2" t="str">
        <f t="shared" si="104"/>
        <v>Rendah</v>
      </c>
    </row>
    <row r="1321" spans="1:20" ht="15.75" customHeight="1" x14ac:dyDescent="0.3">
      <c r="A1321" s="4" t="s">
        <v>1031</v>
      </c>
      <c r="B1321" s="3">
        <v>45676.351226851853</v>
      </c>
      <c r="C1321" s="2" t="s">
        <v>705</v>
      </c>
      <c r="D1321" s="2" t="s">
        <v>189</v>
      </c>
      <c r="E1321" s="2" t="s">
        <v>38</v>
      </c>
      <c r="F1321" s="2">
        <v>28000</v>
      </c>
      <c r="G1321" s="2">
        <v>2</v>
      </c>
      <c r="H1321" s="2">
        <v>20</v>
      </c>
      <c r="I1321">
        <f t="shared" si="100"/>
        <v>56000</v>
      </c>
      <c r="J1321">
        <f t="shared" si="101"/>
        <v>11200</v>
      </c>
      <c r="K1321" s="6">
        <f t="shared" si="102"/>
        <v>44800</v>
      </c>
      <c r="L1321" s="2">
        <v>57000</v>
      </c>
      <c r="M1321" s="6">
        <f>Table1[[#This Row],[Total Sales]]+Table1[[#This Row],[Shipping Fee]]</f>
        <v>101800</v>
      </c>
      <c r="N1321" s="2" t="s">
        <v>29</v>
      </c>
      <c r="O1321" t="str">
        <f>VLOOKUP(Table1[[#This Row],[Order ID]],Status!A:B, 2,FALSE)</f>
        <v>Completed</v>
      </c>
      <c r="P1321" s="2" t="s">
        <v>82</v>
      </c>
      <c r="Q1321" s="2">
        <v>4</v>
      </c>
      <c r="R1321" s="2" t="s">
        <v>24</v>
      </c>
      <c r="S1321" s="11" t="str">
        <f t="shared" si="103"/>
        <v>Bagus</v>
      </c>
      <c r="T1321" s="2" t="str">
        <f t="shared" si="104"/>
        <v>Normal</v>
      </c>
    </row>
    <row r="1322" spans="1:20" ht="15.75" customHeight="1" x14ac:dyDescent="0.3">
      <c r="A1322" s="4" t="s">
        <v>1030</v>
      </c>
      <c r="B1322" s="3">
        <v>45676.33221064815</v>
      </c>
      <c r="C1322" s="2" t="s">
        <v>121</v>
      </c>
      <c r="D1322" s="2" t="s">
        <v>122</v>
      </c>
      <c r="E1322" s="2" t="s">
        <v>38</v>
      </c>
      <c r="F1322" s="2">
        <v>28000</v>
      </c>
      <c r="G1322" s="2">
        <v>5</v>
      </c>
      <c r="H1322" s="2">
        <v>10</v>
      </c>
      <c r="I1322">
        <f t="shared" si="100"/>
        <v>140000</v>
      </c>
      <c r="J1322">
        <f t="shared" si="101"/>
        <v>14000</v>
      </c>
      <c r="K1322" s="6">
        <f t="shared" si="102"/>
        <v>126000</v>
      </c>
      <c r="L1322" s="2">
        <v>78000</v>
      </c>
      <c r="M1322" s="6">
        <f>Table1[[#This Row],[Total Sales]]+Table1[[#This Row],[Shipping Fee]]</f>
        <v>204000</v>
      </c>
      <c r="N1322" s="2" t="s">
        <v>63</v>
      </c>
      <c r="O1322" t="str">
        <f>VLOOKUP(Table1[[#This Row],[Order ID]],Status!A:B, 2,FALSE)</f>
        <v>Completed</v>
      </c>
      <c r="P1322" s="2" t="s">
        <v>23</v>
      </c>
      <c r="Q1322" s="2">
        <v>5</v>
      </c>
      <c r="R1322" s="2" t="s">
        <v>24</v>
      </c>
      <c r="S1322" s="11" t="str">
        <f t="shared" si="103"/>
        <v>Bagus</v>
      </c>
      <c r="T1322" s="2" t="str">
        <f t="shared" si="104"/>
        <v>Normal</v>
      </c>
    </row>
    <row r="1323" spans="1:20" ht="15.75" customHeight="1" x14ac:dyDescent="0.3">
      <c r="A1323" s="4" t="s">
        <v>1029</v>
      </c>
      <c r="B1323" s="3">
        <v>45675.945648148147</v>
      </c>
      <c r="C1323" s="2" t="s">
        <v>383</v>
      </c>
      <c r="D1323" s="2" t="s">
        <v>122</v>
      </c>
      <c r="E1323" s="2" t="s">
        <v>250</v>
      </c>
      <c r="F1323" s="2">
        <v>18000</v>
      </c>
      <c r="G1323" s="2">
        <v>4</v>
      </c>
      <c r="H1323" s="2">
        <v>20</v>
      </c>
      <c r="I1323">
        <f t="shared" si="100"/>
        <v>72000</v>
      </c>
      <c r="J1323">
        <f t="shared" si="101"/>
        <v>14400</v>
      </c>
      <c r="K1323" s="6">
        <f t="shared" si="102"/>
        <v>57600</v>
      </c>
      <c r="L1323" s="2">
        <v>78000</v>
      </c>
      <c r="M1323" s="6">
        <f>Table1[[#This Row],[Total Sales]]+Table1[[#This Row],[Shipping Fee]]</f>
        <v>135600</v>
      </c>
      <c r="N1323" s="2" t="s">
        <v>22</v>
      </c>
      <c r="O1323" t="str">
        <f>VLOOKUP(Table1[[#This Row],[Order ID]],Status!A:B, 2,FALSE)</f>
        <v>Completed</v>
      </c>
      <c r="P1323" s="2" t="s">
        <v>46</v>
      </c>
      <c r="Q1323" s="2">
        <v>2</v>
      </c>
      <c r="R1323" s="2" t="s">
        <v>24</v>
      </c>
      <c r="S1323" s="11" t="str">
        <f t="shared" si="103"/>
        <v>Rendah</v>
      </c>
      <c r="T1323" s="2" t="str">
        <f t="shared" si="104"/>
        <v>Normal</v>
      </c>
    </row>
    <row r="1324" spans="1:20" ht="15.75" customHeight="1" x14ac:dyDescent="0.3">
      <c r="A1324" s="4" t="s">
        <v>1028</v>
      </c>
      <c r="B1324" s="3">
        <v>45675.588506944441</v>
      </c>
      <c r="C1324" s="2" t="s">
        <v>443</v>
      </c>
      <c r="D1324" s="2" t="s">
        <v>53</v>
      </c>
      <c r="E1324" s="2" t="s">
        <v>62</v>
      </c>
      <c r="F1324" s="2">
        <v>50000</v>
      </c>
      <c r="G1324" s="2">
        <v>3</v>
      </c>
      <c r="H1324" s="2">
        <v>20</v>
      </c>
      <c r="I1324">
        <f t="shared" si="100"/>
        <v>150000</v>
      </c>
      <c r="J1324">
        <f t="shared" si="101"/>
        <v>30000</v>
      </c>
      <c r="K1324" s="6">
        <f t="shared" si="102"/>
        <v>120000</v>
      </c>
      <c r="L1324" s="2">
        <v>18000</v>
      </c>
      <c r="M1324" s="6">
        <f>Table1[[#This Row],[Total Sales]]+Table1[[#This Row],[Shipping Fee]]</f>
        <v>138000</v>
      </c>
      <c r="N1324" s="2" t="s">
        <v>29</v>
      </c>
      <c r="O1324" t="str">
        <f>VLOOKUP(Table1[[#This Row],[Order ID]],Status!A:B, 2,FALSE)</f>
        <v>Completed</v>
      </c>
      <c r="P1324" s="2" t="s">
        <v>23</v>
      </c>
      <c r="Q1324" s="2">
        <v>5</v>
      </c>
      <c r="R1324" s="2" t="s">
        <v>24</v>
      </c>
      <c r="S1324" s="11" t="str">
        <f t="shared" si="103"/>
        <v>Bagus</v>
      </c>
      <c r="T1324" s="2" t="str">
        <f t="shared" si="104"/>
        <v>Tinggi</v>
      </c>
    </row>
    <row r="1325" spans="1:20" ht="15.75" customHeight="1" x14ac:dyDescent="0.3">
      <c r="A1325" s="4" t="s">
        <v>1027</v>
      </c>
      <c r="B1325" s="3">
        <v>45675.290925925918</v>
      </c>
      <c r="C1325" s="2" t="s">
        <v>434</v>
      </c>
      <c r="D1325" s="2" t="s">
        <v>435</v>
      </c>
      <c r="E1325" s="2" t="s">
        <v>41</v>
      </c>
      <c r="F1325" s="2">
        <v>4000</v>
      </c>
      <c r="G1325" s="2">
        <v>2</v>
      </c>
      <c r="H1325" s="2">
        <v>5</v>
      </c>
      <c r="I1325">
        <f t="shared" si="100"/>
        <v>8000</v>
      </c>
      <c r="J1325">
        <f t="shared" si="101"/>
        <v>400</v>
      </c>
      <c r="K1325" s="6">
        <f t="shared" si="102"/>
        <v>7600</v>
      </c>
      <c r="L1325" s="2">
        <v>67000</v>
      </c>
      <c r="M1325" s="6">
        <f>Table1[[#This Row],[Total Sales]]+Table1[[#This Row],[Shipping Fee]]</f>
        <v>74600</v>
      </c>
      <c r="N1325" s="2" t="s">
        <v>22</v>
      </c>
      <c r="O1325" t="str">
        <f>VLOOKUP(Table1[[#This Row],[Order ID]],Status!A:B, 2,FALSE)</f>
        <v>Returned</v>
      </c>
      <c r="P1325" s="2" t="s">
        <v>82</v>
      </c>
      <c r="Q1325" s="2">
        <v>2</v>
      </c>
      <c r="R1325" s="2" t="s">
        <v>24</v>
      </c>
      <c r="S1325" s="11" t="str">
        <f t="shared" si="103"/>
        <v>Rendah</v>
      </c>
      <c r="T1325" s="2" t="str">
        <f t="shared" si="104"/>
        <v>Sangat Rendah</v>
      </c>
    </row>
    <row r="1326" spans="1:20" ht="15.75" customHeight="1" x14ac:dyDescent="0.3">
      <c r="A1326" s="4" t="s">
        <v>1026</v>
      </c>
      <c r="B1326" s="3">
        <v>45675.224085648151</v>
      </c>
      <c r="C1326" s="2" t="s">
        <v>748</v>
      </c>
      <c r="D1326" s="2" t="s">
        <v>160</v>
      </c>
      <c r="E1326" s="2" t="s">
        <v>174</v>
      </c>
      <c r="F1326" s="2">
        <v>10000</v>
      </c>
      <c r="G1326" s="2">
        <v>1</v>
      </c>
      <c r="H1326" s="2">
        <v>20</v>
      </c>
      <c r="I1326">
        <f t="shared" si="100"/>
        <v>10000</v>
      </c>
      <c r="J1326">
        <f t="shared" si="101"/>
        <v>2000</v>
      </c>
      <c r="K1326" s="6">
        <f t="shared" si="102"/>
        <v>8000</v>
      </c>
      <c r="L1326" s="2">
        <v>68000</v>
      </c>
      <c r="M1326" s="6">
        <f>Table1[[#This Row],[Total Sales]]+Table1[[#This Row],[Shipping Fee]]</f>
        <v>76000</v>
      </c>
      <c r="N1326" s="2" t="s">
        <v>35</v>
      </c>
      <c r="O1326" t="str">
        <f>VLOOKUP(Table1[[#This Row],[Order ID]],Status!A:B, 2,FALSE)</f>
        <v>Completed</v>
      </c>
      <c r="P1326" s="2" t="s">
        <v>23</v>
      </c>
      <c r="Q1326" s="2">
        <v>5</v>
      </c>
      <c r="R1326" s="2" t="s">
        <v>24</v>
      </c>
      <c r="S1326" s="11" t="str">
        <f t="shared" si="103"/>
        <v>Bagus</v>
      </c>
      <c r="T1326" s="2" t="str">
        <f t="shared" si="104"/>
        <v>Sangat Rendah</v>
      </c>
    </row>
    <row r="1327" spans="1:20" ht="15.75" customHeight="1" x14ac:dyDescent="0.3">
      <c r="A1327" s="4" t="s">
        <v>1024</v>
      </c>
      <c r="B1327" s="3">
        <v>45674.734398148154</v>
      </c>
      <c r="C1327" s="2" t="s">
        <v>1025</v>
      </c>
      <c r="D1327" s="2" t="s">
        <v>119</v>
      </c>
      <c r="E1327" s="2" t="s">
        <v>34</v>
      </c>
      <c r="F1327" s="2">
        <v>16000</v>
      </c>
      <c r="G1327" s="2">
        <v>4</v>
      </c>
      <c r="H1327" s="2">
        <v>5</v>
      </c>
      <c r="I1327">
        <f t="shared" si="100"/>
        <v>64000</v>
      </c>
      <c r="J1327">
        <f t="shared" si="101"/>
        <v>3200</v>
      </c>
      <c r="K1327" s="6">
        <f t="shared" si="102"/>
        <v>60800</v>
      </c>
      <c r="L1327" s="2">
        <v>0</v>
      </c>
      <c r="M1327" s="6">
        <f>Table1[[#This Row],[Total Sales]]+Table1[[#This Row],[Shipping Fee]]</f>
        <v>60800</v>
      </c>
      <c r="N1327" s="2" t="s">
        <v>29</v>
      </c>
      <c r="O1327" t="str">
        <f>VLOOKUP(Table1[[#This Row],[Order ID]],Status!A:B, 2,FALSE)</f>
        <v>Completed</v>
      </c>
      <c r="P1327" s="2" t="s">
        <v>23</v>
      </c>
      <c r="Q1327" s="2">
        <v>5</v>
      </c>
      <c r="R1327" s="2" t="s">
        <v>24</v>
      </c>
      <c r="S1327" s="11" t="str">
        <f t="shared" si="103"/>
        <v>Bagus</v>
      </c>
      <c r="T1327" s="2" t="str">
        <f t="shared" si="104"/>
        <v>Sangat Rendah</v>
      </c>
    </row>
    <row r="1328" spans="1:20" ht="15.75" customHeight="1" x14ac:dyDescent="0.3">
      <c r="A1328" s="4" t="s">
        <v>1023</v>
      </c>
      <c r="B1328" s="3">
        <v>45674.723275462973</v>
      </c>
      <c r="C1328" s="2" t="s">
        <v>834</v>
      </c>
      <c r="D1328" s="2" t="s">
        <v>177</v>
      </c>
      <c r="E1328" s="2" t="s">
        <v>110</v>
      </c>
      <c r="F1328" s="2">
        <v>6000</v>
      </c>
      <c r="G1328" s="2">
        <v>1</v>
      </c>
      <c r="H1328" s="2">
        <v>20</v>
      </c>
      <c r="I1328">
        <f t="shared" si="100"/>
        <v>6000</v>
      </c>
      <c r="J1328">
        <f t="shared" si="101"/>
        <v>1200</v>
      </c>
      <c r="K1328" s="6">
        <f t="shared" si="102"/>
        <v>4800</v>
      </c>
      <c r="L1328" s="2">
        <v>56000</v>
      </c>
      <c r="M1328" s="6">
        <f>Table1[[#This Row],[Total Sales]]+Table1[[#This Row],[Shipping Fee]]</f>
        <v>60800</v>
      </c>
      <c r="N1328" s="2" t="s">
        <v>29</v>
      </c>
      <c r="O1328" t="str">
        <f>VLOOKUP(Table1[[#This Row],[Order ID]],Status!A:B, 2,FALSE)</f>
        <v>Returned</v>
      </c>
      <c r="P1328" s="2" t="s">
        <v>82</v>
      </c>
      <c r="Q1328" s="2">
        <v>4</v>
      </c>
      <c r="R1328" s="2" t="s">
        <v>37</v>
      </c>
      <c r="S1328" s="11" t="str">
        <f t="shared" si="103"/>
        <v>Bagus</v>
      </c>
      <c r="T1328" s="2" t="str">
        <f t="shared" si="104"/>
        <v>Sangat Rendah</v>
      </c>
    </row>
    <row r="1329" spans="1:20" ht="15.75" customHeight="1" x14ac:dyDescent="0.3">
      <c r="A1329" s="4" t="s">
        <v>1021</v>
      </c>
      <c r="B1329" s="3">
        <v>45674.68172453704</v>
      </c>
      <c r="C1329" s="2" t="s">
        <v>1022</v>
      </c>
      <c r="D1329" s="2" t="s">
        <v>177</v>
      </c>
      <c r="E1329" s="2" t="s">
        <v>174</v>
      </c>
      <c r="F1329" s="2">
        <v>10000</v>
      </c>
      <c r="G1329" s="2">
        <v>4</v>
      </c>
      <c r="H1329" s="2">
        <v>15</v>
      </c>
      <c r="I1329">
        <f t="shared" si="100"/>
        <v>40000</v>
      </c>
      <c r="J1329">
        <f t="shared" si="101"/>
        <v>6000</v>
      </c>
      <c r="K1329" s="6">
        <f t="shared" si="102"/>
        <v>34000</v>
      </c>
      <c r="L1329" s="2">
        <v>56000</v>
      </c>
      <c r="M1329" s="6">
        <f>Table1[[#This Row],[Total Sales]]+Table1[[#This Row],[Shipping Fee]]</f>
        <v>90000</v>
      </c>
      <c r="N1329" s="2" t="s">
        <v>22</v>
      </c>
      <c r="O1329" t="str">
        <f>VLOOKUP(Table1[[#This Row],[Order ID]],Status!A:B, 2,FALSE)</f>
        <v>Completed</v>
      </c>
      <c r="P1329" s="2" t="s">
        <v>23</v>
      </c>
      <c r="Q1329" s="2">
        <v>2</v>
      </c>
      <c r="R1329" s="2" t="s">
        <v>24</v>
      </c>
      <c r="S1329" s="11" t="str">
        <f t="shared" si="103"/>
        <v>Rendah</v>
      </c>
      <c r="T1329" s="2" t="str">
        <f t="shared" si="104"/>
        <v>Rendah</v>
      </c>
    </row>
    <row r="1330" spans="1:20" ht="15.75" customHeight="1" x14ac:dyDescent="0.3">
      <c r="A1330" s="4" t="s">
        <v>1020</v>
      </c>
      <c r="B1330" s="3">
        <v>45674.63821759259</v>
      </c>
      <c r="C1330" s="2" t="s">
        <v>656</v>
      </c>
      <c r="D1330" s="2" t="s">
        <v>195</v>
      </c>
      <c r="E1330" s="2" t="s">
        <v>67</v>
      </c>
      <c r="F1330" s="2">
        <v>15000</v>
      </c>
      <c r="G1330" s="2">
        <v>1</v>
      </c>
      <c r="H1330" s="2">
        <v>0</v>
      </c>
      <c r="I1330">
        <f t="shared" si="100"/>
        <v>15000</v>
      </c>
      <c r="J1330">
        <f t="shared" si="101"/>
        <v>0</v>
      </c>
      <c r="K1330" s="6">
        <f t="shared" si="102"/>
        <v>15000</v>
      </c>
      <c r="L1330" s="2">
        <v>87000</v>
      </c>
      <c r="M1330" s="6">
        <f>Table1[[#This Row],[Total Sales]]+Table1[[#This Row],[Shipping Fee]]</f>
        <v>102000</v>
      </c>
      <c r="N1330" s="2" t="s">
        <v>35</v>
      </c>
      <c r="O1330" t="str">
        <f>VLOOKUP(Table1[[#This Row],[Order ID]],Status!A:B, 2,FALSE)</f>
        <v>Completed</v>
      </c>
      <c r="P1330" s="2" t="s">
        <v>30</v>
      </c>
      <c r="Q1330" s="2">
        <v>4</v>
      </c>
      <c r="R1330" s="2" t="s">
        <v>37</v>
      </c>
      <c r="S1330" s="11" t="str">
        <f t="shared" si="103"/>
        <v>Bagus</v>
      </c>
      <c r="T1330" s="2" t="str">
        <f t="shared" si="104"/>
        <v>Sangat Rendah</v>
      </c>
    </row>
    <row r="1331" spans="1:20" ht="15.75" customHeight="1" x14ac:dyDescent="0.3">
      <c r="A1331" s="4" t="s">
        <v>1019</v>
      </c>
      <c r="B1331" s="3">
        <v>45674.37940972222</v>
      </c>
      <c r="C1331" s="2" t="s">
        <v>918</v>
      </c>
      <c r="D1331" s="2" t="s">
        <v>296</v>
      </c>
      <c r="E1331" s="2" t="s">
        <v>174</v>
      </c>
      <c r="F1331" s="2">
        <v>10000</v>
      </c>
      <c r="G1331" s="2">
        <v>4</v>
      </c>
      <c r="H1331" s="2">
        <v>15</v>
      </c>
      <c r="I1331">
        <f t="shared" si="100"/>
        <v>40000</v>
      </c>
      <c r="J1331">
        <f t="shared" si="101"/>
        <v>6000</v>
      </c>
      <c r="K1331" s="6">
        <f t="shared" si="102"/>
        <v>34000</v>
      </c>
      <c r="L1331" s="2">
        <v>79000</v>
      </c>
      <c r="M1331" s="6">
        <f>Table1[[#This Row],[Total Sales]]+Table1[[#This Row],[Shipping Fee]]</f>
        <v>113000</v>
      </c>
      <c r="N1331" s="2" t="s">
        <v>63</v>
      </c>
      <c r="O1331" t="str">
        <f>VLOOKUP(Table1[[#This Row],[Order ID]],Status!A:B, 2,FALSE)</f>
        <v>Completed</v>
      </c>
      <c r="P1331" s="2" t="s">
        <v>30</v>
      </c>
      <c r="Q1331" s="2">
        <v>2</v>
      </c>
      <c r="R1331" s="2" t="s">
        <v>24</v>
      </c>
      <c r="S1331" s="11" t="str">
        <f t="shared" si="103"/>
        <v>Rendah</v>
      </c>
      <c r="T1331" s="2" t="str">
        <f t="shared" si="104"/>
        <v>Rendah</v>
      </c>
    </row>
    <row r="1332" spans="1:20" ht="15.75" customHeight="1" x14ac:dyDescent="0.3">
      <c r="A1332" s="4" t="s">
        <v>1018</v>
      </c>
      <c r="B1332" s="3">
        <v>45674.179270833331</v>
      </c>
      <c r="C1332" s="2" t="s">
        <v>412</v>
      </c>
      <c r="D1332" s="2" t="s">
        <v>70</v>
      </c>
      <c r="E1332" s="2" t="s">
        <v>110</v>
      </c>
      <c r="F1332" s="2">
        <v>6000</v>
      </c>
      <c r="G1332" s="2">
        <v>5</v>
      </c>
      <c r="H1332" s="2">
        <v>20</v>
      </c>
      <c r="I1332">
        <f t="shared" si="100"/>
        <v>30000</v>
      </c>
      <c r="J1332">
        <f t="shared" si="101"/>
        <v>6000</v>
      </c>
      <c r="K1332" s="6">
        <f t="shared" si="102"/>
        <v>24000</v>
      </c>
      <c r="L1332" s="2">
        <v>89000</v>
      </c>
      <c r="M1332" s="6">
        <f>Table1[[#This Row],[Total Sales]]+Table1[[#This Row],[Shipping Fee]]</f>
        <v>113000</v>
      </c>
      <c r="N1332" s="2" t="s">
        <v>22</v>
      </c>
      <c r="O1332" t="str">
        <f>VLOOKUP(Table1[[#This Row],[Order ID]],Status!A:B, 2,FALSE)</f>
        <v>Completed</v>
      </c>
      <c r="P1332" s="2" t="s">
        <v>30</v>
      </c>
      <c r="Q1332" s="2">
        <v>5</v>
      </c>
      <c r="R1332" s="2" t="s">
        <v>24</v>
      </c>
      <c r="S1332" s="11" t="str">
        <f t="shared" si="103"/>
        <v>Bagus</v>
      </c>
      <c r="T1332" s="2" t="str">
        <f t="shared" si="104"/>
        <v>Rendah</v>
      </c>
    </row>
    <row r="1333" spans="1:20" ht="15.75" customHeight="1" x14ac:dyDescent="0.3">
      <c r="A1333" s="4" t="s">
        <v>1017</v>
      </c>
      <c r="B1333" s="3">
        <v>45673.907708333332</v>
      </c>
      <c r="C1333" s="2" t="s">
        <v>722</v>
      </c>
      <c r="D1333" s="2" t="s">
        <v>57</v>
      </c>
      <c r="E1333" s="2" t="s">
        <v>38</v>
      </c>
      <c r="F1333" s="2">
        <v>28000</v>
      </c>
      <c r="G1333" s="2">
        <v>1</v>
      </c>
      <c r="H1333" s="2">
        <v>5</v>
      </c>
      <c r="I1333">
        <f t="shared" si="100"/>
        <v>28000</v>
      </c>
      <c r="J1333">
        <f t="shared" si="101"/>
        <v>1400</v>
      </c>
      <c r="K1333" s="6">
        <f t="shared" si="102"/>
        <v>26600</v>
      </c>
      <c r="L1333" s="2">
        <v>80000</v>
      </c>
      <c r="M1333" s="6">
        <f>Table1[[#This Row],[Total Sales]]+Table1[[#This Row],[Shipping Fee]]</f>
        <v>106600</v>
      </c>
      <c r="N1333" s="2" t="s">
        <v>22</v>
      </c>
      <c r="O1333" t="str">
        <f>VLOOKUP(Table1[[#This Row],[Order ID]],Status!A:B, 2,FALSE)</f>
        <v>Completed</v>
      </c>
      <c r="P1333" s="2" t="s">
        <v>46</v>
      </c>
      <c r="Q1333" s="2">
        <v>2</v>
      </c>
      <c r="R1333" s="2" t="s">
        <v>24</v>
      </c>
      <c r="S1333" s="11" t="str">
        <f t="shared" si="103"/>
        <v>Rendah</v>
      </c>
      <c r="T1333" s="2" t="str">
        <f t="shared" si="104"/>
        <v>Sangat Rendah</v>
      </c>
    </row>
    <row r="1334" spans="1:20" ht="15.75" customHeight="1" x14ac:dyDescent="0.3">
      <c r="A1334" s="4" t="s">
        <v>1016</v>
      </c>
      <c r="B1334" s="3">
        <v>45673.794293981482</v>
      </c>
      <c r="C1334" s="2" t="s">
        <v>495</v>
      </c>
      <c r="D1334" s="2" t="s">
        <v>44</v>
      </c>
      <c r="E1334" s="2" t="s">
        <v>144</v>
      </c>
      <c r="F1334" s="2">
        <v>18000</v>
      </c>
      <c r="G1334" s="2">
        <v>1</v>
      </c>
      <c r="H1334" s="2">
        <v>20</v>
      </c>
      <c r="I1334">
        <f t="shared" si="100"/>
        <v>18000</v>
      </c>
      <c r="J1334">
        <f t="shared" si="101"/>
        <v>3600</v>
      </c>
      <c r="K1334" s="6">
        <f t="shared" si="102"/>
        <v>14400</v>
      </c>
      <c r="L1334" s="2">
        <v>93000</v>
      </c>
      <c r="M1334" s="6">
        <f>Table1[[#This Row],[Total Sales]]+Table1[[#This Row],[Shipping Fee]]</f>
        <v>107400</v>
      </c>
      <c r="N1334" s="2" t="s">
        <v>35</v>
      </c>
      <c r="O1334" t="str">
        <f>VLOOKUP(Table1[[#This Row],[Order ID]],Status!A:B, 2,FALSE)</f>
        <v>Cancelled</v>
      </c>
      <c r="P1334" s="2" t="s">
        <v>23</v>
      </c>
      <c r="Q1334" s="2">
        <v>3</v>
      </c>
      <c r="R1334" s="2" t="s">
        <v>37</v>
      </c>
      <c r="S1334" s="11" t="str">
        <f t="shared" si="103"/>
        <v>Standar</v>
      </c>
      <c r="T1334" s="2" t="str">
        <f t="shared" si="104"/>
        <v>Sangat Rendah</v>
      </c>
    </row>
    <row r="1335" spans="1:20" ht="15.75" customHeight="1" x14ac:dyDescent="0.3">
      <c r="A1335" s="4" t="s">
        <v>1015</v>
      </c>
      <c r="B1335" s="3">
        <v>45673.704085648147</v>
      </c>
      <c r="C1335" s="2" t="s">
        <v>323</v>
      </c>
      <c r="D1335" s="2" t="s">
        <v>103</v>
      </c>
      <c r="E1335" s="2" t="s">
        <v>21</v>
      </c>
      <c r="F1335" s="2">
        <v>45000</v>
      </c>
      <c r="G1335" s="2">
        <v>3</v>
      </c>
      <c r="H1335" s="2">
        <v>10</v>
      </c>
      <c r="I1335">
        <f t="shared" si="100"/>
        <v>135000</v>
      </c>
      <c r="J1335">
        <f t="shared" si="101"/>
        <v>13500</v>
      </c>
      <c r="K1335" s="6">
        <f t="shared" si="102"/>
        <v>121500</v>
      </c>
      <c r="L1335" s="2">
        <v>85000</v>
      </c>
      <c r="M1335" s="6">
        <f>Table1[[#This Row],[Total Sales]]+Table1[[#This Row],[Shipping Fee]]</f>
        <v>206500</v>
      </c>
      <c r="N1335" s="2" t="s">
        <v>22</v>
      </c>
      <c r="O1335" t="str">
        <f>VLOOKUP(Table1[[#This Row],[Order ID]],Status!A:B, 2,FALSE)</f>
        <v>Completed</v>
      </c>
      <c r="P1335" s="2" t="s">
        <v>30</v>
      </c>
      <c r="Q1335" s="2">
        <v>2</v>
      </c>
      <c r="R1335" s="2" t="s">
        <v>24</v>
      </c>
      <c r="S1335" s="11" t="str">
        <f t="shared" si="103"/>
        <v>Rendah</v>
      </c>
      <c r="T1335" s="2" t="str">
        <f t="shared" si="104"/>
        <v>Normal</v>
      </c>
    </row>
    <row r="1336" spans="1:20" ht="15.75" customHeight="1" x14ac:dyDescent="0.3">
      <c r="A1336" s="4" t="s">
        <v>1014</v>
      </c>
      <c r="B1336" s="3">
        <v>45673.654374999998</v>
      </c>
      <c r="C1336" s="2" t="s">
        <v>711</v>
      </c>
      <c r="D1336" s="2" t="s">
        <v>177</v>
      </c>
      <c r="E1336" s="2" t="s">
        <v>123</v>
      </c>
      <c r="F1336" s="2">
        <v>22000</v>
      </c>
      <c r="G1336" s="2">
        <v>4</v>
      </c>
      <c r="H1336" s="2">
        <v>15</v>
      </c>
      <c r="I1336">
        <f t="shared" si="100"/>
        <v>88000</v>
      </c>
      <c r="J1336">
        <f t="shared" si="101"/>
        <v>13200</v>
      </c>
      <c r="K1336" s="6">
        <f t="shared" si="102"/>
        <v>74800</v>
      </c>
      <c r="L1336" s="2">
        <v>56000</v>
      </c>
      <c r="M1336" s="6">
        <f>Table1[[#This Row],[Total Sales]]+Table1[[#This Row],[Shipping Fee]]</f>
        <v>130800</v>
      </c>
      <c r="N1336" s="2" t="s">
        <v>63</v>
      </c>
      <c r="O1336" t="str">
        <f>VLOOKUP(Table1[[#This Row],[Order ID]],Status!A:B, 2,FALSE)</f>
        <v>Completed</v>
      </c>
      <c r="P1336" s="2" t="s">
        <v>82</v>
      </c>
      <c r="Q1336" s="2">
        <v>4</v>
      </c>
      <c r="R1336" s="2" t="s">
        <v>24</v>
      </c>
      <c r="S1336" s="11" t="str">
        <f t="shared" si="103"/>
        <v>Bagus</v>
      </c>
      <c r="T1336" s="2" t="str">
        <f t="shared" si="104"/>
        <v>Normal</v>
      </c>
    </row>
    <row r="1337" spans="1:20" ht="15.75" customHeight="1" x14ac:dyDescent="0.3">
      <c r="A1337" s="4" t="s">
        <v>1013</v>
      </c>
      <c r="B1337" s="3">
        <v>45673.649826388893</v>
      </c>
      <c r="C1337" s="2" t="s">
        <v>446</v>
      </c>
      <c r="D1337" s="2" t="s">
        <v>296</v>
      </c>
      <c r="E1337" s="2" t="s">
        <v>38</v>
      </c>
      <c r="F1337" s="2">
        <v>28000</v>
      </c>
      <c r="G1337" s="2">
        <v>2</v>
      </c>
      <c r="H1337" s="2">
        <v>20</v>
      </c>
      <c r="I1337">
        <f t="shared" si="100"/>
        <v>56000</v>
      </c>
      <c r="J1337">
        <f t="shared" si="101"/>
        <v>11200</v>
      </c>
      <c r="K1337" s="6">
        <f t="shared" si="102"/>
        <v>44800</v>
      </c>
      <c r="L1337" s="2">
        <v>79000</v>
      </c>
      <c r="M1337" s="6">
        <f>Table1[[#This Row],[Total Sales]]+Table1[[#This Row],[Shipping Fee]]</f>
        <v>123800</v>
      </c>
      <c r="N1337" s="2" t="s">
        <v>63</v>
      </c>
      <c r="O1337" t="str">
        <f>VLOOKUP(Table1[[#This Row],[Order ID]],Status!A:B, 2,FALSE)</f>
        <v>Returned</v>
      </c>
      <c r="P1337" s="2" t="s">
        <v>82</v>
      </c>
      <c r="Q1337" s="2">
        <v>3</v>
      </c>
      <c r="R1337" s="2" t="s">
        <v>37</v>
      </c>
      <c r="S1337" s="11" t="str">
        <f t="shared" si="103"/>
        <v>Standar</v>
      </c>
      <c r="T1337" s="2" t="str">
        <f t="shared" si="104"/>
        <v>Normal</v>
      </c>
    </row>
    <row r="1338" spans="1:20" ht="15.75" customHeight="1" x14ac:dyDescent="0.3">
      <c r="A1338" s="4" t="s">
        <v>1011</v>
      </c>
      <c r="B1338" s="3">
        <v>45673.358749999999</v>
      </c>
      <c r="C1338" s="2" t="s">
        <v>1012</v>
      </c>
      <c r="D1338" s="2" t="s">
        <v>177</v>
      </c>
      <c r="E1338" s="2" t="s">
        <v>62</v>
      </c>
      <c r="F1338" s="2">
        <v>50000</v>
      </c>
      <c r="G1338" s="2">
        <v>2</v>
      </c>
      <c r="H1338" s="2">
        <v>10</v>
      </c>
      <c r="I1338">
        <f t="shared" si="100"/>
        <v>100000</v>
      </c>
      <c r="J1338">
        <f t="shared" si="101"/>
        <v>10000</v>
      </c>
      <c r="K1338" s="6">
        <f t="shared" si="102"/>
        <v>90000</v>
      </c>
      <c r="L1338" s="2">
        <v>56000</v>
      </c>
      <c r="M1338" s="6">
        <f>Table1[[#This Row],[Total Sales]]+Table1[[#This Row],[Shipping Fee]]</f>
        <v>146000</v>
      </c>
      <c r="N1338" s="2" t="s">
        <v>29</v>
      </c>
      <c r="O1338" t="str">
        <f>VLOOKUP(Table1[[#This Row],[Order ID]],Status!A:B, 2,FALSE)</f>
        <v>Completed</v>
      </c>
      <c r="P1338" s="2" t="s">
        <v>46</v>
      </c>
      <c r="Q1338" s="2">
        <v>5</v>
      </c>
      <c r="R1338" s="2" t="s">
        <v>37</v>
      </c>
      <c r="S1338" s="11" t="str">
        <f t="shared" si="103"/>
        <v>Bagus</v>
      </c>
      <c r="T1338" s="2" t="str">
        <f t="shared" si="104"/>
        <v>Rendah</v>
      </c>
    </row>
    <row r="1339" spans="1:20" ht="15.75" customHeight="1" x14ac:dyDescent="0.3">
      <c r="A1339" s="4" t="s">
        <v>1010</v>
      </c>
      <c r="B1339" s="3">
        <v>45673.124606481477</v>
      </c>
      <c r="C1339" s="2" t="s">
        <v>201</v>
      </c>
      <c r="D1339" s="2" t="s">
        <v>107</v>
      </c>
      <c r="E1339" s="2" t="s">
        <v>104</v>
      </c>
      <c r="F1339" s="2">
        <v>30000</v>
      </c>
      <c r="G1339" s="2">
        <v>3</v>
      </c>
      <c r="H1339" s="2">
        <v>5</v>
      </c>
      <c r="I1339">
        <f t="shared" si="100"/>
        <v>90000</v>
      </c>
      <c r="J1339">
        <f t="shared" si="101"/>
        <v>4500</v>
      </c>
      <c r="K1339" s="6">
        <f t="shared" si="102"/>
        <v>85500</v>
      </c>
      <c r="L1339" s="2">
        <v>97000</v>
      </c>
      <c r="M1339" s="6">
        <f>Table1[[#This Row],[Total Sales]]+Table1[[#This Row],[Shipping Fee]]</f>
        <v>182500</v>
      </c>
      <c r="N1339" s="2" t="s">
        <v>29</v>
      </c>
      <c r="O1339" t="str">
        <f>VLOOKUP(Table1[[#This Row],[Order ID]],Status!A:B, 2,FALSE)</f>
        <v>Completed</v>
      </c>
      <c r="P1339" s="2" t="s">
        <v>30</v>
      </c>
      <c r="Q1339" s="2">
        <v>5</v>
      </c>
      <c r="R1339" s="2" t="s">
        <v>24</v>
      </c>
      <c r="S1339" s="11" t="str">
        <f t="shared" si="103"/>
        <v>Bagus</v>
      </c>
      <c r="T1339" s="2" t="str">
        <f t="shared" si="104"/>
        <v>Sangat Rendah</v>
      </c>
    </row>
    <row r="1340" spans="1:20" ht="15.75" customHeight="1" x14ac:dyDescent="0.3">
      <c r="A1340" s="4" t="s">
        <v>1010</v>
      </c>
      <c r="B1340" s="3">
        <v>45673.124606481477</v>
      </c>
      <c r="C1340" s="2" t="s">
        <v>201</v>
      </c>
      <c r="D1340" s="2" t="s">
        <v>107</v>
      </c>
      <c r="E1340" s="2" t="s">
        <v>41</v>
      </c>
      <c r="F1340" s="2">
        <v>4000</v>
      </c>
      <c r="G1340" s="2">
        <v>2</v>
      </c>
      <c r="H1340" s="2">
        <v>15</v>
      </c>
      <c r="I1340">
        <f t="shared" si="100"/>
        <v>8000</v>
      </c>
      <c r="J1340">
        <f t="shared" si="101"/>
        <v>1200</v>
      </c>
      <c r="K1340" s="6">
        <f t="shared" si="102"/>
        <v>6800</v>
      </c>
      <c r="L1340" s="2">
        <v>0</v>
      </c>
      <c r="M1340" s="6">
        <f>Table1[[#This Row],[Total Sales]]+Table1[[#This Row],[Shipping Fee]]</f>
        <v>6800</v>
      </c>
      <c r="N1340" s="2" t="s">
        <v>29</v>
      </c>
      <c r="O1340" t="str">
        <f>VLOOKUP(Table1[[#This Row],[Order ID]],Status!A:B, 2,FALSE)</f>
        <v>Completed</v>
      </c>
      <c r="P1340" s="2" t="s">
        <v>30</v>
      </c>
      <c r="Q1340" s="2">
        <v>5</v>
      </c>
      <c r="R1340" s="2" t="s">
        <v>24</v>
      </c>
      <c r="S1340" s="11" t="str">
        <f t="shared" si="103"/>
        <v>Bagus</v>
      </c>
      <c r="T1340" s="2" t="str">
        <f t="shared" si="104"/>
        <v>Sangat Rendah</v>
      </c>
    </row>
    <row r="1341" spans="1:20" ht="15.75" customHeight="1" x14ac:dyDescent="0.3">
      <c r="A1341" s="4" t="s">
        <v>1009</v>
      </c>
      <c r="B1341" s="3">
        <v>45672.77065972222</v>
      </c>
      <c r="C1341" s="2" t="s">
        <v>43</v>
      </c>
      <c r="D1341" s="2" t="s">
        <v>44</v>
      </c>
      <c r="E1341" s="2" t="s">
        <v>85</v>
      </c>
      <c r="F1341" s="2">
        <v>35000</v>
      </c>
      <c r="G1341" s="2">
        <v>3</v>
      </c>
      <c r="H1341" s="2">
        <v>10</v>
      </c>
      <c r="I1341">
        <f t="shared" si="100"/>
        <v>105000</v>
      </c>
      <c r="J1341">
        <f t="shared" si="101"/>
        <v>10500</v>
      </c>
      <c r="K1341" s="6">
        <f t="shared" si="102"/>
        <v>94500</v>
      </c>
      <c r="L1341" s="2">
        <v>93000</v>
      </c>
      <c r="M1341" s="6">
        <f>Table1[[#This Row],[Total Sales]]+Table1[[#This Row],[Shipping Fee]]</f>
        <v>187500</v>
      </c>
      <c r="N1341" s="2" t="s">
        <v>29</v>
      </c>
      <c r="O1341" t="str">
        <f>VLOOKUP(Table1[[#This Row],[Order ID]],Status!A:B, 2,FALSE)</f>
        <v>Completed</v>
      </c>
      <c r="P1341" s="2" t="s">
        <v>30</v>
      </c>
      <c r="Q1341" s="2">
        <v>4</v>
      </c>
      <c r="R1341" s="2" t="s">
        <v>24</v>
      </c>
      <c r="S1341" s="11" t="str">
        <f t="shared" si="103"/>
        <v>Bagus</v>
      </c>
      <c r="T1341" s="2" t="str">
        <f t="shared" si="104"/>
        <v>Normal</v>
      </c>
    </row>
    <row r="1342" spans="1:20" ht="15.75" customHeight="1" x14ac:dyDescent="0.3">
      <c r="A1342" s="4" t="s">
        <v>1008</v>
      </c>
      <c r="B1342" s="3">
        <v>45672.579664351862</v>
      </c>
      <c r="C1342" s="2" t="s">
        <v>389</v>
      </c>
      <c r="D1342" s="2" t="s">
        <v>182</v>
      </c>
      <c r="E1342" s="2" t="s">
        <v>93</v>
      </c>
      <c r="F1342" s="2">
        <v>25000</v>
      </c>
      <c r="G1342" s="2">
        <v>3</v>
      </c>
      <c r="H1342" s="2">
        <v>0</v>
      </c>
      <c r="I1342">
        <f t="shared" si="100"/>
        <v>75000</v>
      </c>
      <c r="J1342">
        <f t="shared" si="101"/>
        <v>0</v>
      </c>
      <c r="K1342" s="6">
        <f t="shared" si="102"/>
        <v>75000</v>
      </c>
      <c r="L1342" s="2">
        <v>48000</v>
      </c>
      <c r="M1342" s="6">
        <f>Table1[[#This Row],[Total Sales]]+Table1[[#This Row],[Shipping Fee]]</f>
        <v>123000</v>
      </c>
      <c r="N1342" s="2" t="s">
        <v>22</v>
      </c>
      <c r="O1342" t="str">
        <f>VLOOKUP(Table1[[#This Row],[Order ID]],Status!A:B, 2,FALSE)</f>
        <v>Completed</v>
      </c>
      <c r="P1342" s="2" t="s">
        <v>30</v>
      </c>
      <c r="Q1342" s="2">
        <v>4</v>
      </c>
      <c r="R1342" s="2" t="s">
        <v>24</v>
      </c>
      <c r="S1342" s="11" t="str">
        <f t="shared" si="103"/>
        <v>Bagus</v>
      </c>
      <c r="T1342" s="2" t="str">
        <f t="shared" si="104"/>
        <v>Sangat Rendah</v>
      </c>
    </row>
    <row r="1343" spans="1:20" ht="15.75" customHeight="1" x14ac:dyDescent="0.3">
      <c r="A1343" s="4" t="s">
        <v>1007</v>
      </c>
      <c r="B1343" s="3">
        <v>45672.572013888886</v>
      </c>
      <c r="C1343" s="2" t="s">
        <v>457</v>
      </c>
      <c r="D1343" s="2" t="s">
        <v>80</v>
      </c>
      <c r="E1343" s="2" t="s">
        <v>50</v>
      </c>
      <c r="F1343" s="2">
        <v>14000</v>
      </c>
      <c r="G1343" s="2">
        <v>5</v>
      </c>
      <c r="H1343" s="2">
        <v>5</v>
      </c>
      <c r="I1343">
        <f t="shared" si="100"/>
        <v>70000</v>
      </c>
      <c r="J1343">
        <f t="shared" si="101"/>
        <v>3500</v>
      </c>
      <c r="K1343" s="6">
        <f t="shared" si="102"/>
        <v>66500</v>
      </c>
      <c r="L1343" s="2">
        <v>74000</v>
      </c>
      <c r="M1343" s="6">
        <f>Table1[[#This Row],[Total Sales]]+Table1[[#This Row],[Shipping Fee]]</f>
        <v>140500</v>
      </c>
      <c r="N1343" s="2" t="s">
        <v>22</v>
      </c>
      <c r="O1343" t="str">
        <f>VLOOKUP(Table1[[#This Row],[Order ID]],Status!A:B, 2,FALSE)</f>
        <v>Completed</v>
      </c>
      <c r="P1343" s="2" t="s">
        <v>36</v>
      </c>
      <c r="Q1343" s="2">
        <v>2</v>
      </c>
      <c r="R1343" s="2" t="s">
        <v>24</v>
      </c>
      <c r="S1343" s="11" t="str">
        <f t="shared" si="103"/>
        <v>Rendah</v>
      </c>
      <c r="T1343" s="2" t="str">
        <f t="shared" si="104"/>
        <v>Sangat Rendah</v>
      </c>
    </row>
    <row r="1344" spans="1:20" ht="15.75" customHeight="1" x14ac:dyDescent="0.3">
      <c r="A1344" s="4" t="s">
        <v>1006</v>
      </c>
      <c r="B1344" s="3">
        <v>45672.551921296297</v>
      </c>
      <c r="C1344" s="2" t="s">
        <v>525</v>
      </c>
      <c r="D1344" s="2" t="s">
        <v>96</v>
      </c>
      <c r="E1344" s="2" t="s">
        <v>34</v>
      </c>
      <c r="F1344" s="2">
        <v>16000</v>
      </c>
      <c r="G1344" s="2">
        <v>3</v>
      </c>
      <c r="H1344" s="2">
        <v>0</v>
      </c>
      <c r="I1344">
        <f t="shared" si="100"/>
        <v>48000</v>
      </c>
      <c r="J1344">
        <f t="shared" si="101"/>
        <v>0</v>
      </c>
      <c r="K1344" s="6">
        <f t="shared" si="102"/>
        <v>48000</v>
      </c>
      <c r="L1344" s="2">
        <v>49000</v>
      </c>
      <c r="M1344" s="6">
        <f>Table1[[#This Row],[Total Sales]]+Table1[[#This Row],[Shipping Fee]]</f>
        <v>97000</v>
      </c>
      <c r="N1344" s="2" t="s">
        <v>35</v>
      </c>
      <c r="O1344" t="str">
        <f>VLOOKUP(Table1[[#This Row],[Order ID]],Status!A:B, 2,FALSE)</f>
        <v>Completed</v>
      </c>
      <c r="P1344" s="2" t="s">
        <v>46</v>
      </c>
      <c r="Q1344" s="2">
        <v>3</v>
      </c>
      <c r="R1344" s="2" t="s">
        <v>24</v>
      </c>
      <c r="S1344" s="11" t="str">
        <f t="shared" si="103"/>
        <v>Standar</v>
      </c>
      <c r="T1344" s="2" t="str">
        <f t="shared" si="104"/>
        <v>Sangat Rendah</v>
      </c>
    </row>
    <row r="1345" spans="1:20" ht="15.75" customHeight="1" x14ac:dyDescent="0.3">
      <c r="A1345" s="4" t="s">
        <v>1004</v>
      </c>
      <c r="B1345" s="3">
        <v>45672.429814814823</v>
      </c>
      <c r="C1345" s="2" t="s">
        <v>1005</v>
      </c>
      <c r="D1345" s="2" t="s">
        <v>122</v>
      </c>
      <c r="E1345" s="2" t="s">
        <v>71</v>
      </c>
      <c r="F1345" s="2">
        <v>40000</v>
      </c>
      <c r="G1345" s="2">
        <v>1</v>
      </c>
      <c r="H1345" s="2">
        <v>0</v>
      </c>
      <c r="I1345">
        <f t="shared" si="100"/>
        <v>40000</v>
      </c>
      <c r="J1345">
        <f t="shared" si="101"/>
        <v>0</v>
      </c>
      <c r="K1345" s="6">
        <f t="shared" si="102"/>
        <v>40000</v>
      </c>
      <c r="L1345" s="2">
        <v>78000</v>
      </c>
      <c r="M1345" s="6">
        <f>Table1[[#This Row],[Total Sales]]+Table1[[#This Row],[Shipping Fee]]</f>
        <v>118000</v>
      </c>
      <c r="N1345" s="2" t="s">
        <v>35</v>
      </c>
      <c r="O1345" t="str">
        <f>VLOOKUP(Table1[[#This Row],[Order ID]],Status!A:B, 2,FALSE)</f>
        <v>Completed</v>
      </c>
      <c r="P1345" s="2" t="s">
        <v>23</v>
      </c>
      <c r="Q1345" s="2">
        <v>5</v>
      </c>
      <c r="R1345" s="2" t="s">
        <v>24</v>
      </c>
      <c r="S1345" s="11" t="str">
        <f t="shared" si="103"/>
        <v>Bagus</v>
      </c>
      <c r="T1345" s="2" t="str">
        <f t="shared" si="104"/>
        <v>Sangat Rendah</v>
      </c>
    </row>
    <row r="1346" spans="1:20" ht="15.75" customHeight="1" x14ac:dyDescent="0.3">
      <c r="A1346" s="4" t="s">
        <v>1002</v>
      </c>
      <c r="B1346" s="3">
        <v>45672.244618055563</v>
      </c>
      <c r="C1346" s="2" t="s">
        <v>1003</v>
      </c>
      <c r="D1346" s="2" t="s">
        <v>262</v>
      </c>
      <c r="E1346" s="2" t="s">
        <v>38</v>
      </c>
      <c r="F1346" s="2">
        <v>28000</v>
      </c>
      <c r="G1346" s="2">
        <v>3</v>
      </c>
      <c r="H1346" s="2">
        <v>0</v>
      </c>
      <c r="I1346">
        <f t="shared" ref="I1346:I1409" si="105">F1346*G1346</f>
        <v>84000</v>
      </c>
      <c r="J1346">
        <f t="shared" ref="J1346:J1409" si="106">I1346*H1346/100</f>
        <v>0</v>
      </c>
      <c r="K1346" s="6">
        <f t="shared" ref="K1346:K1409" si="107">I1346-J1346</f>
        <v>84000</v>
      </c>
      <c r="L1346" s="2">
        <v>18000</v>
      </c>
      <c r="M1346" s="6">
        <f>Table1[[#This Row],[Total Sales]]+Table1[[#This Row],[Shipping Fee]]</f>
        <v>102000</v>
      </c>
      <c r="N1346" s="2" t="s">
        <v>22</v>
      </c>
      <c r="O1346" t="str">
        <f>VLOOKUP(Table1[[#This Row],[Order ID]],Status!A:B, 2,FALSE)</f>
        <v>Completed</v>
      </c>
      <c r="P1346" s="2" t="s">
        <v>82</v>
      </c>
      <c r="Q1346" s="2">
        <v>1</v>
      </c>
      <c r="R1346" s="2" t="s">
        <v>24</v>
      </c>
      <c r="S1346" s="11" t="str">
        <f t="shared" ref="S1346:S1409" si="108">_xlfn.IFS(Q1346&gt;3,"Bagus",Q1346=3,"Standar",Q1346&lt;3,"Rendah")</f>
        <v>Rendah</v>
      </c>
      <c r="T1346" s="2" t="str">
        <f t="shared" ref="T1346:T1409" si="109">_xlfn.IFS(J1346&lt;=5000,"Sangat Rendah", J1346&lt;=10000,"Rendah", J1346&lt;=20000, "Normal", J1346&lt;=35000, "Tinggi", J1346&lt;= 50000, "Sangat Tinggi", J1346&gt;50000, "Clearance")</f>
        <v>Sangat Rendah</v>
      </c>
    </row>
    <row r="1347" spans="1:20" ht="15.75" customHeight="1" x14ac:dyDescent="0.3">
      <c r="A1347" s="4" t="s">
        <v>1001</v>
      </c>
      <c r="B1347" s="3">
        <v>45672.026736111111</v>
      </c>
      <c r="C1347" s="2" t="s">
        <v>441</v>
      </c>
      <c r="D1347" s="2" t="s">
        <v>116</v>
      </c>
      <c r="E1347" s="2" t="s">
        <v>38</v>
      </c>
      <c r="F1347" s="2">
        <v>28000</v>
      </c>
      <c r="G1347" s="2">
        <v>2</v>
      </c>
      <c r="H1347" s="2">
        <v>20</v>
      </c>
      <c r="I1347">
        <f t="shared" si="105"/>
        <v>56000</v>
      </c>
      <c r="J1347">
        <f t="shared" si="106"/>
        <v>11200</v>
      </c>
      <c r="K1347" s="6">
        <f t="shared" si="107"/>
        <v>44800</v>
      </c>
      <c r="L1347" s="2">
        <v>72000</v>
      </c>
      <c r="M1347" s="6">
        <f>Table1[[#This Row],[Total Sales]]+Table1[[#This Row],[Shipping Fee]]</f>
        <v>116800</v>
      </c>
      <c r="N1347" s="2" t="s">
        <v>29</v>
      </c>
      <c r="O1347" t="str">
        <f>VLOOKUP(Table1[[#This Row],[Order ID]],Status!A:B, 2,FALSE)</f>
        <v>Completed</v>
      </c>
      <c r="P1347" s="2" t="s">
        <v>23</v>
      </c>
      <c r="Q1347" s="2">
        <v>2</v>
      </c>
      <c r="R1347" s="2" t="s">
        <v>37</v>
      </c>
      <c r="S1347" s="11" t="str">
        <f t="shared" si="108"/>
        <v>Rendah</v>
      </c>
      <c r="T1347" s="2" t="str">
        <f t="shared" si="109"/>
        <v>Normal</v>
      </c>
    </row>
    <row r="1348" spans="1:20" ht="15.75" customHeight="1" x14ac:dyDescent="0.3">
      <c r="A1348" s="4" t="s">
        <v>1000</v>
      </c>
      <c r="B1348" s="3">
        <v>45671.801307870373</v>
      </c>
      <c r="C1348" s="2" t="s">
        <v>118</v>
      </c>
      <c r="D1348" s="2" t="s">
        <v>119</v>
      </c>
      <c r="E1348" s="2" t="s">
        <v>28</v>
      </c>
      <c r="F1348" s="2">
        <v>5000</v>
      </c>
      <c r="G1348" s="2">
        <v>4</v>
      </c>
      <c r="H1348" s="2">
        <v>5</v>
      </c>
      <c r="I1348">
        <f t="shared" si="105"/>
        <v>20000</v>
      </c>
      <c r="J1348">
        <f t="shared" si="106"/>
        <v>1000</v>
      </c>
      <c r="K1348" s="6">
        <f t="shared" si="107"/>
        <v>19000</v>
      </c>
      <c r="L1348" s="2">
        <v>0</v>
      </c>
      <c r="M1348" s="6">
        <f>Table1[[#This Row],[Total Sales]]+Table1[[#This Row],[Shipping Fee]]</f>
        <v>19000</v>
      </c>
      <c r="N1348" s="2" t="s">
        <v>63</v>
      </c>
      <c r="O1348" t="str">
        <f>VLOOKUP(Table1[[#This Row],[Order ID]],Status!A:B, 2,FALSE)</f>
        <v>Completed</v>
      </c>
      <c r="P1348" s="2" t="s">
        <v>46</v>
      </c>
      <c r="Q1348" s="2">
        <v>3</v>
      </c>
      <c r="R1348" s="2" t="s">
        <v>24</v>
      </c>
      <c r="S1348" s="11" t="str">
        <f t="shared" si="108"/>
        <v>Standar</v>
      </c>
      <c r="T1348" s="2" t="str">
        <f t="shared" si="109"/>
        <v>Sangat Rendah</v>
      </c>
    </row>
    <row r="1349" spans="1:20" ht="15.75" customHeight="1" x14ac:dyDescent="0.3">
      <c r="A1349" s="4" t="s">
        <v>999</v>
      </c>
      <c r="B1349" s="3">
        <v>45671.795902777783</v>
      </c>
      <c r="C1349" s="2" t="s">
        <v>353</v>
      </c>
      <c r="D1349" s="2" t="s">
        <v>66</v>
      </c>
      <c r="E1349" s="2" t="s">
        <v>34</v>
      </c>
      <c r="F1349" s="2">
        <v>16000</v>
      </c>
      <c r="G1349" s="2">
        <v>4</v>
      </c>
      <c r="H1349" s="2">
        <v>0</v>
      </c>
      <c r="I1349">
        <f t="shared" si="105"/>
        <v>64000</v>
      </c>
      <c r="J1349">
        <f t="shared" si="106"/>
        <v>0</v>
      </c>
      <c r="K1349" s="6">
        <f t="shared" si="107"/>
        <v>64000</v>
      </c>
      <c r="L1349" s="2">
        <v>59000</v>
      </c>
      <c r="M1349" s="6">
        <f>Table1[[#This Row],[Total Sales]]+Table1[[#This Row],[Shipping Fee]]</f>
        <v>123000</v>
      </c>
      <c r="N1349" s="2" t="s">
        <v>35</v>
      </c>
      <c r="O1349" t="str">
        <f>VLOOKUP(Table1[[#This Row],[Order ID]],Status!A:B, 2,FALSE)</f>
        <v>Completed</v>
      </c>
      <c r="P1349" s="2" t="s">
        <v>82</v>
      </c>
      <c r="Q1349" s="2">
        <v>2</v>
      </c>
      <c r="R1349" s="2" t="s">
        <v>24</v>
      </c>
      <c r="S1349" s="11" t="str">
        <f t="shared" si="108"/>
        <v>Rendah</v>
      </c>
      <c r="T1349" s="2" t="str">
        <f t="shared" si="109"/>
        <v>Sangat Rendah</v>
      </c>
    </row>
    <row r="1350" spans="1:20" ht="15.75" customHeight="1" x14ac:dyDescent="0.3">
      <c r="A1350" s="4" t="s">
        <v>998</v>
      </c>
      <c r="B1350" s="3">
        <v>45671.572476851848</v>
      </c>
      <c r="C1350" s="2" t="s">
        <v>79</v>
      </c>
      <c r="D1350" s="2" t="s">
        <v>80</v>
      </c>
      <c r="E1350" s="2" t="s">
        <v>75</v>
      </c>
      <c r="F1350" s="2">
        <v>55000</v>
      </c>
      <c r="G1350" s="2">
        <v>5</v>
      </c>
      <c r="H1350" s="2">
        <v>20</v>
      </c>
      <c r="I1350">
        <f t="shared" si="105"/>
        <v>275000</v>
      </c>
      <c r="J1350">
        <f t="shared" si="106"/>
        <v>55000</v>
      </c>
      <c r="K1350" s="6">
        <f t="shared" si="107"/>
        <v>220000</v>
      </c>
      <c r="L1350" s="2">
        <v>74000</v>
      </c>
      <c r="M1350" s="6">
        <f>Table1[[#This Row],[Total Sales]]+Table1[[#This Row],[Shipping Fee]]</f>
        <v>294000</v>
      </c>
      <c r="N1350" s="2" t="s">
        <v>35</v>
      </c>
      <c r="O1350" t="str">
        <f>VLOOKUP(Table1[[#This Row],[Order ID]],Status!A:B, 2,FALSE)</f>
        <v>Completed</v>
      </c>
      <c r="P1350" s="2" t="s">
        <v>82</v>
      </c>
      <c r="Q1350" s="2">
        <v>4</v>
      </c>
      <c r="R1350" s="2" t="s">
        <v>24</v>
      </c>
      <c r="S1350" s="11" t="str">
        <f t="shared" si="108"/>
        <v>Bagus</v>
      </c>
      <c r="T1350" s="2" t="str">
        <f t="shared" si="109"/>
        <v>Clearance</v>
      </c>
    </row>
    <row r="1351" spans="1:20" ht="15.75" customHeight="1" x14ac:dyDescent="0.3">
      <c r="A1351" s="4" t="s">
        <v>997</v>
      </c>
      <c r="B1351" s="3">
        <v>45671.418981481482</v>
      </c>
      <c r="C1351" s="2" t="s">
        <v>60</v>
      </c>
      <c r="D1351" s="2" t="s">
        <v>61</v>
      </c>
      <c r="E1351" s="2" t="s">
        <v>136</v>
      </c>
      <c r="F1351" s="2">
        <v>12000</v>
      </c>
      <c r="G1351" s="2">
        <v>4</v>
      </c>
      <c r="H1351" s="2">
        <v>0</v>
      </c>
      <c r="I1351">
        <f t="shared" si="105"/>
        <v>48000</v>
      </c>
      <c r="J1351">
        <f t="shared" si="106"/>
        <v>0</v>
      </c>
      <c r="K1351" s="6">
        <f t="shared" si="107"/>
        <v>48000</v>
      </c>
      <c r="L1351" s="2">
        <v>26000</v>
      </c>
      <c r="M1351" s="6">
        <f>Table1[[#This Row],[Total Sales]]+Table1[[#This Row],[Shipping Fee]]</f>
        <v>74000</v>
      </c>
      <c r="N1351" s="2" t="s">
        <v>22</v>
      </c>
      <c r="O1351" t="str">
        <f>VLOOKUP(Table1[[#This Row],[Order ID]],Status!A:B, 2,FALSE)</f>
        <v>Completed</v>
      </c>
      <c r="P1351" s="2" t="s">
        <v>36</v>
      </c>
      <c r="Q1351" s="2">
        <v>2</v>
      </c>
      <c r="R1351" s="2" t="s">
        <v>24</v>
      </c>
      <c r="S1351" s="11" t="str">
        <f t="shared" si="108"/>
        <v>Rendah</v>
      </c>
      <c r="T1351" s="2" t="str">
        <f t="shared" si="109"/>
        <v>Sangat Rendah</v>
      </c>
    </row>
    <row r="1352" spans="1:20" ht="15.75" customHeight="1" x14ac:dyDescent="0.3">
      <c r="A1352" s="4" t="s">
        <v>996</v>
      </c>
      <c r="B1352" s="3">
        <v>45671.350092592591</v>
      </c>
      <c r="C1352" s="2" t="s">
        <v>836</v>
      </c>
      <c r="D1352" s="2" t="s">
        <v>33</v>
      </c>
      <c r="E1352" s="2" t="s">
        <v>71</v>
      </c>
      <c r="F1352" s="2">
        <v>40000</v>
      </c>
      <c r="G1352" s="2">
        <v>5</v>
      </c>
      <c r="H1352" s="2">
        <v>10</v>
      </c>
      <c r="I1352">
        <f t="shared" si="105"/>
        <v>200000</v>
      </c>
      <c r="J1352">
        <f t="shared" si="106"/>
        <v>20000</v>
      </c>
      <c r="K1352" s="6">
        <f t="shared" si="107"/>
        <v>180000</v>
      </c>
      <c r="L1352" s="2">
        <v>76000</v>
      </c>
      <c r="M1352" s="6">
        <f>Table1[[#This Row],[Total Sales]]+Table1[[#This Row],[Shipping Fee]]</f>
        <v>256000</v>
      </c>
      <c r="N1352" s="2" t="s">
        <v>63</v>
      </c>
      <c r="O1352" t="str">
        <f>VLOOKUP(Table1[[#This Row],[Order ID]],Status!A:B, 2,FALSE)</f>
        <v>Cancelled</v>
      </c>
      <c r="P1352" s="2" t="s">
        <v>23</v>
      </c>
      <c r="Q1352" s="2">
        <v>5</v>
      </c>
      <c r="R1352" s="2" t="s">
        <v>37</v>
      </c>
      <c r="S1352" s="11" t="str">
        <f t="shared" si="108"/>
        <v>Bagus</v>
      </c>
      <c r="T1352" s="2" t="str">
        <f t="shared" si="109"/>
        <v>Normal</v>
      </c>
    </row>
    <row r="1353" spans="1:20" ht="15.75" customHeight="1" x14ac:dyDescent="0.3">
      <c r="A1353" s="4" t="s">
        <v>995</v>
      </c>
      <c r="B1353" s="3">
        <v>45670.892187500001</v>
      </c>
      <c r="C1353" s="2" t="s">
        <v>739</v>
      </c>
      <c r="D1353" s="2" t="s">
        <v>177</v>
      </c>
      <c r="E1353" s="2" t="s">
        <v>93</v>
      </c>
      <c r="F1353" s="2">
        <v>25000</v>
      </c>
      <c r="G1353" s="2">
        <v>3</v>
      </c>
      <c r="H1353" s="2">
        <v>0</v>
      </c>
      <c r="I1353">
        <f t="shared" si="105"/>
        <v>75000</v>
      </c>
      <c r="J1353">
        <f t="shared" si="106"/>
        <v>0</v>
      </c>
      <c r="K1353" s="6">
        <f t="shared" si="107"/>
        <v>75000</v>
      </c>
      <c r="L1353" s="2">
        <v>56000</v>
      </c>
      <c r="M1353" s="6">
        <f>Table1[[#This Row],[Total Sales]]+Table1[[#This Row],[Shipping Fee]]</f>
        <v>131000</v>
      </c>
      <c r="N1353" s="2" t="s">
        <v>22</v>
      </c>
      <c r="O1353" t="str">
        <f>VLOOKUP(Table1[[#This Row],[Order ID]],Status!A:B, 2,FALSE)</f>
        <v>Completed</v>
      </c>
      <c r="P1353" s="2" t="s">
        <v>46</v>
      </c>
      <c r="Q1353" s="2">
        <v>3</v>
      </c>
      <c r="R1353" s="2" t="s">
        <v>24</v>
      </c>
      <c r="S1353" s="11" t="str">
        <f t="shared" si="108"/>
        <v>Standar</v>
      </c>
      <c r="T1353" s="2" t="str">
        <f t="shared" si="109"/>
        <v>Sangat Rendah</v>
      </c>
    </row>
    <row r="1354" spans="1:20" ht="15.75" customHeight="1" x14ac:dyDescent="0.3">
      <c r="A1354" s="4" t="s">
        <v>994</v>
      </c>
      <c r="B1354" s="3">
        <v>45670.812037037038</v>
      </c>
      <c r="C1354" s="2" t="s">
        <v>340</v>
      </c>
      <c r="D1354" s="2" t="s">
        <v>126</v>
      </c>
      <c r="E1354" s="2" t="s">
        <v>34</v>
      </c>
      <c r="F1354" s="2">
        <v>16000</v>
      </c>
      <c r="G1354" s="2">
        <v>5</v>
      </c>
      <c r="H1354" s="2">
        <v>0</v>
      </c>
      <c r="I1354">
        <f t="shared" si="105"/>
        <v>80000</v>
      </c>
      <c r="J1354">
        <f t="shared" si="106"/>
        <v>0</v>
      </c>
      <c r="K1354" s="6">
        <f t="shared" si="107"/>
        <v>80000</v>
      </c>
      <c r="L1354" s="2">
        <v>84000</v>
      </c>
      <c r="M1354" s="6">
        <f>Table1[[#This Row],[Total Sales]]+Table1[[#This Row],[Shipping Fee]]</f>
        <v>164000</v>
      </c>
      <c r="N1354" s="2" t="s">
        <v>63</v>
      </c>
      <c r="O1354" t="str">
        <f>VLOOKUP(Table1[[#This Row],[Order ID]],Status!A:B, 2,FALSE)</f>
        <v>Completed</v>
      </c>
      <c r="P1354" s="2" t="s">
        <v>46</v>
      </c>
      <c r="Q1354" s="2">
        <v>3</v>
      </c>
      <c r="R1354" s="2" t="s">
        <v>37</v>
      </c>
      <c r="S1354" s="11" t="str">
        <f t="shared" si="108"/>
        <v>Standar</v>
      </c>
      <c r="T1354" s="2" t="str">
        <f t="shared" si="109"/>
        <v>Sangat Rendah</v>
      </c>
    </row>
    <row r="1355" spans="1:20" ht="15.75" customHeight="1" x14ac:dyDescent="0.3">
      <c r="A1355" s="4" t="s">
        <v>993</v>
      </c>
      <c r="B1355" s="3">
        <v>45670.63726851852</v>
      </c>
      <c r="C1355" s="2" t="s">
        <v>551</v>
      </c>
      <c r="D1355" s="2" t="s">
        <v>262</v>
      </c>
      <c r="E1355" s="2" t="s">
        <v>144</v>
      </c>
      <c r="F1355" s="2">
        <v>18000</v>
      </c>
      <c r="G1355" s="2">
        <v>4</v>
      </c>
      <c r="H1355" s="2">
        <v>10</v>
      </c>
      <c r="I1355">
        <f t="shared" si="105"/>
        <v>72000</v>
      </c>
      <c r="J1355">
        <f t="shared" si="106"/>
        <v>7200</v>
      </c>
      <c r="K1355" s="6">
        <f t="shared" si="107"/>
        <v>64800</v>
      </c>
      <c r="L1355" s="2">
        <v>18000</v>
      </c>
      <c r="M1355" s="6">
        <f>Table1[[#This Row],[Total Sales]]+Table1[[#This Row],[Shipping Fee]]</f>
        <v>82800</v>
      </c>
      <c r="N1355" s="2" t="s">
        <v>22</v>
      </c>
      <c r="O1355" t="str">
        <f>VLOOKUP(Table1[[#This Row],[Order ID]],Status!A:B, 2,FALSE)</f>
        <v>Completed</v>
      </c>
      <c r="P1355" s="2" t="s">
        <v>46</v>
      </c>
      <c r="Q1355" s="2">
        <v>3</v>
      </c>
      <c r="R1355" s="2" t="s">
        <v>37</v>
      </c>
      <c r="S1355" s="11" t="str">
        <f t="shared" si="108"/>
        <v>Standar</v>
      </c>
      <c r="T1355" s="2" t="str">
        <f t="shared" si="109"/>
        <v>Rendah</v>
      </c>
    </row>
    <row r="1356" spans="1:20" ht="15.75" customHeight="1" x14ac:dyDescent="0.3">
      <c r="A1356" s="4" t="s">
        <v>992</v>
      </c>
      <c r="B1356" s="3">
        <v>45669.956365740742</v>
      </c>
      <c r="C1356" s="2" t="s">
        <v>277</v>
      </c>
      <c r="D1356" s="2" t="s">
        <v>119</v>
      </c>
      <c r="E1356" s="2" t="s">
        <v>110</v>
      </c>
      <c r="F1356" s="2">
        <v>6000</v>
      </c>
      <c r="G1356" s="2">
        <v>2</v>
      </c>
      <c r="H1356" s="2">
        <v>0</v>
      </c>
      <c r="I1356">
        <f t="shared" si="105"/>
        <v>12000</v>
      </c>
      <c r="J1356">
        <f t="shared" si="106"/>
        <v>0</v>
      </c>
      <c r="K1356" s="6">
        <f t="shared" si="107"/>
        <v>12000</v>
      </c>
      <c r="L1356" s="2">
        <v>0</v>
      </c>
      <c r="M1356" s="6">
        <f>Table1[[#This Row],[Total Sales]]+Table1[[#This Row],[Shipping Fee]]</f>
        <v>12000</v>
      </c>
      <c r="N1356" s="2" t="s">
        <v>35</v>
      </c>
      <c r="O1356" t="str">
        <f>VLOOKUP(Table1[[#This Row],[Order ID]],Status!A:B, 2,FALSE)</f>
        <v>Completed</v>
      </c>
      <c r="P1356" s="2" t="s">
        <v>46</v>
      </c>
      <c r="Q1356" s="2">
        <v>5</v>
      </c>
      <c r="R1356" s="2" t="s">
        <v>24</v>
      </c>
      <c r="S1356" s="11" t="str">
        <f t="shared" si="108"/>
        <v>Bagus</v>
      </c>
      <c r="T1356" s="2" t="str">
        <f t="shared" si="109"/>
        <v>Sangat Rendah</v>
      </c>
    </row>
    <row r="1357" spans="1:20" ht="15.75" customHeight="1" x14ac:dyDescent="0.3">
      <c r="A1357" s="4" t="s">
        <v>991</v>
      </c>
      <c r="B1357" s="3">
        <v>45669.504074074073</v>
      </c>
      <c r="C1357" s="2" t="s">
        <v>983</v>
      </c>
      <c r="D1357" s="2" t="s">
        <v>262</v>
      </c>
      <c r="E1357" s="2" t="s">
        <v>104</v>
      </c>
      <c r="F1357" s="2">
        <v>30000</v>
      </c>
      <c r="G1357" s="2">
        <v>5</v>
      </c>
      <c r="H1357" s="2">
        <v>5</v>
      </c>
      <c r="I1357">
        <f t="shared" si="105"/>
        <v>150000</v>
      </c>
      <c r="J1357">
        <f t="shared" si="106"/>
        <v>7500</v>
      </c>
      <c r="K1357" s="6">
        <f t="shared" si="107"/>
        <v>142500</v>
      </c>
      <c r="L1357" s="2">
        <v>18000</v>
      </c>
      <c r="M1357" s="6">
        <f>Table1[[#This Row],[Total Sales]]+Table1[[#This Row],[Shipping Fee]]</f>
        <v>160500</v>
      </c>
      <c r="N1357" s="2" t="s">
        <v>22</v>
      </c>
      <c r="O1357" t="str">
        <f>VLOOKUP(Table1[[#This Row],[Order ID]],Status!A:B, 2,FALSE)</f>
        <v>Cancelled</v>
      </c>
      <c r="P1357" s="2" t="s">
        <v>23</v>
      </c>
      <c r="Q1357" s="2">
        <v>4</v>
      </c>
      <c r="R1357" s="2" t="s">
        <v>37</v>
      </c>
      <c r="S1357" s="11" t="str">
        <f t="shared" si="108"/>
        <v>Bagus</v>
      </c>
      <c r="T1357" s="2" t="str">
        <f t="shared" si="109"/>
        <v>Rendah</v>
      </c>
    </row>
    <row r="1358" spans="1:20" ht="15.75" customHeight="1" x14ac:dyDescent="0.3">
      <c r="A1358" s="4" t="s">
        <v>989</v>
      </c>
      <c r="B1358" s="3">
        <v>45669.40253472222</v>
      </c>
      <c r="C1358" s="2" t="s">
        <v>990</v>
      </c>
      <c r="D1358" s="2" t="s">
        <v>173</v>
      </c>
      <c r="E1358" s="2" t="s">
        <v>138</v>
      </c>
      <c r="F1358" s="2">
        <v>17000</v>
      </c>
      <c r="G1358" s="2">
        <v>4</v>
      </c>
      <c r="H1358" s="2">
        <v>20</v>
      </c>
      <c r="I1358">
        <f t="shared" si="105"/>
        <v>68000</v>
      </c>
      <c r="J1358">
        <f t="shared" si="106"/>
        <v>13600</v>
      </c>
      <c r="K1358" s="6">
        <f t="shared" si="107"/>
        <v>54400</v>
      </c>
      <c r="L1358" s="2">
        <v>49000</v>
      </c>
      <c r="M1358" s="6">
        <f>Table1[[#This Row],[Total Sales]]+Table1[[#This Row],[Shipping Fee]]</f>
        <v>103400</v>
      </c>
      <c r="N1358" s="2" t="s">
        <v>22</v>
      </c>
      <c r="O1358" t="str">
        <f>VLOOKUP(Table1[[#This Row],[Order ID]],Status!A:B, 2,FALSE)</f>
        <v>Completed</v>
      </c>
      <c r="P1358" s="2" t="s">
        <v>82</v>
      </c>
      <c r="Q1358" s="2">
        <v>1</v>
      </c>
      <c r="R1358" s="2" t="s">
        <v>24</v>
      </c>
      <c r="S1358" s="11" t="str">
        <f t="shared" si="108"/>
        <v>Rendah</v>
      </c>
      <c r="T1358" s="2" t="str">
        <f t="shared" si="109"/>
        <v>Normal</v>
      </c>
    </row>
    <row r="1359" spans="1:20" ht="15.75" customHeight="1" x14ac:dyDescent="0.3">
      <c r="A1359" s="4" t="s">
        <v>989</v>
      </c>
      <c r="B1359" s="3">
        <v>45669.40253472222</v>
      </c>
      <c r="C1359" s="2" t="s">
        <v>990</v>
      </c>
      <c r="D1359" s="2" t="s">
        <v>173</v>
      </c>
      <c r="E1359" s="2" t="s">
        <v>174</v>
      </c>
      <c r="F1359" s="2">
        <v>10000</v>
      </c>
      <c r="G1359" s="2">
        <v>4</v>
      </c>
      <c r="H1359" s="2">
        <v>10</v>
      </c>
      <c r="I1359">
        <f t="shared" si="105"/>
        <v>40000</v>
      </c>
      <c r="J1359">
        <f t="shared" si="106"/>
        <v>4000</v>
      </c>
      <c r="K1359" s="6">
        <f t="shared" si="107"/>
        <v>36000</v>
      </c>
      <c r="L1359" s="2">
        <v>0</v>
      </c>
      <c r="M1359" s="6">
        <f>Table1[[#This Row],[Total Sales]]+Table1[[#This Row],[Shipping Fee]]</f>
        <v>36000</v>
      </c>
      <c r="N1359" s="2" t="s">
        <v>22</v>
      </c>
      <c r="O1359" t="str">
        <f>VLOOKUP(Table1[[#This Row],[Order ID]],Status!A:B, 2,FALSE)</f>
        <v>Completed</v>
      </c>
      <c r="P1359" s="2" t="s">
        <v>82</v>
      </c>
      <c r="Q1359" s="2">
        <v>1</v>
      </c>
      <c r="R1359" s="2" t="s">
        <v>24</v>
      </c>
      <c r="S1359" s="11" t="str">
        <f t="shared" si="108"/>
        <v>Rendah</v>
      </c>
      <c r="T1359" s="2" t="str">
        <f t="shared" si="109"/>
        <v>Sangat Rendah</v>
      </c>
    </row>
    <row r="1360" spans="1:20" ht="15.75" customHeight="1" x14ac:dyDescent="0.3">
      <c r="A1360" s="4" t="s">
        <v>988</v>
      </c>
      <c r="B1360" s="3">
        <v>45669.207800925928</v>
      </c>
      <c r="C1360" s="2" t="s">
        <v>451</v>
      </c>
      <c r="D1360" s="2" t="s">
        <v>116</v>
      </c>
      <c r="E1360" s="2" t="s">
        <v>104</v>
      </c>
      <c r="F1360" s="2">
        <v>30000</v>
      </c>
      <c r="G1360" s="2">
        <v>2</v>
      </c>
      <c r="H1360" s="2">
        <v>10</v>
      </c>
      <c r="I1360">
        <f t="shared" si="105"/>
        <v>60000</v>
      </c>
      <c r="J1360">
        <f t="shared" si="106"/>
        <v>6000</v>
      </c>
      <c r="K1360" s="6">
        <f t="shared" si="107"/>
        <v>54000</v>
      </c>
      <c r="L1360" s="2">
        <v>72000</v>
      </c>
      <c r="M1360" s="6">
        <f>Table1[[#This Row],[Total Sales]]+Table1[[#This Row],[Shipping Fee]]</f>
        <v>126000</v>
      </c>
      <c r="N1360" s="2" t="s">
        <v>63</v>
      </c>
      <c r="O1360" t="str">
        <f>VLOOKUP(Table1[[#This Row],[Order ID]],Status!A:B, 2,FALSE)</f>
        <v>Cancelled</v>
      </c>
      <c r="P1360" s="2" t="s">
        <v>30</v>
      </c>
      <c r="Q1360" s="2">
        <v>5</v>
      </c>
      <c r="R1360" s="2" t="s">
        <v>24</v>
      </c>
      <c r="S1360" s="11" t="str">
        <f t="shared" si="108"/>
        <v>Bagus</v>
      </c>
      <c r="T1360" s="2" t="str">
        <f t="shared" si="109"/>
        <v>Rendah</v>
      </c>
    </row>
    <row r="1361" spans="1:20" ht="15.75" customHeight="1" x14ac:dyDescent="0.3">
      <c r="A1361" s="4" t="s">
        <v>987</v>
      </c>
      <c r="B1361" s="3">
        <v>45668.920104166667</v>
      </c>
      <c r="C1361" s="2" t="s">
        <v>211</v>
      </c>
      <c r="D1361" s="2" t="s">
        <v>49</v>
      </c>
      <c r="E1361" s="2" t="s">
        <v>85</v>
      </c>
      <c r="F1361" s="2">
        <v>35000</v>
      </c>
      <c r="G1361" s="2">
        <v>3</v>
      </c>
      <c r="H1361" s="2">
        <v>5</v>
      </c>
      <c r="I1361">
        <f t="shared" si="105"/>
        <v>105000</v>
      </c>
      <c r="J1361">
        <f t="shared" si="106"/>
        <v>5250</v>
      </c>
      <c r="K1361" s="6">
        <f t="shared" si="107"/>
        <v>99750</v>
      </c>
      <c r="L1361" s="2">
        <v>43000</v>
      </c>
      <c r="M1361" s="6">
        <f>Table1[[#This Row],[Total Sales]]+Table1[[#This Row],[Shipping Fee]]</f>
        <v>142750</v>
      </c>
      <c r="N1361" s="2" t="s">
        <v>29</v>
      </c>
      <c r="O1361" t="str">
        <f>VLOOKUP(Table1[[#This Row],[Order ID]],Status!A:B, 2,FALSE)</f>
        <v>Returned</v>
      </c>
      <c r="P1361" s="2" t="s">
        <v>46</v>
      </c>
      <c r="Q1361" s="2">
        <v>3</v>
      </c>
      <c r="R1361" s="2" t="s">
        <v>24</v>
      </c>
      <c r="S1361" s="11" t="str">
        <f t="shared" si="108"/>
        <v>Standar</v>
      </c>
      <c r="T1361" s="2" t="str">
        <f t="shared" si="109"/>
        <v>Rendah</v>
      </c>
    </row>
    <row r="1362" spans="1:20" ht="15.75" customHeight="1" x14ac:dyDescent="0.3">
      <c r="A1362" s="4" t="s">
        <v>986</v>
      </c>
      <c r="B1362" s="3">
        <v>45668.833958333344</v>
      </c>
      <c r="C1362" s="2" t="s">
        <v>497</v>
      </c>
      <c r="D1362" s="2" t="s">
        <v>173</v>
      </c>
      <c r="E1362" s="2" t="s">
        <v>174</v>
      </c>
      <c r="F1362" s="2">
        <v>10000</v>
      </c>
      <c r="G1362" s="2">
        <v>3</v>
      </c>
      <c r="H1362" s="2">
        <v>15</v>
      </c>
      <c r="I1362">
        <f t="shared" si="105"/>
        <v>30000</v>
      </c>
      <c r="J1362">
        <f t="shared" si="106"/>
        <v>4500</v>
      </c>
      <c r="K1362" s="6">
        <f t="shared" si="107"/>
        <v>25500</v>
      </c>
      <c r="L1362" s="2">
        <v>49000</v>
      </c>
      <c r="M1362" s="6">
        <f>Table1[[#This Row],[Total Sales]]+Table1[[#This Row],[Shipping Fee]]</f>
        <v>74500</v>
      </c>
      <c r="N1362" s="2" t="s">
        <v>63</v>
      </c>
      <c r="O1362" t="str">
        <f>VLOOKUP(Table1[[#This Row],[Order ID]],Status!A:B, 2,FALSE)</f>
        <v>Completed</v>
      </c>
      <c r="P1362" s="2" t="s">
        <v>30</v>
      </c>
      <c r="Q1362" s="2">
        <v>3</v>
      </c>
      <c r="R1362" s="2" t="s">
        <v>37</v>
      </c>
      <c r="S1362" s="11" t="str">
        <f t="shared" si="108"/>
        <v>Standar</v>
      </c>
      <c r="T1362" s="2" t="str">
        <f t="shared" si="109"/>
        <v>Sangat Rendah</v>
      </c>
    </row>
    <row r="1363" spans="1:20" ht="15.75" customHeight="1" x14ac:dyDescent="0.3">
      <c r="A1363" s="4" t="s">
        <v>984</v>
      </c>
      <c r="B1363" s="3">
        <v>45668.785856481481</v>
      </c>
      <c r="C1363" s="2" t="s">
        <v>985</v>
      </c>
      <c r="D1363" s="2" t="s">
        <v>53</v>
      </c>
      <c r="E1363" s="2" t="s">
        <v>93</v>
      </c>
      <c r="F1363" s="2">
        <v>25000</v>
      </c>
      <c r="G1363" s="2">
        <v>4</v>
      </c>
      <c r="H1363" s="2">
        <v>0</v>
      </c>
      <c r="I1363">
        <f t="shared" si="105"/>
        <v>100000</v>
      </c>
      <c r="J1363">
        <f t="shared" si="106"/>
        <v>0</v>
      </c>
      <c r="K1363" s="6">
        <f t="shared" si="107"/>
        <v>100000</v>
      </c>
      <c r="L1363" s="2">
        <v>18000</v>
      </c>
      <c r="M1363" s="6">
        <f>Table1[[#This Row],[Total Sales]]+Table1[[#This Row],[Shipping Fee]]</f>
        <v>118000</v>
      </c>
      <c r="N1363" s="2" t="s">
        <v>22</v>
      </c>
      <c r="O1363" t="str">
        <f>VLOOKUP(Table1[[#This Row],[Order ID]],Status!A:B, 2,FALSE)</f>
        <v>Returned</v>
      </c>
      <c r="P1363" s="2" t="s">
        <v>46</v>
      </c>
      <c r="Q1363" s="2">
        <v>5</v>
      </c>
      <c r="R1363" s="2" t="s">
        <v>24</v>
      </c>
      <c r="S1363" s="11" t="str">
        <f t="shared" si="108"/>
        <v>Bagus</v>
      </c>
      <c r="T1363" s="2" t="str">
        <f t="shared" si="109"/>
        <v>Sangat Rendah</v>
      </c>
    </row>
    <row r="1364" spans="1:20" ht="15.75" customHeight="1" x14ac:dyDescent="0.3">
      <c r="A1364" s="4" t="s">
        <v>982</v>
      </c>
      <c r="B1364" s="3">
        <v>45668.670682870368</v>
      </c>
      <c r="C1364" s="2" t="s">
        <v>983</v>
      </c>
      <c r="D1364" s="2" t="s">
        <v>262</v>
      </c>
      <c r="E1364" s="2" t="s">
        <v>190</v>
      </c>
      <c r="F1364" s="2">
        <v>35000</v>
      </c>
      <c r="G1364" s="2">
        <v>2</v>
      </c>
      <c r="H1364" s="2">
        <v>5</v>
      </c>
      <c r="I1364">
        <f t="shared" si="105"/>
        <v>70000</v>
      </c>
      <c r="J1364">
        <f t="shared" si="106"/>
        <v>3500</v>
      </c>
      <c r="K1364" s="6">
        <f t="shared" si="107"/>
        <v>66500</v>
      </c>
      <c r="L1364" s="2">
        <v>18000</v>
      </c>
      <c r="M1364" s="6">
        <f>Table1[[#This Row],[Total Sales]]+Table1[[#This Row],[Shipping Fee]]</f>
        <v>84500</v>
      </c>
      <c r="N1364" s="2" t="s">
        <v>35</v>
      </c>
      <c r="O1364" t="str">
        <f>VLOOKUP(Table1[[#This Row],[Order ID]],Status!A:B, 2,FALSE)</f>
        <v>Returned</v>
      </c>
      <c r="P1364" s="2" t="s">
        <v>46</v>
      </c>
      <c r="Q1364" s="2">
        <v>2</v>
      </c>
      <c r="R1364" s="2" t="s">
        <v>37</v>
      </c>
      <c r="S1364" s="11" t="str">
        <f t="shared" si="108"/>
        <v>Rendah</v>
      </c>
      <c r="T1364" s="2" t="str">
        <f t="shared" si="109"/>
        <v>Sangat Rendah</v>
      </c>
    </row>
    <row r="1365" spans="1:20" ht="15.75" customHeight="1" x14ac:dyDescent="0.3">
      <c r="A1365" s="4" t="s">
        <v>981</v>
      </c>
      <c r="B1365" s="3">
        <v>45668.354583333326</v>
      </c>
      <c r="C1365" s="2" t="s">
        <v>314</v>
      </c>
      <c r="D1365" s="2" t="s">
        <v>113</v>
      </c>
      <c r="E1365" s="2" t="s">
        <v>41</v>
      </c>
      <c r="F1365" s="2">
        <v>4000</v>
      </c>
      <c r="G1365" s="2">
        <v>3</v>
      </c>
      <c r="H1365" s="2">
        <v>10</v>
      </c>
      <c r="I1365">
        <f t="shared" si="105"/>
        <v>12000</v>
      </c>
      <c r="J1365">
        <f t="shared" si="106"/>
        <v>1200</v>
      </c>
      <c r="K1365" s="6">
        <f t="shared" si="107"/>
        <v>10800</v>
      </c>
      <c r="L1365" s="2">
        <v>18000</v>
      </c>
      <c r="M1365" s="6">
        <f>Table1[[#This Row],[Total Sales]]+Table1[[#This Row],[Shipping Fee]]</f>
        <v>28800</v>
      </c>
      <c r="N1365" s="2" t="s">
        <v>29</v>
      </c>
      <c r="O1365" t="str">
        <f>VLOOKUP(Table1[[#This Row],[Order ID]],Status!A:B, 2,FALSE)</f>
        <v>Cancelled</v>
      </c>
      <c r="P1365" s="2" t="s">
        <v>36</v>
      </c>
      <c r="Q1365" s="2">
        <v>2</v>
      </c>
      <c r="R1365" s="2" t="s">
        <v>24</v>
      </c>
      <c r="S1365" s="11" t="str">
        <f t="shared" si="108"/>
        <v>Rendah</v>
      </c>
      <c r="T1365" s="2" t="str">
        <f t="shared" si="109"/>
        <v>Sangat Rendah</v>
      </c>
    </row>
    <row r="1366" spans="1:20" ht="15.75" customHeight="1" x14ac:dyDescent="0.3">
      <c r="A1366" s="4" t="s">
        <v>980</v>
      </c>
      <c r="B1366" s="3">
        <v>45668.260451388887</v>
      </c>
      <c r="C1366" s="2" t="s">
        <v>589</v>
      </c>
      <c r="D1366" s="2" t="s">
        <v>262</v>
      </c>
      <c r="E1366" s="2" t="s">
        <v>71</v>
      </c>
      <c r="F1366" s="2">
        <v>40000</v>
      </c>
      <c r="G1366" s="2">
        <v>2</v>
      </c>
      <c r="H1366" s="2">
        <v>5</v>
      </c>
      <c r="I1366">
        <f t="shared" si="105"/>
        <v>80000</v>
      </c>
      <c r="J1366">
        <f t="shared" si="106"/>
        <v>4000</v>
      </c>
      <c r="K1366" s="6">
        <f t="shared" si="107"/>
        <v>76000</v>
      </c>
      <c r="L1366" s="2">
        <v>18000</v>
      </c>
      <c r="M1366" s="6">
        <f>Table1[[#This Row],[Total Sales]]+Table1[[#This Row],[Shipping Fee]]</f>
        <v>94000</v>
      </c>
      <c r="N1366" s="2" t="s">
        <v>35</v>
      </c>
      <c r="O1366" t="str">
        <f>VLOOKUP(Table1[[#This Row],[Order ID]],Status!A:B, 2,FALSE)</f>
        <v>Cancelled</v>
      </c>
      <c r="P1366" s="2" t="s">
        <v>82</v>
      </c>
      <c r="Q1366" s="2">
        <v>4</v>
      </c>
      <c r="R1366" s="2" t="s">
        <v>37</v>
      </c>
      <c r="S1366" s="11" t="str">
        <f t="shared" si="108"/>
        <v>Bagus</v>
      </c>
      <c r="T1366" s="2" t="str">
        <f t="shared" si="109"/>
        <v>Sangat Rendah</v>
      </c>
    </row>
    <row r="1367" spans="1:20" ht="15.75" customHeight="1" x14ac:dyDescent="0.3">
      <c r="A1367" s="4" t="s">
        <v>978</v>
      </c>
      <c r="B1367" s="3">
        <v>45668.094340277778</v>
      </c>
      <c r="C1367" s="2" t="s">
        <v>979</v>
      </c>
      <c r="D1367" s="2" t="s">
        <v>49</v>
      </c>
      <c r="E1367" s="2" t="s">
        <v>104</v>
      </c>
      <c r="F1367" s="2">
        <v>30000</v>
      </c>
      <c r="G1367" s="2">
        <v>3</v>
      </c>
      <c r="H1367" s="2">
        <v>10</v>
      </c>
      <c r="I1367">
        <f t="shared" si="105"/>
        <v>90000</v>
      </c>
      <c r="J1367">
        <f t="shared" si="106"/>
        <v>9000</v>
      </c>
      <c r="K1367" s="6">
        <f t="shared" si="107"/>
        <v>81000</v>
      </c>
      <c r="L1367" s="2">
        <v>43000</v>
      </c>
      <c r="M1367" s="6">
        <f>Table1[[#This Row],[Total Sales]]+Table1[[#This Row],[Shipping Fee]]</f>
        <v>124000</v>
      </c>
      <c r="N1367" s="2" t="s">
        <v>35</v>
      </c>
      <c r="O1367" t="str">
        <f>VLOOKUP(Table1[[#This Row],[Order ID]],Status!A:B, 2,FALSE)</f>
        <v>Completed</v>
      </c>
      <c r="P1367" s="2" t="s">
        <v>46</v>
      </c>
      <c r="Q1367" s="2">
        <v>2</v>
      </c>
      <c r="R1367" s="2" t="s">
        <v>24</v>
      </c>
      <c r="S1367" s="11" t="str">
        <f t="shared" si="108"/>
        <v>Rendah</v>
      </c>
      <c r="T1367" s="2" t="str">
        <f t="shared" si="109"/>
        <v>Rendah</v>
      </c>
    </row>
    <row r="1368" spans="1:20" ht="15.75" customHeight="1" x14ac:dyDescent="0.3">
      <c r="A1368" s="4" t="s">
        <v>977</v>
      </c>
      <c r="B1368" s="3">
        <v>45668.026458333326</v>
      </c>
      <c r="C1368" s="2" t="s">
        <v>205</v>
      </c>
      <c r="D1368" s="2" t="s">
        <v>96</v>
      </c>
      <c r="E1368" s="2" t="s">
        <v>45</v>
      </c>
      <c r="F1368" s="2">
        <v>40000</v>
      </c>
      <c r="G1368" s="2">
        <v>1</v>
      </c>
      <c r="H1368" s="2">
        <v>10</v>
      </c>
      <c r="I1368">
        <f t="shared" si="105"/>
        <v>40000</v>
      </c>
      <c r="J1368">
        <f t="shared" si="106"/>
        <v>4000</v>
      </c>
      <c r="K1368" s="6">
        <f t="shared" si="107"/>
        <v>36000</v>
      </c>
      <c r="L1368" s="2">
        <v>49000</v>
      </c>
      <c r="M1368" s="6">
        <f>Table1[[#This Row],[Total Sales]]+Table1[[#This Row],[Shipping Fee]]</f>
        <v>85000</v>
      </c>
      <c r="N1368" s="2" t="s">
        <v>63</v>
      </c>
      <c r="O1368" t="str">
        <f>VLOOKUP(Table1[[#This Row],[Order ID]],Status!A:B, 2,FALSE)</f>
        <v>Returned</v>
      </c>
      <c r="P1368" s="2" t="s">
        <v>82</v>
      </c>
      <c r="Q1368" s="2">
        <v>1</v>
      </c>
      <c r="R1368" s="2" t="s">
        <v>24</v>
      </c>
      <c r="S1368" s="11" t="str">
        <f t="shared" si="108"/>
        <v>Rendah</v>
      </c>
      <c r="T1368" s="2" t="str">
        <f t="shared" si="109"/>
        <v>Sangat Rendah</v>
      </c>
    </row>
    <row r="1369" spans="1:20" ht="15.75" customHeight="1" x14ac:dyDescent="0.3">
      <c r="A1369" s="4" t="s">
        <v>975</v>
      </c>
      <c r="B1369" s="3">
        <v>45667.815451388888</v>
      </c>
      <c r="C1369" s="2" t="s">
        <v>976</v>
      </c>
      <c r="D1369" s="2" t="s">
        <v>182</v>
      </c>
      <c r="E1369" s="2" t="s">
        <v>41</v>
      </c>
      <c r="F1369" s="2">
        <v>4000</v>
      </c>
      <c r="G1369" s="2">
        <v>3</v>
      </c>
      <c r="H1369" s="2">
        <v>20</v>
      </c>
      <c r="I1369">
        <f t="shared" si="105"/>
        <v>12000</v>
      </c>
      <c r="J1369">
        <f t="shared" si="106"/>
        <v>2400</v>
      </c>
      <c r="K1369" s="6">
        <f t="shared" si="107"/>
        <v>9600</v>
      </c>
      <c r="L1369" s="2">
        <v>48000</v>
      </c>
      <c r="M1369" s="6">
        <f>Table1[[#This Row],[Total Sales]]+Table1[[#This Row],[Shipping Fee]]</f>
        <v>57600</v>
      </c>
      <c r="N1369" s="2" t="s">
        <v>29</v>
      </c>
      <c r="O1369" t="str">
        <f>VLOOKUP(Table1[[#This Row],[Order ID]],Status!A:B, 2,FALSE)</f>
        <v>Completed</v>
      </c>
      <c r="P1369" s="2" t="s">
        <v>30</v>
      </c>
      <c r="Q1369" s="2">
        <v>3</v>
      </c>
      <c r="R1369" s="2" t="s">
        <v>24</v>
      </c>
      <c r="S1369" s="11" t="str">
        <f t="shared" si="108"/>
        <v>Standar</v>
      </c>
      <c r="T1369" s="2" t="str">
        <f t="shared" si="109"/>
        <v>Sangat Rendah</v>
      </c>
    </row>
    <row r="1370" spans="1:20" ht="15.75" customHeight="1" x14ac:dyDescent="0.3">
      <c r="A1370" s="4" t="s">
        <v>974</v>
      </c>
      <c r="B1370" s="3">
        <v>45667.742673611108</v>
      </c>
      <c r="C1370" s="2" t="s">
        <v>796</v>
      </c>
      <c r="D1370" s="2" t="s">
        <v>119</v>
      </c>
      <c r="E1370" s="2" t="s">
        <v>174</v>
      </c>
      <c r="F1370" s="2">
        <v>10000</v>
      </c>
      <c r="G1370" s="2">
        <v>4</v>
      </c>
      <c r="H1370" s="2">
        <v>15</v>
      </c>
      <c r="I1370">
        <f t="shared" si="105"/>
        <v>40000</v>
      </c>
      <c r="J1370">
        <f t="shared" si="106"/>
        <v>6000</v>
      </c>
      <c r="K1370" s="6">
        <f t="shared" si="107"/>
        <v>34000</v>
      </c>
      <c r="L1370" s="2">
        <v>0</v>
      </c>
      <c r="M1370" s="6">
        <f>Table1[[#This Row],[Total Sales]]+Table1[[#This Row],[Shipping Fee]]</f>
        <v>34000</v>
      </c>
      <c r="N1370" s="2" t="s">
        <v>29</v>
      </c>
      <c r="O1370" t="str">
        <f>VLOOKUP(Table1[[#This Row],[Order ID]],Status!A:B, 2,FALSE)</f>
        <v>Completed</v>
      </c>
      <c r="P1370" s="2" t="s">
        <v>23</v>
      </c>
      <c r="Q1370" s="2">
        <v>3</v>
      </c>
      <c r="R1370" s="2" t="s">
        <v>24</v>
      </c>
      <c r="S1370" s="11" t="str">
        <f t="shared" si="108"/>
        <v>Standar</v>
      </c>
      <c r="T1370" s="2" t="str">
        <f t="shared" si="109"/>
        <v>Rendah</v>
      </c>
    </row>
    <row r="1371" spans="1:20" ht="15.75" customHeight="1" x14ac:dyDescent="0.3">
      <c r="A1371" s="4" t="s">
        <v>973</v>
      </c>
      <c r="B1371" s="3">
        <v>45667.567615740743</v>
      </c>
      <c r="C1371" s="2" t="s">
        <v>314</v>
      </c>
      <c r="D1371" s="2" t="s">
        <v>113</v>
      </c>
      <c r="E1371" s="2" t="s">
        <v>38</v>
      </c>
      <c r="F1371" s="2">
        <v>28000</v>
      </c>
      <c r="G1371" s="2">
        <v>5</v>
      </c>
      <c r="H1371" s="2">
        <v>10</v>
      </c>
      <c r="I1371">
        <f t="shared" si="105"/>
        <v>140000</v>
      </c>
      <c r="J1371">
        <f t="shared" si="106"/>
        <v>14000</v>
      </c>
      <c r="K1371" s="6">
        <f t="shared" si="107"/>
        <v>126000</v>
      </c>
      <c r="L1371" s="2">
        <v>18000</v>
      </c>
      <c r="M1371" s="6">
        <f>Table1[[#This Row],[Total Sales]]+Table1[[#This Row],[Shipping Fee]]</f>
        <v>144000</v>
      </c>
      <c r="N1371" s="2" t="s">
        <v>63</v>
      </c>
      <c r="O1371" t="str">
        <f>VLOOKUP(Table1[[#This Row],[Order ID]],Status!A:B, 2,FALSE)</f>
        <v>Completed</v>
      </c>
      <c r="P1371" s="2" t="s">
        <v>36</v>
      </c>
      <c r="Q1371" s="2">
        <v>1</v>
      </c>
      <c r="R1371" s="2" t="s">
        <v>24</v>
      </c>
      <c r="S1371" s="11" t="str">
        <f t="shared" si="108"/>
        <v>Rendah</v>
      </c>
      <c r="T1371" s="2" t="str">
        <f t="shared" si="109"/>
        <v>Normal</v>
      </c>
    </row>
    <row r="1372" spans="1:20" ht="15.75" customHeight="1" x14ac:dyDescent="0.3">
      <c r="A1372" s="4" t="s">
        <v>973</v>
      </c>
      <c r="B1372" s="3">
        <v>45667.567615740743</v>
      </c>
      <c r="C1372" s="2" t="s">
        <v>314</v>
      </c>
      <c r="D1372" s="2" t="s">
        <v>113</v>
      </c>
      <c r="E1372" s="2" t="s">
        <v>136</v>
      </c>
      <c r="F1372" s="2">
        <v>12000</v>
      </c>
      <c r="G1372" s="2">
        <v>3</v>
      </c>
      <c r="H1372" s="2">
        <v>5</v>
      </c>
      <c r="I1372">
        <f t="shared" si="105"/>
        <v>36000</v>
      </c>
      <c r="J1372">
        <f t="shared" si="106"/>
        <v>1800</v>
      </c>
      <c r="K1372" s="6">
        <f t="shared" si="107"/>
        <v>34200</v>
      </c>
      <c r="L1372" s="2">
        <v>0</v>
      </c>
      <c r="M1372" s="6">
        <f>Table1[[#This Row],[Total Sales]]+Table1[[#This Row],[Shipping Fee]]</f>
        <v>34200</v>
      </c>
      <c r="N1372" s="2" t="s">
        <v>63</v>
      </c>
      <c r="O1372" t="str">
        <f>VLOOKUP(Table1[[#This Row],[Order ID]],Status!A:B, 2,FALSE)</f>
        <v>Completed</v>
      </c>
      <c r="P1372" s="2" t="s">
        <v>36</v>
      </c>
      <c r="Q1372" s="2">
        <v>1</v>
      </c>
      <c r="R1372" s="2" t="s">
        <v>24</v>
      </c>
      <c r="S1372" s="11" t="str">
        <f t="shared" si="108"/>
        <v>Rendah</v>
      </c>
      <c r="T1372" s="2" t="str">
        <f t="shared" si="109"/>
        <v>Sangat Rendah</v>
      </c>
    </row>
    <row r="1373" spans="1:20" ht="15.75" customHeight="1" x14ac:dyDescent="0.3">
      <c r="A1373" s="4" t="s">
        <v>972</v>
      </c>
      <c r="B1373" s="3">
        <v>45667.553425925929</v>
      </c>
      <c r="C1373" s="2" t="s">
        <v>598</v>
      </c>
      <c r="D1373" s="2" t="s">
        <v>61</v>
      </c>
      <c r="E1373" s="2" t="s">
        <v>138</v>
      </c>
      <c r="F1373" s="2">
        <v>17000</v>
      </c>
      <c r="G1373" s="2">
        <v>4</v>
      </c>
      <c r="H1373" s="2">
        <v>5</v>
      </c>
      <c r="I1373">
        <f t="shared" si="105"/>
        <v>68000</v>
      </c>
      <c r="J1373">
        <f t="shared" si="106"/>
        <v>3400</v>
      </c>
      <c r="K1373" s="6">
        <f t="shared" si="107"/>
        <v>64600</v>
      </c>
      <c r="L1373" s="2">
        <v>26000</v>
      </c>
      <c r="M1373" s="6">
        <f>Table1[[#This Row],[Total Sales]]+Table1[[#This Row],[Shipping Fee]]</f>
        <v>90600</v>
      </c>
      <c r="N1373" s="2" t="s">
        <v>35</v>
      </c>
      <c r="O1373" t="str">
        <f>VLOOKUP(Table1[[#This Row],[Order ID]],Status!A:B, 2,FALSE)</f>
        <v>Returned</v>
      </c>
      <c r="P1373" s="2" t="s">
        <v>23</v>
      </c>
      <c r="Q1373" s="2">
        <v>3</v>
      </c>
      <c r="R1373" s="2" t="s">
        <v>24</v>
      </c>
      <c r="S1373" s="11" t="str">
        <f t="shared" si="108"/>
        <v>Standar</v>
      </c>
      <c r="T1373" s="2" t="str">
        <f t="shared" si="109"/>
        <v>Sangat Rendah</v>
      </c>
    </row>
    <row r="1374" spans="1:20" ht="15.75" customHeight="1" x14ac:dyDescent="0.3">
      <c r="A1374" s="4" t="s">
        <v>971</v>
      </c>
      <c r="B1374" s="3">
        <v>45666.095324074071</v>
      </c>
      <c r="C1374" s="2" t="s">
        <v>252</v>
      </c>
      <c r="D1374" s="2" t="s">
        <v>131</v>
      </c>
      <c r="E1374" s="2" t="s">
        <v>21</v>
      </c>
      <c r="F1374" s="2">
        <v>45000</v>
      </c>
      <c r="G1374" s="2">
        <v>1</v>
      </c>
      <c r="H1374" s="2">
        <v>5</v>
      </c>
      <c r="I1374">
        <f t="shared" si="105"/>
        <v>45000</v>
      </c>
      <c r="J1374">
        <f t="shared" si="106"/>
        <v>2250</v>
      </c>
      <c r="K1374" s="6">
        <f t="shared" si="107"/>
        <v>42750</v>
      </c>
      <c r="L1374" s="2">
        <v>59000</v>
      </c>
      <c r="M1374" s="6">
        <f>Table1[[#This Row],[Total Sales]]+Table1[[#This Row],[Shipping Fee]]</f>
        <v>101750</v>
      </c>
      <c r="N1374" s="2" t="s">
        <v>22</v>
      </c>
      <c r="O1374" t="str">
        <f>VLOOKUP(Table1[[#This Row],[Order ID]],Status!A:B, 2,FALSE)</f>
        <v>Returned</v>
      </c>
      <c r="P1374" s="2" t="s">
        <v>46</v>
      </c>
      <c r="Q1374" s="2">
        <v>4</v>
      </c>
      <c r="R1374" s="2" t="s">
        <v>24</v>
      </c>
      <c r="S1374" s="11" t="str">
        <f t="shared" si="108"/>
        <v>Bagus</v>
      </c>
      <c r="T1374" s="2" t="str">
        <f t="shared" si="109"/>
        <v>Sangat Rendah</v>
      </c>
    </row>
    <row r="1375" spans="1:20" ht="15.75" customHeight="1" x14ac:dyDescent="0.3">
      <c r="A1375" s="4" t="s">
        <v>970</v>
      </c>
      <c r="B1375" s="3">
        <v>45665.305381944447</v>
      </c>
      <c r="C1375" s="2" t="s">
        <v>457</v>
      </c>
      <c r="D1375" s="2" t="s">
        <v>80</v>
      </c>
      <c r="E1375" s="2" t="s">
        <v>88</v>
      </c>
      <c r="F1375" s="2">
        <v>14000</v>
      </c>
      <c r="G1375" s="2">
        <v>3</v>
      </c>
      <c r="H1375" s="2">
        <v>10</v>
      </c>
      <c r="I1375">
        <f t="shared" si="105"/>
        <v>42000</v>
      </c>
      <c r="J1375">
        <f t="shared" si="106"/>
        <v>4200</v>
      </c>
      <c r="K1375" s="6">
        <f t="shared" si="107"/>
        <v>37800</v>
      </c>
      <c r="L1375" s="2">
        <v>0</v>
      </c>
      <c r="M1375" s="6">
        <f>Table1[[#This Row],[Total Sales]]+Table1[[#This Row],[Shipping Fee]]</f>
        <v>37800</v>
      </c>
      <c r="N1375" s="2" t="s">
        <v>63</v>
      </c>
      <c r="O1375" t="str">
        <f>VLOOKUP(Table1[[#This Row],[Order ID]],Status!A:B, 2,FALSE)</f>
        <v>Completed</v>
      </c>
      <c r="P1375" s="2" t="s">
        <v>82</v>
      </c>
      <c r="Q1375" s="2">
        <v>1</v>
      </c>
      <c r="R1375" s="2" t="s">
        <v>24</v>
      </c>
      <c r="S1375" s="11" t="str">
        <f t="shared" si="108"/>
        <v>Rendah</v>
      </c>
      <c r="T1375" s="2" t="str">
        <f t="shared" si="109"/>
        <v>Sangat Rendah</v>
      </c>
    </row>
    <row r="1376" spans="1:20" ht="15.75" customHeight="1" x14ac:dyDescent="0.3">
      <c r="A1376" s="4" t="s">
        <v>970</v>
      </c>
      <c r="B1376" s="3">
        <v>45665.305381944447</v>
      </c>
      <c r="C1376" s="2" t="s">
        <v>457</v>
      </c>
      <c r="D1376" s="2" t="s">
        <v>80</v>
      </c>
      <c r="E1376" s="2" t="s">
        <v>85</v>
      </c>
      <c r="F1376" s="2">
        <v>35000</v>
      </c>
      <c r="G1376" s="2">
        <v>4</v>
      </c>
      <c r="H1376" s="2">
        <v>15</v>
      </c>
      <c r="I1376">
        <f t="shared" si="105"/>
        <v>140000</v>
      </c>
      <c r="J1376">
        <f t="shared" si="106"/>
        <v>21000</v>
      </c>
      <c r="K1376" s="6">
        <f t="shared" si="107"/>
        <v>119000</v>
      </c>
      <c r="L1376" s="2">
        <v>74000</v>
      </c>
      <c r="M1376" s="6">
        <f>Table1[[#This Row],[Total Sales]]+Table1[[#This Row],[Shipping Fee]]</f>
        <v>193000</v>
      </c>
      <c r="N1376" s="2" t="s">
        <v>63</v>
      </c>
      <c r="O1376" t="str">
        <f>VLOOKUP(Table1[[#This Row],[Order ID]],Status!A:B, 2,FALSE)</f>
        <v>Completed</v>
      </c>
      <c r="P1376" s="2" t="s">
        <v>82</v>
      </c>
      <c r="Q1376" s="2">
        <v>1</v>
      </c>
      <c r="R1376" s="2" t="s">
        <v>24</v>
      </c>
      <c r="S1376" s="11" t="str">
        <f t="shared" si="108"/>
        <v>Rendah</v>
      </c>
      <c r="T1376" s="2" t="str">
        <f t="shared" si="109"/>
        <v>Tinggi</v>
      </c>
    </row>
    <row r="1377" spans="1:20" ht="15.75" customHeight="1" x14ac:dyDescent="0.3">
      <c r="A1377" s="4" t="s">
        <v>968</v>
      </c>
      <c r="B1377" s="3">
        <v>45664.963333333333</v>
      </c>
      <c r="C1377" s="2" t="s">
        <v>969</v>
      </c>
      <c r="D1377" s="2" t="s">
        <v>177</v>
      </c>
      <c r="E1377" s="2" t="s">
        <v>250</v>
      </c>
      <c r="F1377" s="2">
        <v>18000</v>
      </c>
      <c r="G1377" s="2">
        <v>3</v>
      </c>
      <c r="H1377" s="2">
        <v>10</v>
      </c>
      <c r="I1377">
        <f t="shared" si="105"/>
        <v>54000</v>
      </c>
      <c r="J1377">
        <f t="shared" si="106"/>
        <v>5400</v>
      </c>
      <c r="K1377" s="6">
        <f t="shared" si="107"/>
        <v>48600</v>
      </c>
      <c r="L1377" s="2">
        <v>56000</v>
      </c>
      <c r="M1377" s="6">
        <f>Table1[[#This Row],[Total Sales]]+Table1[[#This Row],[Shipping Fee]]</f>
        <v>104600</v>
      </c>
      <c r="N1377" s="2" t="s">
        <v>29</v>
      </c>
      <c r="O1377" t="str">
        <f>VLOOKUP(Table1[[#This Row],[Order ID]],Status!A:B, 2,FALSE)</f>
        <v>Completed</v>
      </c>
      <c r="P1377" s="2" t="s">
        <v>82</v>
      </c>
      <c r="Q1377" s="2">
        <v>3</v>
      </c>
      <c r="R1377" s="2" t="s">
        <v>24</v>
      </c>
      <c r="S1377" s="11" t="str">
        <f t="shared" si="108"/>
        <v>Standar</v>
      </c>
      <c r="T1377" s="2" t="str">
        <f t="shared" si="109"/>
        <v>Rendah</v>
      </c>
    </row>
    <row r="1378" spans="1:20" ht="15.75" customHeight="1" x14ac:dyDescent="0.3">
      <c r="A1378" s="4" t="s">
        <v>967</v>
      </c>
      <c r="B1378" s="3">
        <v>45664.912847222222</v>
      </c>
      <c r="C1378" s="2" t="s">
        <v>201</v>
      </c>
      <c r="D1378" s="2" t="s">
        <v>107</v>
      </c>
      <c r="E1378" s="2" t="s">
        <v>50</v>
      </c>
      <c r="F1378" s="2">
        <v>14000</v>
      </c>
      <c r="G1378" s="2">
        <v>2</v>
      </c>
      <c r="H1378" s="2">
        <v>0</v>
      </c>
      <c r="I1378">
        <f t="shared" si="105"/>
        <v>28000</v>
      </c>
      <c r="J1378">
        <f t="shared" si="106"/>
        <v>0</v>
      </c>
      <c r="K1378" s="6">
        <f t="shared" si="107"/>
        <v>28000</v>
      </c>
      <c r="L1378" s="2">
        <v>97000</v>
      </c>
      <c r="M1378" s="6">
        <f>Table1[[#This Row],[Total Sales]]+Table1[[#This Row],[Shipping Fee]]</f>
        <v>125000</v>
      </c>
      <c r="N1378" s="2" t="s">
        <v>35</v>
      </c>
      <c r="O1378" t="str">
        <f>VLOOKUP(Table1[[#This Row],[Order ID]],Status!A:B, 2,FALSE)</f>
        <v>Completed</v>
      </c>
      <c r="P1378" s="2" t="s">
        <v>30</v>
      </c>
      <c r="Q1378" s="2">
        <v>5</v>
      </c>
      <c r="R1378" s="2" t="s">
        <v>24</v>
      </c>
      <c r="S1378" s="11" t="str">
        <f t="shared" si="108"/>
        <v>Bagus</v>
      </c>
      <c r="T1378" s="2" t="str">
        <f t="shared" si="109"/>
        <v>Sangat Rendah</v>
      </c>
    </row>
    <row r="1379" spans="1:20" ht="15.75" customHeight="1" x14ac:dyDescent="0.3">
      <c r="A1379" s="4" t="s">
        <v>966</v>
      </c>
      <c r="B1379" s="3">
        <v>45664.860509259262</v>
      </c>
      <c r="C1379" s="2" t="s">
        <v>570</v>
      </c>
      <c r="D1379" s="2" t="s">
        <v>80</v>
      </c>
      <c r="E1379" s="2" t="s">
        <v>136</v>
      </c>
      <c r="F1379" s="2">
        <v>12000</v>
      </c>
      <c r="G1379" s="2">
        <v>2</v>
      </c>
      <c r="H1379" s="2">
        <v>10</v>
      </c>
      <c r="I1379">
        <f t="shared" si="105"/>
        <v>24000</v>
      </c>
      <c r="J1379">
        <f t="shared" si="106"/>
        <v>2400</v>
      </c>
      <c r="K1379" s="6">
        <f t="shared" si="107"/>
        <v>21600</v>
      </c>
      <c r="L1379" s="2">
        <v>74000</v>
      </c>
      <c r="M1379" s="6">
        <f>Table1[[#This Row],[Total Sales]]+Table1[[#This Row],[Shipping Fee]]</f>
        <v>95600</v>
      </c>
      <c r="N1379" s="2" t="s">
        <v>63</v>
      </c>
      <c r="O1379" t="str">
        <f>VLOOKUP(Table1[[#This Row],[Order ID]],Status!A:B, 2,FALSE)</f>
        <v>Completed</v>
      </c>
      <c r="P1379" s="2" t="s">
        <v>30</v>
      </c>
      <c r="Q1379" s="2">
        <v>1</v>
      </c>
      <c r="R1379" s="2" t="s">
        <v>24</v>
      </c>
      <c r="S1379" s="11" t="str">
        <f t="shared" si="108"/>
        <v>Rendah</v>
      </c>
      <c r="T1379" s="2" t="str">
        <f t="shared" si="109"/>
        <v>Sangat Rendah</v>
      </c>
    </row>
    <row r="1380" spans="1:20" ht="15.75" customHeight="1" x14ac:dyDescent="0.3">
      <c r="A1380" s="4" t="s">
        <v>965</v>
      </c>
      <c r="B1380" s="3">
        <v>45664.648668981477</v>
      </c>
      <c r="C1380" s="2" t="s">
        <v>201</v>
      </c>
      <c r="D1380" s="2" t="s">
        <v>107</v>
      </c>
      <c r="E1380" s="2" t="s">
        <v>123</v>
      </c>
      <c r="F1380" s="2">
        <v>22000</v>
      </c>
      <c r="G1380" s="2">
        <v>5</v>
      </c>
      <c r="H1380" s="2">
        <v>20</v>
      </c>
      <c r="I1380">
        <f t="shared" si="105"/>
        <v>110000</v>
      </c>
      <c r="J1380">
        <f t="shared" si="106"/>
        <v>22000</v>
      </c>
      <c r="K1380" s="6">
        <f t="shared" si="107"/>
        <v>88000</v>
      </c>
      <c r="L1380" s="2">
        <v>97000</v>
      </c>
      <c r="M1380" s="6">
        <f>Table1[[#This Row],[Total Sales]]+Table1[[#This Row],[Shipping Fee]]</f>
        <v>185000</v>
      </c>
      <c r="N1380" s="2" t="s">
        <v>29</v>
      </c>
      <c r="O1380" t="str">
        <f>VLOOKUP(Table1[[#This Row],[Order ID]],Status!A:B, 2,FALSE)</f>
        <v>Completed</v>
      </c>
      <c r="P1380" s="2" t="s">
        <v>30</v>
      </c>
      <c r="Q1380" s="2">
        <v>4</v>
      </c>
      <c r="R1380" s="2" t="s">
        <v>24</v>
      </c>
      <c r="S1380" s="11" t="str">
        <f t="shared" si="108"/>
        <v>Bagus</v>
      </c>
      <c r="T1380" s="2" t="str">
        <f t="shared" si="109"/>
        <v>Tinggi</v>
      </c>
    </row>
    <row r="1381" spans="1:20" ht="15.75" customHeight="1" x14ac:dyDescent="0.3">
      <c r="A1381" s="4" t="s">
        <v>964</v>
      </c>
      <c r="B1381" s="3">
        <v>45664.605219907397</v>
      </c>
      <c r="C1381" s="2" t="s">
        <v>502</v>
      </c>
      <c r="D1381" s="2" t="s">
        <v>107</v>
      </c>
      <c r="E1381" s="2" t="s">
        <v>50</v>
      </c>
      <c r="F1381" s="2">
        <v>14000</v>
      </c>
      <c r="G1381" s="2">
        <v>4</v>
      </c>
      <c r="H1381" s="2">
        <v>10</v>
      </c>
      <c r="I1381">
        <f t="shared" si="105"/>
        <v>56000</v>
      </c>
      <c r="J1381">
        <f t="shared" si="106"/>
        <v>5600</v>
      </c>
      <c r="K1381" s="6">
        <f t="shared" si="107"/>
        <v>50400</v>
      </c>
      <c r="L1381" s="2">
        <v>97000</v>
      </c>
      <c r="M1381" s="6">
        <f>Table1[[#This Row],[Total Sales]]+Table1[[#This Row],[Shipping Fee]]</f>
        <v>147400</v>
      </c>
      <c r="N1381" s="2" t="s">
        <v>29</v>
      </c>
      <c r="O1381" t="str">
        <f>VLOOKUP(Table1[[#This Row],[Order ID]],Status!A:B, 2,FALSE)</f>
        <v>Completed</v>
      </c>
      <c r="P1381" s="2" t="s">
        <v>23</v>
      </c>
      <c r="Q1381" s="2">
        <v>3</v>
      </c>
      <c r="R1381" s="2" t="s">
        <v>24</v>
      </c>
      <c r="S1381" s="11" t="str">
        <f t="shared" si="108"/>
        <v>Standar</v>
      </c>
      <c r="T1381" s="2" t="str">
        <f t="shared" si="109"/>
        <v>Rendah</v>
      </c>
    </row>
    <row r="1382" spans="1:20" ht="15.75" customHeight="1" x14ac:dyDescent="0.3">
      <c r="A1382" s="4" t="s">
        <v>963</v>
      </c>
      <c r="B1382" s="3">
        <v>45664.562488425923</v>
      </c>
      <c r="C1382" s="2" t="s">
        <v>109</v>
      </c>
      <c r="D1382" s="2" t="s">
        <v>49</v>
      </c>
      <c r="E1382" s="2" t="s">
        <v>45</v>
      </c>
      <c r="F1382" s="2">
        <v>40000</v>
      </c>
      <c r="G1382" s="2">
        <v>1</v>
      </c>
      <c r="H1382" s="2">
        <v>0</v>
      </c>
      <c r="I1382">
        <f t="shared" si="105"/>
        <v>40000</v>
      </c>
      <c r="J1382">
        <f t="shared" si="106"/>
        <v>0</v>
      </c>
      <c r="K1382" s="6">
        <f t="shared" si="107"/>
        <v>40000</v>
      </c>
      <c r="L1382" s="2">
        <v>43000</v>
      </c>
      <c r="M1382" s="6">
        <f>Table1[[#This Row],[Total Sales]]+Table1[[#This Row],[Shipping Fee]]</f>
        <v>83000</v>
      </c>
      <c r="N1382" s="2" t="s">
        <v>35</v>
      </c>
      <c r="O1382" t="str">
        <f>VLOOKUP(Table1[[#This Row],[Order ID]],Status!A:B, 2,FALSE)</f>
        <v>Returned</v>
      </c>
      <c r="P1382" s="2" t="s">
        <v>46</v>
      </c>
      <c r="Q1382" s="2">
        <v>1</v>
      </c>
      <c r="R1382" s="2" t="s">
        <v>24</v>
      </c>
      <c r="S1382" s="11" t="str">
        <f t="shared" si="108"/>
        <v>Rendah</v>
      </c>
      <c r="T1382" s="2" t="str">
        <f t="shared" si="109"/>
        <v>Sangat Rendah</v>
      </c>
    </row>
    <row r="1383" spans="1:20" ht="15.75" customHeight="1" x14ac:dyDescent="0.3">
      <c r="A1383" s="4" t="s">
        <v>963</v>
      </c>
      <c r="B1383" s="3">
        <v>45664.562488425923</v>
      </c>
      <c r="C1383" s="2" t="s">
        <v>109</v>
      </c>
      <c r="D1383" s="2" t="s">
        <v>49</v>
      </c>
      <c r="E1383" s="2" t="s">
        <v>81</v>
      </c>
      <c r="F1383" s="2">
        <v>17000</v>
      </c>
      <c r="G1383" s="2">
        <v>1</v>
      </c>
      <c r="H1383" s="2">
        <v>10</v>
      </c>
      <c r="I1383">
        <f t="shared" si="105"/>
        <v>17000</v>
      </c>
      <c r="J1383">
        <f t="shared" si="106"/>
        <v>1700</v>
      </c>
      <c r="K1383" s="6">
        <f t="shared" si="107"/>
        <v>15300</v>
      </c>
      <c r="L1383" s="2">
        <v>0</v>
      </c>
      <c r="M1383" s="6">
        <f>Table1[[#This Row],[Total Sales]]+Table1[[#This Row],[Shipping Fee]]</f>
        <v>15300</v>
      </c>
      <c r="N1383" s="2" t="s">
        <v>35</v>
      </c>
      <c r="O1383" t="str">
        <f>VLOOKUP(Table1[[#This Row],[Order ID]],Status!A:B, 2,FALSE)</f>
        <v>Returned</v>
      </c>
      <c r="P1383" s="2" t="s">
        <v>46</v>
      </c>
      <c r="Q1383" s="2">
        <v>1</v>
      </c>
      <c r="R1383" s="2" t="s">
        <v>24</v>
      </c>
      <c r="S1383" s="11" t="str">
        <f t="shared" si="108"/>
        <v>Rendah</v>
      </c>
      <c r="T1383" s="2" t="str">
        <f t="shared" si="109"/>
        <v>Sangat Rendah</v>
      </c>
    </row>
    <row r="1384" spans="1:20" ht="15.75" customHeight="1" x14ac:dyDescent="0.3">
      <c r="A1384" s="4" t="s">
        <v>962</v>
      </c>
      <c r="B1384" s="3">
        <v>45664.535694444443</v>
      </c>
      <c r="C1384" s="2" t="s">
        <v>613</v>
      </c>
      <c r="D1384" s="2" t="s">
        <v>375</v>
      </c>
      <c r="E1384" s="2" t="s">
        <v>21</v>
      </c>
      <c r="F1384" s="2">
        <v>45000</v>
      </c>
      <c r="G1384" s="2">
        <v>4</v>
      </c>
      <c r="H1384" s="2">
        <v>0</v>
      </c>
      <c r="I1384">
        <f t="shared" si="105"/>
        <v>180000</v>
      </c>
      <c r="J1384">
        <f t="shared" si="106"/>
        <v>0</v>
      </c>
      <c r="K1384" s="6">
        <f t="shared" si="107"/>
        <v>180000</v>
      </c>
      <c r="L1384" s="2">
        <v>21000</v>
      </c>
      <c r="M1384" s="6">
        <f>Table1[[#This Row],[Total Sales]]+Table1[[#This Row],[Shipping Fee]]</f>
        <v>201000</v>
      </c>
      <c r="N1384" s="2" t="s">
        <v>63</v>
      </c>
      <c r="O1384" t="str">
        <f>VLOOKUP(Table1[[#This Row],[Order ID]],Status!A:B, 2,FALSE)</f>
        <v>Cancelled</v>
      </c>
      <c r="P1384" s="2" t="s">
        <v>82</v>
      </c>
      <c r="Q1384" s="2">
        <v>4</v>
      </c>
      <c r="R1384" s="2" t="s">
        <v>24</v>
      </c>
      <c r="S1384" s="11" t="str">
        <f t="shared" si="108"/>
        <v>Bagus</v>
      </c>
      <c r="T1384" s="2" t="str">
        <f t="shared" si="109"/>
        <v>Sangat Rendah</v>
      </c>
    </row>
    <row r="1385" spans="1:20" ht="15.75" customHeight="1" x14ac:dyDescent="0.3">
      <c r="A1385" s="4" t="s">
        <v>961</v>
      </c>
      <c r="B1385" s="3">
        <v>45664.35565972222</v>
      </c>
      <c r="C1385" s="2" t="s">
        <v>299</v>
      </c>
      <c r="D1385" s="2" t="s">
        <v>163</v>
      </c>
      <c r="E1385" s="2" t="s">
        <v>144</v>
      </c>
      <c r="F1385" s="2">
        <v>18000</v>
      </c>
      <c r="G1385" s="2">
        <v>2</v>
      </c>
      <c r="H1385" s="2">
        <v>0</v>
      </c>
      <c r="I1385">
        <f t="shared" si="105"/>
        <v>36000</v>
      </c>
      <c r="J1385">
        <f t="shared" si="106"/>
        <v>0</v>
      </c>
      <c r="K1385" s="6">
        <f t="shared" si="107"/>
        <v>36000</v>
      </c>
      <c r="L1385" s="2">
        <v>50000</v>
      </c>
      <c r="M1385" s="6">
        <f>Table1[[#This Row],[Total Sales]]+Table1[[#This Row],[Shipping Fee]]</f>
        <v>86000</v>
      </c>
      <c r="N1385" s="2" t="s">
        <v>22</v>
      </c>
      <c r="O1385" t="str">
        <f>VLOOKUP(Table1[[#This Row],[Order ID]],Status!A:B, 2,FALSE)</f>
        <v>Completed</v>
      </c>
      <c r="P1385" s="2" t="s">
        <v>30</v>
      </c>
      <c r="Q1385" s="2">
        <v>3</v>
      </c>
      <c r="R1385" s="2" t="s">
        <v>24</v>
      </c>
      <c r="S1385" s="11" t="str">
        <f t="shared" si="108"/>
        <v>Standar</v>
      </c>
      <c r="T1385" s="2" t="str">
        <f t="shared" si="109"/>
        <v>Sangat Rendah</v>
      </c>
    </row>
    <row r="1386" spans="1:20" ht="15.75" customHeight="1" x14ac:dyDescent="0.3">
      <c r="A1386" s="4" t="s">
        <v>960</v>
      </c>
      <c r="B1386" s="3">
        <v>45664.243032407408</v>
      </c>
      <c r="C1386" s="2" t="s">
        <v>355</v>
      </c>
      <c r="D1386" s="2" t="s">
        <v>116</v>
      </c>
      <c r="E1386" s="2" t="s">
        <v>190</v>
      </c>
      <c r="F1386" s="2">
        <v>35000</v>
      </c>
      <c r="G1386" s="2">
        <v>5</v>
      </c>
      <c r="H1386" s="2">
        <v>15</v>
      </c>
      <c r="I1386">
        <f t="shared" si="105"/>
        <v>175000</v>
      </c>
      <c r="J1386">
        <f t="shared" si="106"/>
        <v>26250</v>
      </c>
      <c r="K1386" s="6">
        <f t="shared" si="107"/>
        <v>148750</v>
      </c>
      <c r="L1386" s="2">
        <v>72000</v>
      </c>
      <c r="M1386" s="6">
        <f>Table1[[#This Row],[Total Sales]]+Table1[[#This Row],[Shipping Fee]]</f>
        <v>220750</v>
      </c>
      <c r="N1386" s="2" t="s">
        <v>35</v>
      </c>
      <c r="O1386" t="str">
        <f>VLOOKUP(Table1[[#This Row],[Order ID]],Status!A:B, 2,FALSE)</f>
        <v>Completed</v>
      </c>
      <c r="P1386" s="2" t="s">
        <v>30</v>
      </c>
      <c r="Q1386" s="2">
        <v>3</v>
      </c>
      <c r="R1386" s="2" t="s">
        <v>24</v>
      </c>
      <c r="S1386" s="11" t="str">
        <f t="shared" si="108"/>
        <v>Standar</v>
      </c>
      <c r="T1386" s="2" t="str">
        <f t="shared" si="109"/>
        <v>Tinggi</v>
      </c>
    </row>
    <row r="1387" spans="1:20" ht="15.75" customHeight="1" x14ac:dyDescent="0.3">
      <c r="A1387" s="4" t="s">
        <v>958</v>
      </c>
      <c r="B1387" s="3">
        <v>45664.147615740738</v>
      </c>
      <c r="C1387" s="2" t="s">
        <v>959</v>
      </c>
      <c r="D1387" s="2" t="s">
        <v>182</v>
      </c>
      <c r="E1387" s="2" t="s">
        <v>138</v>
      </c>
      <c r="F1387" s="2">
        <v>17000</v>
      </c>
      <c r="G1387" s="2">
        <v>2</v>
      </c>
      <c r="H1387" s="2">
        <v>5</v>
      </c>
      <c r="I1387">
        <f t="shared" si="105"/>
        <v>34000</v>
      </c>
      <c r="J1387">
        <f t="shared" si="106"/>
        <v>1700</v>
      </c>
      <c r="K1387" s="6">
        <f t="shared" si="107"/>
        <v>32300</v>
      </c>
      <c r="L1387" s="2">
        <v>48000</v>
      </c>
      <c r="M1387" s="6">
        <f>Table1[[#This Row],[Total Sales]]+Table1[[#This Row],[Shipping Fee]]</f>
        <v>80300</v>
      </c>
      <c r="N1387" s="2" t="s">
        <v>22</v>
      </c>
      <c r="O1387" t="str">
        <f>VLOOKUP(Table1[[#This Row],[Order ID]],Status!A:B, 2,FALSE)</f>
        <v>Completed</v>
      </c>
      <c r="P1387" s="2" t="s">
        <v>46</v>
      </c>
      <c r="Q1387" s="2">
        <v>2</v>
      </c>
      <c r="R1387" s="2" t="s">
        <v>24</v>
      </c>
      <c r="S1387" s="11" t="str">
        <f t="shared" si="108"/>
        <v>Rendah</v>
      </c>
      <c r="T1387" s="2" t="str">
        <f t="shared" si="109"/>
        <v>Sangat Rendah</v>
      </c>
    </row>
    <row r="1388" spans="1:20" ht="15.75" customHeight="1" x14ac:dyDescent="0.3">
      <c r="A1388" s="4" t="s">
        <v>957</v>
      </c>
      <c r="B1388" s="3">
        <v>45664.102361111109</v>
      </c>
      <c r="C1388" s="2" t="s">
        <v>851</v>
      </c>
      <c r="D1388" s="2" t="s">
        <v>66</v>
      </c>
      <c r="E1388" s="2" t="s">
        <v>38</v>
      </c>
      <c r="F1388" s="2">
        <v>28000</v>
      </c>
      <c r="G1388" s="2">
        <v>4</v>
      </c>
      <c r="H1388" s="2">
        <v>20</v>
      </c>
      <c r="I1388">
        <f t="shared" si="105"/>
        <v>112000</v>
      </c>
      <c r="J1388">
        <f t="shared" si="106"/>
        <v>22400</v>
      </c>
      <c r="K1388" s="6">
        <f t="shared" si="107"/>
        <v>89600</v>
      </c>
      <c r="L1388" s="2">
        <v>59000</v>
      </c>
      <c r="M1388" s="6">
        <f>Table1[[#This Row],[Total Sales]]+Table1[[#This Row],[Shipping Fee]]</f>
        <v>148600</v>
      </c>
      <c r="N1388" s="2" t="s">
        <v>29</v>
      </c>
      <c r="O1388" t="str">
        <f>VLOOKUP(Table1[[#This Row],[Order ID]],Status!A:B, 2,FALSE)</f>
        <v>Completed</v>
      </c>
      <c r="P1388" s="2" t="s">
        <v>36</v>
      </c>
      <c r="Q1388" s="2">
        <v>1</v>
      </c>
      <c r="R1388" s="2" t="s">
        <v>37</v>
      </c>
      <c r="S1388" s="11" t="str">
        <f t="shared" si="108"/>
        <v>Rendah</v>
      </c>
      <c r="T1388" s="2" t="str">
        <f t="shared" si="109"/>
        <v>Tinggi</v>
      </c>
    </row>
    <row r="1389" spans="1:20" ht="15.75" customHeight="1" x14ac:dyDescent="0.3">
      <c r="A1389" s="4" t="s">
        <v>956</v>
      </c>
      <c r="B1389" s="3">
        <v>45663.761481481481</v>
      </c>
      <c r="C1389" s="2" t="s">
        <v>192</v>
      </c>
      <c r="D1389" s="2" t="s">
        <v>107</v>
      </c>
      <c r="E1389" s="2" t="s">
        <v>28</v>
      </c>
      <c r="F1389" s="2">
        <v>5000</v>
      </c>
      <c r="G1389" s="2">
        <v>2</v>
      </c>
      <c r="H1389" s="2">
        <v>15</v>
      </c>
      <c r="I1389">
        <f t="shared" si="105"/>
        <v>10000</v>
      </c>
      <c r="J1389">
        <f t="shared" si="106"/>
        <v>1500</v>
      </c>
      <c r="K1389" s="6">
        <f t="shared" si="107"/>
        <v>8500</v>
      </c>
      <c r="L1389" s="2">
        <v>97000</v>
      </c>
      <c r="M1389" s="6">
        <f>Table1[[#This Row],[Total Sales]]+Table1[[#This Row],[Shipping Fee]]</f>
        <v>105500</v>
      </c>
      <c r="N1389" s="2" t="s">
        <v>63</v>
      </c>
      <c r="O1389" t="str">
        <f>VLOOKUP(Table1[[#This Row],[Order ID]],Status!A:B, 2,FALSE)</f>
        <v>Completed</v>
      </c>
      <c r="P1389" s="2" t="s">
        <v>46</v>
      </c>
      <c r="Q1389" s="2">
        <v>5</v>
      </c>
      <c r="R1389" s="2" t="s">
        <v>24</v>
      </c>
      <c r="S1389" s="11" t="str">
        <f t="shared" si="108"/>
        <v>Bagus</v>
      </c>
      <c r="T1389" s="2" t="str">
        <f t="shared" si="109"/>
        <v>Sangat Rendah</v>
      </c>
    </row>
    <row r="1390" spans="1:20" ht="15.75" customHeight="1" x14ac:dyDescent="0.3">
      <c r="A1390" s="4" t="s">
        <v>955</v>
      </c>
      <c r="B1390" s="3">
        <v>45663.562696759262</v>
      </c>
      <c r="C1390" s="2" t="s">
        <v>60</v>
      </c>
      <c r="D1390" s="2" t="s">
        <v>61</v>
      </c>
      <c r="E1390" s="2" t="s">
        <v>45</v>
      </c>
      <c r="F1390" s="2">
        <v>40000</v>
      </c>
      <c r="G1390" s="2">
        <v>3</v>
      </c>
      <c r="H1390" s="2">
        <v>0</v>
      </c>
      <c r="I1390">
        <f t="shared" si="105"/>
        <v>120000</v>
      </c>
      <c r="J1390">
        <f t="shared" si="106"/>
        <v>0</v>
      </c>
      <c r="K1390" s="6">
        <f t="shared" si="107"/>
        <v>120000</v>
      </c>
      <c r="L1390" s="2">
        <v>26000</v>
      </c>
      <c r="M1390" s="6">
        <f>Table1[[#This Row],[Total Sales]]+Table1[[#This Row],[Shipping Fee]]</f>
        <v>146000</v>
      </c>
      <c r="N1390" s="2" t="s">
        <v>29</v>
      </c>
      <c r="O1390" t="str">
        <f>VLOOKUP(Table1[[#This Row],[Order ID]],Status!A:B, 2,FALSE)</f>
        <v>Completed</v>
      </c>
      <c r="P1390" s="2" t="s">
        <v>36</v>
      </c>
      <c r="Q1390" s="2">
        <v>1</v>
      </c>
      <c r="R1390" s="2" t="s">
        <v>24</v>
      </c>
      <c r="S1390" s="11" t="str">
        <f t="shared" si="108"/>
        <v>Rendah</v>
      </c>
      <c r="T1390" s="2" t="str">
        <f t="shared" si="109"/>
        <v>Sangat Rendah</v>
      </c>
    </row>
    <row r="1391" spans="1:20" ht="15.75" customHeight="1" x14ac:dyDescent="0.3">
      <c r="A1391" s="4" t="s">
        <v>953</v>
      </c>
      <c r="B1391" s="3">
        <v>45663.487719907411</v>
      </c>
      <c r="C1391" s="2" t="s">
        <v>954</v>
      </c>
      <c r="D1391" s="2" t="s">
        <v>44</v>
      </c>
      <c r="E1391" s="2" t="s">
        <v>123</v>
      </c>
      <c r="F1391" s="2">
        <v>22000</v>
      </c>
      <c r="G1391" s="2">
        <v>4</v>
      </c>
      <c r="H1391" s="2">
        <v>15</v>
      </c>
      <c r="I1391">
        <f t="shared" si="105"/>
        <v>88000</v>
      </c>
      <c r="J1391">
        <f t="shared" si="106"/>
        <v>13200</v>
      </c>
      <c r="K1391" s="6">
        <f t="shared" si="107"/>
        <v>74800</v>
      </c>
      <c r="L1391" s="2">
        <v>93000</v>
      </c>
      <c r="M1391" s="6">
        <f>Table1[[#This Row],[Total Sales]]+Table1[[#This Row],[Shipping Fee]]</f>
        <v>167800</v>
      </c>
      <c r="N1391" s="2" t="s">
        <v>22</v>
      </c>
      <c r="O1391" t="str">
        <f>VLOOKUP(Table1[[#This Row],[Order ID]],Status!A:B, 2,FALSE)</f>
        <v>Completed</v>
      </c>
      <c r="P1391" s="2" t="s">
        <v>23</v>
      </c>
      <c r="Q1391" s="2">
        <v>2</v>
      </c>
      <c r="R1391" s="2" t="s">
        <v>24</v>
      </c>
      <c r="S1391" s="11" t="str">
        <f t="shared" si="108"/>
        <v>Rendah</v>
      </c>
      <c r="T1391" s="2" t="str">
        <f t="shared" si="109"/>
        <v>Normal</v>
      </c>
    </row>
    <row r="1392" spans="1:20" ht="15.75" customHeight="1" x14ac:dyDescent="0.3">
      <c r="A1392" s="4" t="s">
        <v>953</v>
      </c>
      <c r="B1392" s="3">
        <v>45663.487719907411</v>
      </c>
      <c r="C1392" s="2" t="s">
        <v>954</v>
      </c>
      <c r="D1392" s="2" t="s">
        <v>44</v>
      </c>
      <c r="E1392" s="2" t="s">
        <v>62</v>
      </c>
      <c r="F1392" s="2">
        <v>50000</v>
      </c>
      <c r="G1392" s="2">
        <v>2</v>
      </c>
      <c r="H1392" s="2">
        <v>10</v>
      </c>
      <c r="I1392">
        <f t="shared" si="105"/>
        <v>100000</v>
      </c>
      <c r="J1392">
        <f t="shared" si="106"/>
        <v>10000</v>
      </c>
      <c r="K1392" s="6">
        <f t="shared" si="107"/>
        <v>90000</v>
      </c>
      <c r="L1392" s="2">
        <v>0</v>
      </c>
      <c r="M1392" s="6">
        <f>Table1[[#This Row],[Total Sales]]+Table1[[#This Row],[Shipping Fee]]</f>
        <v>90000</v>
      </c>
      <c r="N1392" s="2" t="s">
        <v>22</v>
      </c>
      <c r="O1392" t="str">
        <f>VLOOKUP(Table1[[#This Row],[Order ID]],Status!A:B, 2,FALSE)</f>
        <v>Completed</v>
      </c>
      <c r="P1392" s="2" t="s">
        <v>23</v>
      </c>
      <c r="Q1392" s="2">
        <v>2</v>
      </c>
      <c r="R1392" s="2" t="s">
        <v>24</v>
      </c>
      <c r="S1392" s="11" t="str">
        <f t="shared" si="108"/>
        <v>Rendah</v>
      </c>
      <c r="T1392" s="2" t="str">
        <f t="shared" si="109"/>
        <v>Rendah</v>
      </c>
    </row>
    <row r="1393" spans="1:20" ht="15.75" customHeight="1" x14ac:dyDescent="0.3">
      <c r="A1393" s="4" t="s">
        <v>952</v>
      </c>
      <c r="B1393" s="3">
        <v>45663.370370370372</v>
      </c>
      <c r="C1393" s="2" t="s">
        <v>431</v>
      </c>
      <c r="D1393" s="2" t="s">
        <v>33</v>
      </c>
      <c r="E1393" s="2" t="s">
        <v>123</v>
      </c>
      <c r="F1393" s="2">
        <v>22000</v>
      </c>
      <c r="G1393" s="2">
        <v>1</v>
      </c>
      <c r="H1393" s="2">
        <v>10</v>
      </c>
      <c r="I1393">
        <f t="shared" si="105"/>
        <v>22000</v>
      </c>
      <c r="J1393">
        <f t="shared" si="106"/>
        <v>2200</v>
      </c>
      <c r="K1393" s="6">
        <f t="shared" si="107"/>
        <v>19800</v>
      </c>
      <c r="L1393" s="2">
        <v>76000</v>
      </c>
      <c r="M1393" s="6">
        <f>Table1[[#This Row],[Total Sales]]+Table1[[#This Row],[Shipping Fee]]</f>
        <v>95800</v>
      </c>
      <c r="N1393" s="2" t="s">
        <v>22</v>
      </c>
      <c r="O1393" t="str">
        <f>VLOOKUP(Table1[[#This Row],[Order ID]],Status!A:B, 2,FALSE)</f>
        <v>Completed</v>
      </c>
      <c r="P1393" s="2" t="s">
        <v>82</v>
      </c>
      <c r="Q1393" s="2">
        <v>3</v>
      </c>
      <c r="R1393" s="2" t="s">
        <v>24</v>
      </c>
      <c r="S1393" s="11" t="str">
        <f t="shared" si="108"/>
        <v>Standar</v>
      </c>
      <c r="T1393" s="2" t="str">
        <f t="shared" si="109"/>
        <v>Sangat Rendah</v>
      </c>
    </row>
    <row r="1394" spans="1:20" ht="15.75" customHeight="1" x14ac:dyDescent="0.3">
      <c r="A1394" s="4" t="s">
        <v>951</v>
      </c>
      <c r="B1394" s="3">
        <v>45663.301747685182</v>
      </c>
      <c r="C1394" s="2" t="s">
        <v>763</v>
      </c>
      <c r="D1394" s="2" t="s">
        <v>74</v>
      </c>
      <c r="E1394" s="2" t="s">
        <v>67</v>
      </c>
      <c r="F1394" s="2">
        <v>15000</v>
      </c>
      <c r="G1394" s="2">
        <v>3</v>
      </c>
      <c r="H1394" s="2">
        <v>20</v>
      </c>
      <c r="I1394">
        <f t="shared" si="105"/>
        <v>45000</v>
      </c>
      <c r="J1394">
        <f t="shared" si="106"/>
        <v>9000</v>
      </c>
      <c r="K1394" s="6">
        <f t="shared" si="107"/>
        <v>36000</v>
      </c>
      <c r="L1394" s="2">
        <v>87000</v>
      </c>
      <c r="M1394" s="6">
        <f>Table1[[#This Row],[Total Sales]]+Table1[[#This Row],[Shipping Fee]]</f>
        <v>123000</v>
      </c>
      <c r="N1394" s="2" t="s">
        <v>22</v>
      </c>
      <c r="O1394" t="str">
        <f>VLOOKUP(Table1[[#This Row],[Order ID]],Status!A:B, 2,FALSE)</f>
        <v>Completed</v>
      </c>
      <c r="P1394" s="2" t="s">
        <v>46</v>
      </c>
      <c r="Q1394" s="2">
        <v>2</v>
      </c>
      <c r="R1394" s="2" t="s">
        <v>24</v>
      </c>
      <c r="S1394" s="11" t="str">
        <f t="shared" si="108"/>
        <v>Rendah</v>
      </c>
      <c r="T1394" s="2" t="str">
        <f t="shared" si="109"/>
        <v>Rendah</v>
      </c>
    </row>
    <row r="1395" spans="1:20" ht="15.75" customHeight="1" x14ac:dyDescent="0.3">
      <c r="A1395" s="4" t="s">
        <v>950</v>
      </c>
      <c r="B1395" s="3">
        <v>45663.178402777783</v>
      </c>
      <c r="C1395" s="2" t="s">
        <v>87</v>
      </c>
      <c r="D1395" s="2" t="s">
        <v>80</v>
      </c>
      <c r="E1395" s="2" t="s">
        <v>174</v>
      </c>
      <c r="F1395" s="2">
        <v>10000</v>
      </c>
      <c r="G1395" s="2">
        <v>2</v>
      </c>
      <c r="H1395" s="2">
        <v>10</v>
      </c>
      <c r="I1395">
        <f t="shared" si="105"/>
        <v>20000</v>
      </c>
      <c r="J1395">
        <f t="shared" si="106"/>
        <v>2000</v>
      </c>
      <c r="K1395" s="6">
        <f t="shared" si="107"/>
        <v>18000</v>
      </c>
      <c r="L1395" s="2">
        <v>74000</v>
      </c>
      <c r="M1395" s="6">
        <f>Table1[[#This Row],[Total Sales]]+Table1[[#This Row],[Shipping Fee]]</f>
        <v>92000</v>
      </c>
      <c r="N1395" s="2" t="s">
        <v>35</v>
      </c>
      <c r="O1395" t="str">
        <f>VLOOKUP(Table1[[#This Row],[Order ID]],Status!A:B, 2,FALSE)</f>
        <v>Completed</v>
      </c>
      <c r="P1395" s="2" t="s">
        <v>82</v>
      </c>
      <c r="Q1395" s="2">
        <v>5</v>
      </c>
      <c r="R1395" s="2" t="s">
        <v>24</v>
      </c>
      <c r="S1395" s="11" t="str">
        <f t="shared" si="108"/>
        <v>Bagus</v>
      </c>
      <c r="T1395" s="2" t="str">
        <f t="shared" si="109"/>
        <v>Sangat Rendah</v>
      </c>
    </row>
    <row r="1396" spans="1:20" ht="15.75" customHeight="1" x14ac:dyDescent="0.3">
      <c r="A1396" s="4" t="s">
        <v>949</v>
      </c>
      <c r="B1396" s="3">
        <v>45662.963043981479</v>
      </c>
      <c r="C1396" s="2" t="s">
        <v>875</v>
      </c>
      <c r="D1396" s="2" t="s">
        <v>170</v>
      </c>
      <c r="E1396" s="2" t="s">
        <v>250</v>
      </c>
      <c r="F1396" s="2">
        <v>18000</v>
      </c>
      <c r="G1396" s="2">
        <v>3</v>
      </c>
      <c r="H1396" s="2">
        <v>5</v>
      </c>
      <c r="I1396">
        <f t="shared" si="105"/>
        <v>54000</v>
      </c>
      <c r="J1396">
        <f t="shared" si="106"/>
        <v>2700</v>
      </c>
      <c r="K1396" s="6">
        <f t="shared" si="107"/>
        <v>51300</v>
      </c>
      <c r="L1396" s="2">
        <v>46000</v>
      </c>
      <c r="M1396" s="6">
        <f>Table1[[#This Row],[Total Sales]]+Table1[[#This Row],[Shipping Fee]]</f>
        <v>97300</v>
      </c>
      <c r="N1396" s="2" t="s">
        <v>29</v>
      </c>
      <c r="O1396" t="str">
        <f>VLOOKUP(Table1[[#This Row],[Order ID]],Status!A:B, 2,FALSE)</f>
        <v>Completed</v>
      </c>
      <c r="P1396" s="2" t="s">
        <v>30</v>
      </c>
      <c r="Q1396" s="2">
        <v>2</v>
      </c>
      <c r="R1396" s="2" t="s">
        <v>24</v>
      </c>
      <c r="S1396" s="11" t="str">
        <f t="shared" si="108"/>
        <v>Rendah</v>
      </c>
      <c r="T1396" s="2" t="str">
        <f t="shared" si="109"/>
        <v>Sangat Rendah</v>
      </c>
    </row>
    <row r="1397" spans="1:20" ht="15.75" customHeight="1" x14ac:dyDescent="0.3">
      <c r="A1397" s="4" t="s">
        <v>948</v>
      </c>
      <c r="B1397" s="3">
        <v>45662.909571759257</v>
      </c>
      <c r="C1397" s="2" t="s">
        <v>631</v>
      </c>
      <c r="D1397" s="2" t="s">
        <v>20</v>
      </c>
      <c r="E1397" s="2" t="s">
        <v>41</v>
      </c>
      <c r="F1397" s="2">
        <v>4000</v>
      </c>
      <c r="G1397" s="2">
        <v>3</v>
      </c>
      <c r="H1397" s="2">
        <v>10</v>
      </c>
      <c r="I1397">
        <f t="shared" si="105"/>
        <v>12000</v>
      </c>
      <c r="J1397">
        <f t="shared" si="106"/>
        <v>1200</v>
      </c>
      <c r="K1397" s="6">
        <f t="shared" si="107"/>
        <v>10800</v>
      </c>
      <c r="L1397" s="2">
        <v>15000</v>
      </c>
      <c r="M1397" s="6">
        <f>Table1[[#This Row],[Total Sales]]+Table1[[#This Row],[Shipping Fee]]</f>
        <v>25800</v>
      </c>
      <c r="N1397" s="2" t="s">
        <v>22</v>
      </c>
      <c r="O1397" t="str">
        <f>VLOOKUP(Table1[[#This Row],[Order ID]],Status!A:B, 2,FALSE)</f>
        <v>Completed</v>
      </c>
      <c r="P1397" s="2" t="s">
        <v>23</v>
      </c>
      <c r="Q1397" s="2">
        <v>4</v>
      </c>
      <c r="R1397" s="2" t="s">
        <v>37</v>
      </c>
      <c r="S1397" s="11" t="str">
        <f t="shared" si="108"/>
        <v>Bagus</v>
      </c>
      <c r="T1397" s="2" t="str">
        <f t="shared" si="109"/>
        <v>Sangat Rendah</v>
      </c>
    </row>
    <row r="1398" spans="1:20" ht="15.75" customHeight="1" x14ac:dyDescent="0.3">
      <c r="A1398" s="4" t="s">
        <v>947</v>
      </c>
      <c r="B1398" s="3">
        <v>45662.846122685187</v>
      </c>
      <c r="C1398" s="2" t="s">
        <v>197</v>
      </c>
      <c r="D1398" s="2" t="s">
        <v>119</v>
      </c>
      <c r="E1398" s="2" t="s">
        <v>85</v>
      </c>
      <c r="F1398" s="2">
        <v>35000</v>
      </c>
      <c r="G1398" s="2">
        <v>3</v>
      </c>
      <c r="H1398" s="2">
        <v>15</v>
      </c>
      <c r="I1398">
        <f t="shared" si="105"/>
        <v>105000</v>
      </c>
      <c r="J1398">
        <f t="shared" si="106"/>
        <v>15750</v>
      </c>
      <c r="K1398" s="6">
        <f t="shared" si="107"/>
        <v>89250</v>
      </c>
      <c r="L1398" s="2">
        <v>0</v>
      </c>
      <c r="M1398" s="6">
        <f>Table1[[#This Row],[Total Sales]]+Table1[[#This Row],[Shipping Fee]]</f>
        <v>89250</v>
      </c>
      <c r="N1398" s="2" t="s">
        <v>22</v>
      </c>
      <c r="O1398" t="str">
        <f>VLOOKUP(Table1[[#This Row],[Order ID]],Status!A:B, 2,FALSE)</f>
        <v>Completed</v>
      </c>
      <c r="P1398" s="2" t="s">
        <v>46</v>
      </c>
      <c r="Q1398" s="2">
        <v>1</v>
      </c>
      <c r="R1398" s="2" t="s">
        <v>37</v>
      </c>
      <c r="S1398" s="11" t="str">
        <f t="shared" si="108"/>
        <v>Rendah</v>
      </c>
      <c r="T1398" s="2" t="str">
        <f t="shared" si="109"/>
        <v>Normal</v>
      </c>
    </row>
    <row r="1399" spans="1:20" ht="15.75" customHeight="1" x14ac:dyDescent="0.3">
      <c r="A1399" s="4" t="s">
        <v>946</v>
      </c>
      <c r="B1399" s="3">
        <v>45662.811562499999</v>
      </c>
      <c r="C1399" s="2" t="s">
        <v>311</v>
      </c>
      <c r="D1399" s="2" t="s">
        <v>116</v>
      </c>
      <c r="E1399" s="2" t="s">
        <v>186</v>
      </c>
      <c r="F1399" s="2">
        <v>45000</v>
      </c>
      <c r="G1399" s="2">
        <v>4</v>
      </c>
      <c r="H1399" s="2">
        <v>0</v>
      </c>
      <c r="I1399">
        <f t="shared" si="105"/>
        <v>180000</v>
      </c>
      <c r="J1399">
        <f t="shared" si="106"/>
        <v>0</v>
      </c>
      <c r="K1399" s="6">
        <f t="shared" si="107"/>
        <v>180000</v>
      </c>
      <c r="L1399" s="2">
        <v>72000</v>
      </c>
      <c r="M1399" s="6">
        <f>Table1[[#This Row],[Total Sales]]+Table1[[#This Row],[Shipping Fee]]</f>
        <v>252000</v>
      </c>
      <c r="N1399" s="2" t="s">
        <v>35</v>
      </c>
      <c r="O1399" t="str">
        <f>VLOOKUP(Table1[[#This Row],[Order ID]],Status!A:B, 2,FALSE)</f>
        <v>Completed</v>
      </c>
      <c r="P1399" s="2" t="s">
        <v>36</v>
      </c>
      <c r="Q1399" s="2">
        <v>4</v>
      </c>
      <c r="R1399" s="2" t="s">
        <v>24</v>
      </c>
      <c r="S1399" s="11" t="str">
        <f t="shared" si="108"/>
        <v>Bagus</v>
      </c>
      <c r="T1399" s="2" t="str">
        <f t="shared" si="109"/>
        <v>Sangat Rendah</v>
      </c>
    </row>
    <row r="1400" spans="1:20" ht="15.75" customHeight="1" x14ac:dyDescent="0.3">
      <c r="A1400" s="4" t="s">
        <v>945</v>
      </c>
      <c r="B1400" s="3">
        <v>45662.358553240738</v>
      </c>
      <c r="C1400" s="2" t="s">
        <v>344</v>
      </c>
      <c r="D1400" s="2" t="s">
        <v>195</v>
      </c>
      <c r="E1400" s="2" t="s">
        <v>38</v>
      </c>
      <c r="F1400" s="2">
        <v>28000</v>
      </c>
      <c r="G1400" s="2">
        <v>5</v>
      </c>
      <c r="H1400" s="2">
        <v>10</v>
      </c>
      <c r="I1400">
        <f t="shared" si="105"/>
        <v>140000</v>
      </c>
      <c r="J1400">
        <f t="shared" si="106"/>
        <v>14000</v>
      </c>
      <c r="K1400" s="6">
        <f t="shared" si="107"/>
        <v>126000</v>
      </c>
      <c r="L1400" s="2">
        <v>87000</v>
      </c>
      <c r="M1400" s="6">
        <f>Table1[[#This Row],[Total Sales]]+Table1[[#This Row],[Shipping Fee]]</f>
        <v>213000</v>
      </c>
      <c r="N1400" s="2" t="s">
        <v>22</v>
      </c>
      <c r="O1400" t="str">
        <f>VLOOKUP(Table1[[#This Row],[Order ID]],Status!A:B, 2,FALSE)</f>
        <v>Returned</v>
      </c>
      <c r="P1400" s="2" t="s">
        <v>23</v>
      </c>
      <c r="Q1400" s="2">
        <v>5</v>
      </c>
      <c r="R1400" s="2" t="s">
        <v>24</v>
      </c>
      <c r="S1400" s="11" t="str">
        <f t="shared" si="108"/>
        <v>Bagus</v>
      </c>
      <c r="T1400" s="2" t="str">
        <f t="shared" si="109"/>
        <v>Normal</v>
      </c>
    </row>
    <row r="1401" spans="1:20" ht="15.75" customHeight="1" x14ac:dyDescent="0.3">
      <c r="A1401" s="4" t="s">
        <v>945</v>
      </c>
      <c r="B1401" s="3">
        <v>45662.358553240738</v>
      </c>
      <c r="C1401" s="2" t="s">
        <v>344</v>
      </c>
      <c r="D1401" s="2" t="s">
        <v>195</v>
      </c>
      <c r="E1401" s="2" t="s">
        <v>144</v>
      </c>
      <c r="F1401" s="2">
        <v>18000</v>
      </c>
      <c r="G1401" s="2">
        <v>4</v>
      </c>
      <c r="H1401" s="2">
        <v>10</v>
      </c>
      <c r="I1401">
        <f t="shared" si="105"/>
        <v>72000</v>
      </c>
      <c r="J1401">
        <f t="shared" si="106"/>
        <v>7200</v>
      </c>
      <c r="K1401" s="6">
        <f t="shared" si="107"/>
        <v>64800</v>
      </c>
      <c r="L1401" s="2">
        <v>0</v>
      </c>
      <c r="M1401" s="6">
        <f>Table1[[#This Row],[Total Sales]]+Table1[[#This Row],[Shipping Fee]]</f>
        <v>64800</v>
      </c>
      <c r="N1401" s="2" t="s">
        <v>22</v>
      </c>
      <c r="O1401" t="str">
        <f>VLOOKUP(Table1[[#This Row],[Order ID]],Status!A:B, 2,FALSE)</f>
        <v>Returned</v>
      </c>
      <c r="P1401" s="2" t="s">
        <v>23</v>
      </c>
      <c r="Q1401" s="2">
        <v>5</v>
      </c>
      <c r="R1401" s="2" t="s">
        <v>24</v>
      </c>
      <c r="S1401" s="11" t="str">
        <f t="shared" si="108"/>
        <v>Bagus</v>
      </c>
      <c r="T1401" s="2" t="str">
        <f t="shared" si="109"/>
        <v>Rendah</v>
      </c>
    </row>
    <row r="1402" spans="1:20" ht="15.75" customHeight="1" x14ac:dyDescent="0.3">
      <c r="A1402" s="4" t="s">
        <v>944</v>
      </c>
      <c r="B1402" s="3">
        <v>45661.808518518519</v>
      </c>
      <c r="C1402" s="2" t="s">
        <v>331</v>
      </c>
      <c r="D1402" s="2" t="s">
        <v>20</v>
      </c>
      <c r="E1402" s="2" t="s">
        <v>67</v>
      </c>
      <c r="F1402" s="2">
        <v>15000</v>
      </c>
      <c r="G1402" s="2">
        <v>3</v>
      </c>
      <c r="H1402" s="2">
        <v>15</v>
      </c>
      <c r="I1402">
        <f t="shared" si="105"/>
        <v>45000</v>
      </c>
      <c r="J1402">
        <f t="shared" si="106"/>
        <v>6750</v>
      </c>
      <c r="K1402" s="6">
        <f t="shared" si="107"/>
        <v>38250</v>
      </c>
      <c r="L1402" s="2">
        <v>15000</v>
      </c>
      <c r="M1402" s="6">
        <f>Table1[[#This Row],[Total Sales]]+Table1[[#This Row],[Shipping Fee]]</f>
        <v>53250</v>
      </c>
      <c r="N1402" s="2" t="s">
        <v>29</v>
      </c>
      <c r="O1402" t="str">
        <f>VLOOKUP(Table1[[#This Row],[Order ID]],Status!A:B, 2,FALSE)</f>
        <v>Completed</v>
      </c>
      <c r="P1402" s="2" t="s">
        <v>82</v>
      </c>
      <c r="Q1402" s="2">
        <v>4</v>
      </c>
      <c r="R1402" s="2" t="s">
        <v>37</v>
      </c>
      <c r="S1402" s="11" t="str">
        <f t="shared" si="108"/>
        <v>Bagus</v>
      </c>
      <c r="T1402" s="2" t="str">
        <f t="shared" si="109"/>
        <v>Rendah</v>
      </c>
    </row>
    <row r="1403" spans="1:20" ht="15.75" customHeight="1" x14ac:dyDescent="0.3">
      <c r="A1403" s="4" t="s">
        <v>943</v>
      </c>
      <c r="B1403" s="3">
        <v>45661.802129629628</v>
      </c>
      <c r="C1403" s="2" t="s">
        <v>246</v>
      </c>
      <c r="D1403" s="2" t="s">
        <v>238</v>
      </c>
      <c r="E1403" s="2" t="s">
        <v>138</v>
      </c>
      <c r="F1403" s="2">
        <v>17000</v>
      </c>
      <c r="G1403" s="2">
        <v>5</v>
      </c>
      <c r="H1403" s="2">
        <v>10</v>
      </c>
      <c r="I1403">
        <f t="shared" si="105"/>
        <v>85000</v>
      </c>
      <c r="J1403">
        <f t="shared" si="106"/>
        <v>8500</v>
      </c>
      <c r="K1403" s="6">
        <f t="shared" si="107"/>
        <v>76500</v>
      </c>
      <c r="L1403" s="2">
        <v>28000</v>
      </c>
      <c r="M1403" s="6">
        <f>Table1[[#This Row],[Total Sales]]+Table1[[#This Row],[Shipping Fee]]</f>
        <v>104500</v>
      </c>
      <c r="N1403" s="2" t="s">
        <v>63</v>
      </c>
      <c r="O1403" t="str">
        <f>VLOOKUP(Table1[[#This Row],[Order ID]],Status!A:B, 2,FALSE)</f>
        <v>Returned</v>
      </c>
      <c r="P1403" s="2" t="s">
        <v>36</v>
      </c>
      <c r="Q1403" s="2">
        <v>5</v>
      </c>
      <c r="R1403" s="2" t="s">
        <v>24</v>
      </c>
      <c r="S1403" s="11" t="str">
        <f t="shared" si="108"/>
        <v>Bagus</v>
      </c>
      <c r="T1403" s="2" t="str">
        <f t="shared" si="109"/>
        <v>Rendah</v>
      </c>
    </row>
    <row r="1404" spans="1:20" ht="15.75" customHeight="1" x14ac:dyDescent="0.3">
      <c r="A1404" s="4" t="s">
        <v>942</v>
      </c>
      <c r="B1404" s="3">
        <v>45661.797893518517</v>
      </c>
      <c r="C1404" s="2" t="s">
        <v>532</v>
      </c>
      <c r="D1404" s="2" t="s">
        <v>262</v>
      </c>
      <c r="E1404" s="2" t="s">
        <v>174</v>
      </c>
      <c r="F1404" s="2">
        <v>10000</v>
      </c>
      <c r="G1404" s="2">
        <v>1</v>
      </c>
      <c r="H1404" s="2">
        <v>5</v>
      </c>
      <c r="I1404">
        <f t="shared" si="105"/>
        <v>10000</v>
      </c>
      <c r="J1404">
        <f t="shared" si="106"/>
        <v>500</v>
      </c>
      <c r="K1404" s="6">
        <f t="shared" si="107"/>
        <v>9500</v>
      </c>
      <c r="L1404" s="2">
        <v>18000</v>
      </c>
      <c r="M1404" s="6">
        <f>Table1[[#This Row],[Total Sales]]+Table1[[#This Row],[Shipping Fee]]</f>
        <v>27500</v>
      </c>
      <c r="N1404" s="2" t="s">
        <v>22</v>
      </c>
      <c r="O1404" t="str">
        <f>VLOOKUP(Table1[[#This Row],[Order ID]],Status!A:B, 2,FALSE)</f>
        <v>Completed</v>
      </c>
      <c r="P1404" s="2" t="s">
        <v>23</v>
      </c>
      <c r="Q1404" s="2">
        <v>3</v>
      </c>
      <c r="R1404" s="2" t="s">
        <v>24</v>
      </c>
      <c r="S1404" s="11" t="str">
        <f t="shared" si="108"/>
        <v>Standar</v>
      </c>
      <c r="T1404" s="2" t="str">
        <f t="shared" si="109"/>
        <v>Sangat Rendah</v>
      </c>
    </row>
    <row r="1405" spans="1:20" ht="15.75" customHeight="1" x14ac:dyDescent="0.3">
      <c r="A1405" s="4" t="s">
        <v>941</v>
      </c>
      <c r="B1405" s="3">
        <v>45661.673703703702</v>
      </c>
      <c r="C1405" s="2" t="s">
        <v>265</v>
      </c>
      <c r="D1405" s="2" t="s">
        <v>119</v>
      </c>
      <c r="E1405" s="2" t="s">
        <v>67</v>
      </c>
      <c r="F1405" s="2">
        <v>15000</v>
      </c>
      <c r="G1405" s="2">
        <v>1</v>
      </c>
      <c r="H1405" s="2">
        <v>15</v>
      </c>
      <c r="I1405">
        <f t="shared" si="105"/>
        <v>15000</v>
      </c>
      <c r="J1405">
        <f t="shared" si="106"/>
        <v>2250</v>
      </c>
      <c r="K1405" s="6">
        <f t="shared" si="107"/>
        <v>12750</v>
      </c>
      <c r="L1405" s="2">
        <v>0</v>
      </c>
      <c r="M1405" s="6">
        <f>Table1[[#This Row],[Total Sales]]+Table1[[#This Row],[Shipping Fee]]</f>
        <v>12750</v>
      </c>
      <c r="N1405" s="2" t="s">
        <v>35</v>
      </c>
      <c r="O1405" t="str">
        <f>VLOOKUP(Table1[[#This Row],[Order ID]],Status!A:B, 2,FALSE)</f>
        <v>Completed</v>
      </c>
      <c r="P1405" s="2" t="s">
        <v>23</v>
      </c>
      <c r="Q1405" s="2">
        <v>1</v>
      </c>
      <c r="R1405" s="2" t="s">
        <v>24</v>
      </c>
      <c r="S1405" s="11" t="str">
        <f t="shared" si="108"/>
        <v>Rendah</v>
      </c>
      <c r="T1405" s="2" t="str">
        <f t="shared" si="109"/>
        <v>Sangat Rendah</v>
      </c>
    </row>
    <row r="1406" spans="1:20" ht="15.75" customHeight="1" x14ac:dyDescent="0.3">
      <c r="A1406" s="4" t="s">
        <v>940</v>
      </c>
      <c r="B1406" s="3">
        <v>45661.564328703702</v>
      </c>
      <c r="C1406" s="2" t="s">
        <v>305</v>
      </c>
      <c r="D1406" s="2" t="s">
        <v>143</v>
      </c>
      <c r="E1406" s="2" t="s">
        <v>58</v>
      </c>
      <c r="F1406" s="2">
        <v>16000</v>
      </c>
      <c r="G1406" s="2">
        <v>1</v>
      </c>
      <c r="H1406" s="2">
        <v>5</v>
      </c>
      <c r="I1406">
        <f t="shared" si="105"/>
        <v>16000</v>
      </c>
      <c r="J1406">
        <f t="shared" si="106"/>
        <v>800</v>
      </c>
      <c r="K1406" s="6">
        <f t="shared" si="107"/>
        <v>15200</v>
      </c>
      <c r="L1406" s="2">
        <v>50000</v>
      </c>
      <c r="M1406" s="6">
        <f>Table1[[#This Row],[Total Sales]]+Table1[[#This Row],[Shipping Fee]]</f>
        <v>65200</v>
      </c>
      <c r="N1406" s="2" t="s">
        <v>63</v>
      </c>
      <c r="O1406" t="str">
        <f>VLOOKUP(Table1[[#This Row],[Order ID]],Status!A:B, 2,FALSE)</f>
        <v>Completed</v>
      </c>
      <c r="P1406" s="2" t="s">
        <v>46</v>
      </c>
      <c r="Q1406" s="2">
        <v>1</v>
      </c>
      <c r="R1406" s="2" t="s">
        <v>24</v>
      </c>
      <c r="S1406" s="11" t="str">
        <f t="shared" si="108"/>
        <v>Rendah</v>
      </c>
      <c r="T1406" s="2" t="str">
        <f t="shared" si="109"/>
        <v>Sangat Rendah</v>
      </c>
    </row>
    <row r="1407" spans="1:20" ht="15.75" customHeight="1" x14ac:dyDescent="0.3">
      <c r="A1407" s="4" t="s">
        <v>939</v>
      </c>
      <c r="B1407" s="3">
        <v>45661.288460648153</v>
      </c>
      <c r="C1407" s="2" t="s">
        <v>741</v>
      </c>
      <c r="D1407" s="2" t="s">
        <v>189</v>
      </c>
      <c r="E1407" s="2" t="s">
        <v>28</v>
      </c>
      <c r="F1407" s="2">
        <v>5000</v>
      </c>
      <c r="G1407" s="2">
        <v>5</v>
      </c>
      <c r="H1407" s="2">
        <v>0</v>
      </c>
      <c r="I1407">
        <f t="shared" si="105"/>
        <v>25000</v>
      </c>
      <c r="J1407">
        <f t="shared" si="106"/>
        <v>0</v>
      </c>
      <c r="K1407" s="6">
        <f t="shared" si="107"/>
        <v>25000</v>
      </c>
      <c r="L1407" s="2">
        <v>57000</v>
      </c>
      <c r="M1407" s="6">
        <f>Table1[[#This Row],[Total Sales]]+Table1[[#This Row],[Shipping Fee]]</f>
        <v>82000</v>
      </c>
      <c r="N1407" s="2" t="s">
        <v>22</v>
      </c>
      <c r="O1407" t="str">
        <f>VLOOKUP(Table1[[#This Row],[Order ID]],Status!A:B, 2,FALSE)</f>
        <v>Completed</v>
      </c>
      <c r="P1407" s="2" t="s">
        <v>82</v>
      </c>
      <c r="Q1407" s="2">
        <v>1</v>
      </c>
      <c r="R1407" s="2" t="s">
        <v>24</v>
      </c>
      <c r="S1407" s="11" t="str">
        <f t="shared" si="108"/>
        <v>Rendah</v>
      </c>
      <c r="T1407" s="2" t="str">
        <f t="shared" si="109"/>
        <v>Sangat Rendah</v>
      </c>
    </row>
    <row r="1408" spans="1:20" ht="15.75" customHeight="1" x14ac:dyDescent="0.3">
      <c r="A1408" s="4" t="s">
        <v>938</v>
      </c>
      <c r="B1408" s="3">
        <v>45661.125057870369</v>
      </c>
      <c r="C1408" s="2" t="s">
        <v>457</v>
      </c>
      <c r="D1408" s="2" t="s">
        <v>80</v>
      </c>
      <c r="E1408" s="2" t="s">
        <v>41</v>
      </c>
      <c r="F1408" s="2">
        <v>4000</v>
      </c>
      <c r="G1408" s="2">
        <v>3</v>
      </c>
      <c r="H1408" s="2">
        <v>15</v>
      </c>
      <c r="I1408">
        <f t="shared" si="105"/>
        <v>12000</v>
      </c>
      <c r="J1408">
        <f t="shared" si="106"/>
        <v>1800</v>
      </c>
      <c r="K1408" s="6">
        <f t="shared" si="107"/>
        <v>10200</v>
      </c>
      <c r="L1408" s="2">
        <v>74000</v>
      </c>
      <c r="M1408" s="6">
        <f>Table1[[#This Row],[Total Sales]]+Table1[[#This Row],[Shipping Fee]]</f>
        <v>84200</v>
      </c>
      <c r="N1408" s="2" t="s">
        <v>35</v>
      </c>
      <c r="O1408" t="str">
        <f>VLOOKUP(Table1[[#This Row],[Order ID]],Status!A:B, 2,FALSE)</f>
        <v>Completed</v>
      </c>
      <c r="P1408" s="2" t="s">
        <v>23</v>
      </c>
      <c r="Q1408" s="2">
        <v>1</v>
      </c>
      <c r="R1408" s="2" t="s">
        <v>24</v>
      </c>
      <c r="S1408" s="11" t="str">
        <f t="shared" si="108"/>
        <v>Rendah</v>
      </c>
      <c r="T1408" s="2" t="str">
        <f t="shared" si="109"/>
        <v>Sangat Rendah</v>
      </c>
    </row>
    <row r="1409" spans="1:20" ht="15.75" customHeight="1" x14ac:dyDescent="0.3">
      <c r="A1409" s="4" t="s">
        <v>938</v>
      </c>
      <c r="B1409" s="3">
        <v>45661.125057870369</v>
      </c>
      <c r="C1409" s="2" t="s">
        <v>457</v>
      </c>
      <c r="D1409" s="2" t="s">
        <v>80</v>
      </c>
      <c r="E1409" s="2" t="s">
        <v>138</v>
      </c>
      <c r="F1409" s="2">
        <v>17000</v>
      </c>
      <c r="G1409" s="2">
        <v>2</v>
      </c>
      <c r="H1409" s="2">
        <v>10</v>
      </c>
      <c r="I1409">
        <f t="shared" si="105"/>
        <v>34000</v>
      </c>
      <c r="J1409">
        <f t="shared" si="106"/>
        <v>3400</v>
      </c>
      <c r="K1409" s="6">
        <f t="shared" si="107"/>
        <v>30600</v>
      </c>
      <c r="L1409" s="2">
        <v>0</v>
      </c>
      <c r="M1409" s="6">
        <f>Table1[[#This Row],[Total Sales]]+Table1[[#This Row],[Shipping Fee]]</f>
        <v>30600</v>
      </c>
      <c r="N1409" s="2" t="s">
        <v>35</v>
      </c>
      <c r="O1409" t="str">
        <f>VLOOKUP(Table1[[#This Row],[Order ID]],Status!A:B, 2,FALSE)</f>
        <v>Completed</v>
      </c>
      <c r="P1409" s="2" t="s">
        <v>23</v>
      </c>
      <c r="Q1409" s="2">
        <v>1</v>
      </c>
      <c r="R1409" s="2" t="s">
        <v>24</v>
      </c>
      <c r="S1409" s="11" t="str">
        <f t="shared" si="108"/>
        <v>Rendah</v>
      </c>
      <c r="T1409" s="2" t="str">
        <f t="shared" si="109"/>
        <v>Sangat Rendah</v>
      </c>
    </row>
    <row r="1410" spans="1:20" ht="15.75" customHeight="1" x14ac:dyDescent="0.3">
      <c r="A1410" s="4" t="s">
        <v>937</v>
      </c>
      <c r="B1410" s="3">
        <v>45660.773831018523</v>
      </c>
      <c r="C1410" s="2" t="s">
        <v>722</v>
      </c>
      <c r="D1410" s="2" t="s">
        <v>57</v>
      </c>
      <c r="E1410" s="2" t="s">
        <v>85</v>
      </c>
      <c r="F1410" s="2">
        <v>35000</v>
      </c>
      <c r="G1410" s="2">
        <v>1</v>
      </c>
      <c r="H1410" s="2">
        <v>5</v>
      </c>
      <c r="I1410">
        <f t="shared" ref="I1410:I1473" si="110">F1410*G1410</f>
        <v>35000</v>
      </c>
      <c r="J1410">
        <f t="shared" ref="J1410:J1473" si="111">I1410*H1410/100</f>
        <v>1750</v>
      </c>
      <c r="K1410" s="6">
        <f t="shared" ref="K1410:K1473" si="112">I1410-J1410</f>
        <v>33250</v>
      </c>
      <c r="L1410" s="2">
        <v>80000</v>
      </c>
      <c r="M1410" s="6">
        <f>Table1[[#This Row],[Total Sales]]+Table1[[#This Row],[Shipping Fee]]</f>
        <v>113250</v>
      </c>
      <c r="N1410" s="2" t="s">
        <v>35</v>
      </c>
      <c r="O1410" t="str">
        <f>VLOOKUP(Table1[[#This Row],[Order ID]],Status!A:B, 2,FALSE)</f>
        <v>Completed</v>
      </c>
      <c r="P1410" s="2" t="s">
        <v>46</v>
      </c>
      <c r="Q1410" s="2">
        <v>2</v>
      </c>
      <c r="R1410" s="2" t="s">
        <v>24</v>
      </c>
      <c r="S1410" s="11" t="str">
        <f t="shared" ref="S1410:S1473" si="113">_xlfn.IFS(Q1410&gt;3,"Bagus",Q1410=3,"Standar",Q1410&lt;3,"Rendah")</f>
        <v>Rendah</v>
      </c>
      <c r="T1410" s="2" t="str">
        <f t="shared" ref="T1410:T1473" si="114">_xlfn.IFS(J1410&lt;=5000,"Sangat Rendah", J1410&lt;=10000,"Rendah", J1410&lt;=20000, "Normal", J1410&lt;=35000, "Tinggi", J1410&lt;= 50000, "Sangat Tinggi", J1410&gt;50000, "Clearance")</f>
        <v>Sangat Rendah</v>
      </c>
    </row>
    <row r="1411" spans="1:20" ht="15.75" customHeight="1" x14ac:dyDescent="0.3">
      <c r="A1411" s="4" t="s">
        <v>936</v>
      </c>
      <c r="B1411" s="3">
        <v>45660.567129629628</v>
      </c>
      <c r="C1411" s="2" t="s">
        <v>626</v>
      </c>
      <c r="D1411" s="2" t="s">
        <v>296</v>
      </c>
      <c r="E1411" s="2" t="s">
        <v>41</v>
      </c>
      <c r="F1411" s="2">
        <v>4000</v>
      </c>
      <c r="G1411" s="2">
        <v>5</v>
      </c>
      <c r="H1411" s="2">
        <v>10</v>
      </c>
      <c r="I1411">
        <f t="shared" si="110"/>
        <v>20000</v>
      </c>
      <c r="J1411">
        <f t="shared" si="111"/>
        <v>2000</v>
      </c>
      <c r="K1411" s="6">
        <f t="shared" si="112"/>
        <v>18000</v>
      </c>
      <c r="L1411" s="2">
        <v>79000</v>
      </c>
      <c r="M1411" s="6">
        <f>Table1[[#This Row],[Total Sales]]+Table1[[#This Row],[Shipping Fee]]</f>
        <v>97000</v>
      </c>
      <c r="N1411" s="2" t="s">
        <v>63</v>
      </c>
      <c r="O1411" t="str">
        <f>VLOOKUP(Table1[[#This Row],[Order ID]],Status!A:B, 2,FALSE)</f>
        <v>Completed</v>
      </c>
      <c r="P1411" s="2" t="s">
        <v>30</v>
      </c>
      <c r="Q1411" s="2">
        <v>2</v>
      </c>
      <c r="R1411" s="2" t="s">
        <v>24</v>
      </c>
      <c r="S1411" s="11" t="str">
        <f t="shared" si="113"/>
        <v>Rendah</v>
      </c>
      <c r="T1411" s="2" t="str">
        <f t="shared" si="114"/>
        <v>Sangat Rendah</v>
      </c>
    </row>
    <row r="1412" spans="1:20" ht="15.75" customHeight="1" x14ac:dyDescent="0.3">
      <c r="A1412" s="4" t="s">
        <v>935</v>
      </c>
      <c r="B1412" s="3">
        <v>45660.566180555557</v>
      </c>
      <c r="C1412" s="2" t="s">
        <v>400</v>
      </c>
      <c r="D1412" s="2" t="s">
        <v>27</v>
      </c>
      <c r="E1412" s="2" t="s">
        <v>75</v>
      </c>
      <c r="F1412" s="2">
        <v>55000</v>
      </c>
      <c r="G1412" s="2">
        <v>4</v>
      </c>
      <c r="H1412" s="2">
        <v>0</v>
      </c>
      <c r="I1412">
        <f t="shared" si="110"/>
        <v>220000</v>
      </c>
      <c r="J1412">
        <f t="shared" si="111"/>
        <v>0</v>
      </c>
      <c r="K1412" s="6">
        <f t="shared" si="112"/>
        <v>220000</v>
      </c>
      <c r="L1412" s="2">
        <v>17000</v>
      </c>
      <c r="M1412" s="6">
        <f>Table1[[#This Row],[Total Sales]]+Table1[[#This Row],[Shipping Fee]]</f>
        <v>237000</v>
      </c>
      <c r="N1412" s="2" t="s">
        <v>35</v>
      </c>
      <c r="O1412" t="str">
        <f>VLOOKUP(Table1[[#This Row],[Order ID]],Status!A:B, 2,FALSE)</f>
        <v>Completed</v>
      </c>
      <c r="P1412" s="2" t="s">
        <v>36</v>
      </c>
      <c r="Q1412" s="2">
        <v>3</v>
      </c>
      <c r="R1412" s="2" t="s">
        <v>24</v>
      </c>
      <c r="S1412" s="11" t="str">
        <f t="shared" si="113"/>
        <v>Standar</v>
      </c>
      <c r="T1412" s="2" t="str">
        <f t="shared" si="114"/>
        <v>Sangat Rendah</v>
      </c>
    </row>
    <row r="1413" spans="1:20" ht="15.75" customHeight="1" x14ac:dyDescent="0.3">
      <c r="A1413" s="4" t="s">
        <v>934</v>
      </c>
      <c r="B1413" s="3">
        <v>45660.525092592587</v>
      </c>
      <c r="C1413" s="2" t="s">
        <v>642</v>
      </c>
      <c r="D1413" s="2" t="s">
        <v>160</v>
      </c>
      <c r="E1413" s="2" t="s">
        <v>138</v>
      </c>
      <c r="F1413" s="2">
        <v>17000</v>
      </c>
      <c r="G1413" s="2">
        <v>5</v>
      </c>
      <c r="H1413" s="2">
        <v>20</v>
      </c>
      <c r="I1413">
        <f t="shared" si="110"/>
        <v>85000</v>
      </c>
      <c r="J1413">
        <f t="shared" si="111"/>
        <v>17000</v>
      </c>
      <c r="K1413" s="6">
        <f t="shared" si="112"/>
        <v>68000</v>
      </c>
      <c r="L1413" s="2">
        <v>0</v>
      </c>
      <c r="M1413" s="6">
        <f>Table1[[#This Row],[Total Sales]]+Table1[[#This Row],[Shipping Fee]]</f>
        <v>68000</v>
      </c>
      <c r="N1413" s="2" t="s">
        <v>35</v>
      </c>
      <c r="O1413" t="str">
        <f>VLOOKUP(Table1[[#This Row],[Order ID]],Status!A:B, 2,FALSE)</f>
        <v>Completed</v>
      </c>
      <c r="P1413" s="2" t="s">
        <v>30</v>
      </c>
      <c r="Q1413" s="2">
        <v>4</v>
      </c>
      <c r="R1413" s="2" t="s">
        <v>24</v>
      </c>
      <c r="S1413" s="11" t="str">
        <f t="shared" si="113"/>
        <v>Bagus</v>
      </c>
      <c r="T1413" s="2" t="str">
        <f t="shared" si="114"/>
        <v>Normal</v>
      </c>
    </row>
    <row r="1414" spans="1:20" ht="15.75" customHeight="1" x14ac:dyDescent="0.3">
      <c r="A1414" s="4" t="s">
        <v>934</v>
      </c>
      <c r="B1414" s="3">
        <v>45660.525092592587</v>
      </c>
      <c r="C1414" s="2" t="s">
        <v>642</v>
      </c>
      <c r="D1414" s="2" t="s">
        <v>160</v>
      </c>
      <c r="E1414" s="2" t="s">
        <v>190</v>
      </c>
      <c r="F1414" s="2">
        <v>35000</v>
      </c>
      <c r="G1414" s="2">
        <v>4</v>
      </c>
      <c r="H1414" s="2">
        <v>15</v>
      </c>
      <c r="I1414">
        <f t="shared" si="110"/>
        <v>140000</v>
      </c>
      <c r="J1414">
        <f t="shared" si="111"/>
        <v>21000</v>
      </c>
      <c r="K1414" s="6">
        <f t="shared" si="112"/>
        <v>119000</v>
      </c>
      <c r="L1414" s="2">
        <v>68000</v>
      </c>
      <c r="M1414" s="6">
        <f>Table1[[#This Row],[Total Sales]]+Table1[[#This Row],[Shipping Fee]]</f>
        <v>187000</v>
      </c>
      <c r="N1414" s="2" t="s">
        <v>35</v>
      </c>
      <c r="O1414" t="str">
        <f>VLOOKUP(Table1[[#This Row],[Order ID]],Status!A:B, 2,FALSE)</f>
        <v>Completed</v>
      </c>
      <c r="P1414" s="2" t="s">
        <v>30</v>
      </c>
      <c r="Q1414" s="2">
        <v>4</v>
      </c>
      <c r="R1414" s="2" t="s">
        <v>24</v>
      </c>
      <c r="S1414" s="11" t="str">
        <f t="shared" si="113"/>
        <v>Bagus</v>
      </c>
      <c r="T1414" s="2" t="str">
        <f t="shared" si="114"/>
        <v>Tinggi</v>
      </c>
    </row>
    <row r="1415" spans="1:20" ht="15.75" customHeight="1" x14ac:dyDescent="0.3">
      <c r="A1415" s="4" t="s">
        <v>933</v>
      </c>
      <c r="B1415" s="3">
        <v>45660.382800925923</v>
      </c>
      <c r="C1415" s="2" t="s">
        <v>537</v>
      </c>
      <c r="D1415" s="2" t="s">
        <v>57</v>
      </c>
      <c r="E1415" s="2" t="s">
        <v>45</v>
      </c>
      <c r="F1415" s="2">
        <v>40000</v>
      </c>
      <c r="G1415" s="2">
        <v>4</v>
      </c>
      <c r="H1415" s="2">
        <v>15</v>
      </c>
      <c r="I1415">
        <f t="shared" si="110"/>
        <v>160000</v>
      </c>
      <c r="J1415">
        <f t="shared" si="111"/>
        <v>24000</v>
      </c>
      <c r="K1415" s="6">
        <f t="shared" si="112"/>
        <v>136000</v>
      </c>
      <c r="L1415" s="2">
        <v>80000</v>
      </c>
      <c r="M1415" s="6">
        <f>Table1[[#This Row],[Total Sales]]+Table1[[#This Row],[Shipping Fee]]</f>
        <v>216000</v>
      </c>
      <c r="N1415" s="2" t="s">
        <v>63</v>
      </c>
      <c r="O1415" t="str">
        <f>VLOOKUP(Table1[[#This Row],[Order ID]],Status!A:B, 2,FALSE)</f>
        <v>Completed</v>
      </c>
      <c r="P1415" s="2" t="s">
        <v>82</v>
      </c>
      <c r="Q1415" s="2">
        <v>5</v>
      </c>
      <c r="R1415" s="2" t="s">
        <v>37</v>
      </c>
      <c r="S1415" s="11" t="str">
        <f t="shared" si="113"/>
        <v>Bagus</v>
      </c>
      <c r="T1415" s="2" t="str">
        <f t="shared" si="114"/>
        <v>Tinggi</v>
      </c>
    </row>
    <row r="1416" spans="1:20" ht="15.75" customHeight="1" x14ac:dyDescent="0.3">
      <c r="A1416" s="4" t="s">
        <v>932</v>
      </c>
      <c r="B1416" s="3">
        <v>45660.335324074083</v>
      </c>
      <c r="C1416" s="2" t="s">
        <v>333</v>
      </c>
      <c r="D1416" s="2" t="s">
        <v>107</v>
      </c>
      <c r="E1416" s="2" t="s">
        <v>58</v>
      </c>
      <c r="F1416" s="2">
        <v>16000</v>
      </c>
      <c r="G1416" s="2">
        <v>1</v>
      </c>
      <c r="H1416" s="2">
        <v>15</v>
      </c>
      <c r="I1416">
        <f t="shared" si="110"/>
        <v>16000</v>
      </c>
      <c r="J1416">
        <f t="shared" si="111"/>
        <v>2400</v>
      </c>
      <c r="K1416" s="6">
        <f t="shared" si="112"/>
        <v>13600</v>
      </c>
      <c r="L1416" s="2">
        <v>97000</v>
      </c>
      <c r="M1416" s="6">
        <f>Table1[[#This Row],[Total Sales]]+Table1[[#This Row],[Shipping Fee]]</f>
        <v>110600</v>
      </c>
      <c r="N1416" s="2" t="s">
        <v>63</v>
      </c>
      <c r="O1416" t="str">
        <f>VLOOKUP(Table1[[#This Row],[Order ID]],Status!A:B, 2,FALSE)</f>
        <v>Returned</v>
      </c>
      <c r="P1416" s="2" t="s">
        <v>36</v>
      </c>
      <c r="Q1416" s="2">
        <v>4</v>
      </c>
      <c r="R1416" s="2" t="s">
        <v>37</v>
      </c>
      <c r="S1416" s="11" t="str">
        <f t="shared" si="113"/>
        <v>Bagus</v>
      </c>
      <c r="T1416" s="2" t="str">
        <f t="shared" si="114"/>
        <v>Sangat Rendah</v>
      </c>
    </row>
    <row r="1417" spans="1:20" ht="15.75" customHeight="1" x14ac:dyDescent="0.3">
      <c r="A1417" s="4" t="s">
        <v>931</v>
      </c>
      <c r="B1417" s="3">
        <v>45659.885300925933</v>
      </c>
      <c r="C1417" s="2" t="s">
        <v>398</v>
      </c>
      <c r="D1417" s="2" t="s">
        <v>182</v>
      </c>
      <c r="E1417" s="2" t="s">
        <v>75</v>
      </c>
      <c r="F1417" s="2">
        <v>55000</v>
      </c>
      <c r="G1417" s="2">
        <v>1</v>
      </c>
      <c r="H1417" s="2">
        <v>10</v>
      </c>
      <c r="I1417">
        <f t="shared" si="110"/>
        <v>55000</v>
      </c>
      <c r="J1417">
        <f t="shared" si="111"/>
        <v>5500</v>
      </c>
      <c r="K1417" s="6">
        <f t="shared" si="112"/>
        <v>49500</v>
      </c>
      <c r="L1417" s="2">
        <v>48000</v>
      </c>
      <c r="M1417" s="6">
        <f>Table1[[#This Row],[Total Sales]]+Table1[[#This Row],[Shipping Fee]]</f>
        <v>97500</v>
      </c>
      <c r="N1417" s="2" t="s">
        <v>22</v>
      </c>
      <c r="O1417" t="str">
        <f>VLOOKUP(Table1[[#This Row],[Order ID]],Status!A:B, 2,FALSE)</f>
        <v>Returned</v>
      </c>
      <c r="P1417" s="2" t="s">
        <v>82</v>
      </c>
      <c r="Q1417" s="2">
        <v>2</v>
      </c>
      <c r="R1417" s="2" t="s">
        <v>24</v>
      </c>
      <c r="S1417" s="11" t="str">
        <f t="shared" si="113"/>
        <v>Rendah</v>
      </c>
      <c r="T1417" s="2" t="str">
        <f t="shared" si="114"/>
        <v>Rendah</v>
      </c>
    </row>
    <row r="1418" spans="1:20" ht="15.75" customHeight="1" x14ac:dyDescent="0.3">
      <c r="A1418" s="4" t="s">
        <v>930</v>
      </c>
      <c r="B1418" s="3">
        <v>45659.823842592603</v>
      </c>
      <c r="C1418" s="2" t="s">
        <v>468</v>
      </c>
      <c r="D1418" s="2" t="s">
        <v>163</v>
      </c>
      <c r="E1418" s="2" t="s">
        <v>190</v>
      </c>
      <c r="F1418" s="2">
        <v>35000</v>
      </c>
      <c r="G1418" s="2">
        <v>4</v>
      </c>
      <c r="H1418" s="2">
        <v>15</v>
      </c>
      <c r="I1418">
        <f t="shared" si="110"/>
        <v>140000</v>
      </c>
      <c r="J1418">
        <f t="shared" si="111"/>
        <v>21000</v>
      </c>
      <c r="K1418" s="6">
        <f t="shared" si="112"/>
        <v>119000</v>
      </c>
      <c r="L1418" s="2">
        <v>50000</v>
      </c>
      <c r="M1418" s="6">
        <f>Table1[[#This Row],[Total Sales]]+Table1[[#This Row],[Shipping Fee]]</f>
        <v>169000</v>
      </c>
      <c r="N1418" s="2" t="s">
        <v>35</v>
      </c>
      <c r="O1418" t="str">
        <f>VLOOKUP(Table1[[#This Row],[Order ID]],Status!A:B, 2,FALSE)</f>
        <v>Completed</v>
      </c>
      <c r="P1418" s="2" t="s">
        <v>46</v>
      </c>
      <c r="Q1418" s="2">
        <v>2</v>
      </c>
      <c r="R1418" s="2" t="s">
        <v>24</v>
      </c>
      <c r="S1418" s="11" t="str">
        <f t="shared" si="113"/>
        <v>Rendah</v>
      </c>
      <c r="T1418" s="2" t="str">
        <f t="shared" si="114"/>
        <v>Tinggi</v>
      </c>
    </row>
    <row r="1419" spans="1:20" ht="15.75" customHeight="1" x14ac:dyDescent="0.3">
      <c r="A1419" s="4" t="s">
        <v>929</v>
      </c>
      <c r="B1419" s="3">
        <v>45659.447696759264</v>
      </c>
      <c r="C1419" s="2" t="s">
        <v>582</v>
      </c>
      <c r="D1419" s="2" t="s">
        <v>435</v>
      </c>
      <c r="E1419" s="2" t="s">
        <v>58</v>
      </c>
      <c r="F1419" s="2">
        <v>16000</v>
      </c>
      <c r="G1419" s="2">
        <v>2</v>
      </c>
      <c r="H1419" s="2">
        <v>10</v>
      </c>
      <c r="I1419">
        <f t="shared" si="110"/>
        <v>32000</v>
      </c>
      <c r="J1419">
        <f t="shared" si="111"/>
        <v>3200</v>
      </c>
      <c r="K1419" s="6">
        <f t="shared" si="112"/>
        <v>28800</v>
      </c>
      <c r="L1419" s="2">
        <v>67000</v>
      </c>
      <c r="M1419" s="6">
        <f>Table1[[#This Row],[Total Sales]]+Table1[[#This Row],[Shipping Fee]]</f>
        <v>95800</v>
      </c>
      <c r="N1419" s="2" t="s">
        <v>22</v>
      </c>
      <c r="O1419" t="str">
        <f>VLOOKUP(Table1[[#This Row],[Order ID]],Status!A:B, 2,FALSE)</f>
        <v>Completed</v>
      </c>
      <c r="P1419" s="2" t="s">
        <v>30</v>
      </c>
      <c r="Q1419" s="2">
        <v>3</v>
      </c>
      <c r="R1419" s="2" t="s">
        <v>24</v>
      </c>
      <c r="S1419" s="11" t="str">
        <f t="shared" si="113"/>
        <v>Standar</v>
      </c>
      <c r="T1419" s="2" t="str">
        <f t="shared" si="114"/>
        <v>Sangat Rendah</v>
      </c>
    </row>
    <row r="1420" spans="1:20" ht="15.75" customHeight="1" x14ac:dyDescent="0.3">
      <c r="A1420" s="4" t="s">
        <v>929</v>
      </c>
      <c r="B1420" s="3">
        <v>45659.447696759264</v>
      </c>
      <c r="C1420" s="2" t="s">
        <v>582</v>
      </c>
      <c r="D1420" s="2" t="s">
        <v>435</v>
      </c>
      <c r="E1420" s="2" t="s">
        <v>21</v>
      </c>
      <c r="F1420" s="2">
        <v>45000</v>
      </c>
      <c r="G1420" s="2">
        <v>1</v>
      </c>
      <c r="H1420" s="2">
        <v>20</v>
      </c>
      <c r="I1420">
        <f t="shared" si="110"/>
        <v>45000</v>
      </c>
      <c r="J1420">
        <f t="shared" si="111"/>
        <v>9000</v>
      </c>
      <c r="K1420" s="6">
        <f t="shared" si="112"/>
        <v>36000</v>
      </c>
      <c r="L1420" s="2">
        <v>0</v>
      </c>
      <c r="M1420" s="6">
        <f>Table1[[#This Row],[Total Sales]]+Table1[[#This Row],[Shipping Fee]]</f>
        <v>36000</v>
      </c>
      <c r="N1420" s="2" t="s">
        <v>22</v>
      </c>
      <c r="O1420" t="str">
        <f>VLOOKUP(Table1[[#This Row],[Order ID]],Status!A:B, 2,FALSE)</f>
        <v>Completed</v>
      </c>
      <c r="P1420" s="2" t="s">
        <v>30</v>
      </c>
      <c r="Q1420" s="2">
        <v>3</v>
      </c>
      <c r="R1420" s="2" t="s">
        <v>24</v>
      </c>
      <c r="S1420" s="11" t="str">
        <f t="shared" si="113"/>
        <v>Standar</v>
      </c>
      <c r="T1420" s="2" t="str">
        <f t="shared" si="114"/>
        <v>Rendah</v>
      </c>
    </row>
    <row r="1421" spans="1:20" ht="15.75" customHeight="1" x14ac:dyDescent="0.3">
      <c r="A1421" s="4" t="s">
        <v>928</v>
      </c>
      <c r="B1421" s="3">
        <v>45659.260381944441</v>
      </c>
      <c r="C1421" s="2" t="s">
        <v>649</v>
      </c>
      <c r="D1421" s="2" t="s">
        <v>177</v>
      </c>
      <c r="E1421" s="2" t="s">
        <v>67</v>
      </c>
      <c r="F1421" s="2">
        <v>15000</v>
      </c>
      <c r="G1421" s="2">
        <v>2</v>
      </c>
      <c r="H1421" s="2">
        <v>0</v>
      </c>
      <c r="I1421">
        <f t="shared" si="110"/>
        <v>30000</v>
      </c>
      <c r="J1421">
        <f t="shared" si="111"/>
        <v>0</v>
      </c>
      <c r="K1421" s="6">
        <f t="shared" si="112"/>
        <v>30000</v>
      </c>
      <c r="L1421" s="2">
        <v>56000</v>
      </c>
      <c r="M1421" s="6">
        <f>Table1[[#This Row],[Total Sales]]+Table1[[#This Row],[Shipping Fee]]</f>
        <v>86000</v>
      </c>
      <c r="N1421" s="2" t="s">
        <v>63</v>
      </c>
      <c r="O1421" t="str">
        <f>VLOOKUP(Table1[[#This Row],[Order ID]],Status!A:B, 2,FALSE)</f>
        <v>Completed</v>
      </c>
      <c r="P1421" s="2" t="s">
        <v>23</v>
      </c>
      <c r="Q1421" s="2">
        <v>1</v>
      </c>
      <c r="R1421" s="2" t="s">
        <v>24</v>
      </c>
      <c r="S1421" s="11" t="str">
        <f t="shared" si="113"/>
        <v>Rendah</v>
      </c>
      <c r="T1421" s="2" t="str">
        <f t="shared" si="114"/>
        <v>Sangat Rendah</v>
      </c>
    </row>
    <row r="1422" spans="1:20" ht="15.75" customHeight="1" x14ac:dyDescent="0.3">
      <c r="A1422" s="4" t="s">
        <v>927</v>
      </c>
      <c r="B1422" s="3">
        <v>45659.141805555562</v>
      </c>
      <c r="C1422" s="2" t="s">
        <v>281</v>
      </c>
      <c r="D1422" s="2" t="s">
        <v>151</v>
      </c>
      <c r="E1422" s="2" t="s">
        <v>138</v>
      </c>
      <c r="F1422" s="2">
        <v>17000</v>
      </c>
      <c r="G1422" s="2">
        <v>1</v>
      </c>
      <c r="H1422" s="2">
        <v>10</v>
      </c>
      <c r="I1422">
        <f t="shared" si="110"/>
        <v>17000</v>
      </c>
      <c r="J1422">
        <f t="shared" si="111"/>
        <v>1700</v>
      </c>
      <c r="K1422" s="6">
        <f t="shared" si="112"/>
        <v>15300</v>
      </c>
      <c r="L1422" s="2">
        <v>55000</v>
      </c>
      <c r="M1422" s="6">
        <f>Table1[[#This Row],[Total Sales]]+Table1[[#This Row],[Shipping Fee]]</f>
        <v>70300</v>
      </c>
      <c r="N1422" s="2" t="s">
        <v>22</v>
      </c>
      <c r="O1422" t="str">
        <f>VLOOKUP(Table1[[#This Row],[Order ID]],Status!A:B, 2,FALSE)</f>
        <v>Returned</v>
      </c>
      <c r="P1422" s="2" t="s">
        <v>36</v>
      </c>
      <c r="Q1422" s="2">
        <v>2</v>
      </c>
      <c r="R1422" s="2" t="s">
        <v>24</v>
      </c>
      <c r="S1422" s="11" t="str">
        <f t="shared" si="113"/>
        <v>Rendah</v>
      </c>
      <c r="T1422" s="2" t="str">
        <f t="shared" si="114"/>
        <v>Sangat Rendah</v>
      </c>
    </row>
    <row r="1423" spans="1:20" ht="15.75" customHeight="1" x14ac:dyDescent="0.3">
      <c r="A1423" s="4" t="s">
        <v>926</v>
      </c>
      <c r="B1423" s="3">
        <v>45658.849780092591</v>
      </c>
      <c r="C1423" s="2" t="s">
        <v>867</v>
      </c>
      <c r="D1423" s="2" t="s">
        <v>20</v>
      </c>
      <c r="E1423" s="2" t="s">
        <v>41</v>
      </c>
      <c r="F1423" s="2">
        <v>4000</v>
      </c>
      <c r="G1423" s="2">
        <v>1</v>
      </c>
      <c r="H1423" s="2">
        <v>20</v>
      </c>
      <c r="I1423">
        <f t="shared" si="110"/>
        <v>4000</v>
      </c>
      <c r="J1423">
        <f t="shared" si="111"/>
        <v>800</v>
      </c>
      <c r="K1423" s="6">
        <f t="shared" si="112"/>
        <v>3200</v>
      </c>
      <c r="L1423" s="2">
        <v>15000</v>
      </c>
      <c r="M1423" s="6">
        <f>Table1[[#This Row],[Total Sales]]+Table1[[#This Row],[Shipping Fee]]</f>
        <v>18200</v>
      </c>
      <c r="N1423" s="2" t="s">
        <v>63</v>
      </c>
      <c r="O1423" t="str">
        <f>VLOOKUP(Table1[[#This Row],[Order ID]],Status!A:B, 2,FALSE)</f>
        <v>Completed</v>
      </c>
      <c r="P1423" s="2" t="s">
        <v>46</v>
      </c>
      <c r="Q1423" s="2">
        <v>3</v>
      </c>
      <c r="R1423" s="2" t="s">
        <v>37</v>
      </c>
      <c r="S1423" s="11" t="str">
        <f t="shared" si="113"/>
        <v>Standar</v>
      </c>
      <c r="T1423" s="2" t="str">
        <f t="shared" si="114"/>
        <v>Sangat Rendah</v>
      </c>
    </row>
    <row r="1424" spans="1:20" ht="15.75" customHeight="1" x14ac:dyDescent="0.3">
      <c r="A1424" s="4" t="s">
        <v>925</v>
      </c>
      <c r="B1424" s="3">
        <v>45658.815000000002</v>
      </c>
      <c r="C1424" s="2" t="s">
        <v>794</v>
      </c>
      <c r="D1424" s="2" t="s">
        <v>61</v>
      </c>
      <c r="E1424" s="2" t="s">
        <v>144</v>
      </c>
      <c r="F1424" s="2">
        <v>18000</v>
      </c>
      <c r="G1424" s="2">
        <v>1</v>
      </c>
      <c r="H1424" s="2">
        <v>5</v>
      </c>
      <c r="I1424">
        <f t="shared" si="110"/>
        <v>18000</v>
      </c>
      <c r="J1424">
        <f t="shared" si="111"/>
        <v>900</v>
      </c>
      <c r="K1424" s="6">
        <f t="shared" si="112"/>
        <v>17100</v>
      </c>
      <c r="L1424" s="2">
        <v>26000</v>
      </c>
      <c r="M1424" s="6">
        <f>Table1[[#This Row],[Total Sales]]+Table1[[#This Row],[Shipping Fee]]</f>
        <v>43100</v>
      </c>
      <c r="N1424" s="2" t="s">
        <v>29</v>
      </c>
      <c r="O1424" t="str">
        <f>VLOOKUP(Table1[[#This Row],[Order ID]],Status!A:B, 2,FALSE)</f>
        <v>Completed</v>
      </c>
      <c r="P1424" s="2" t="s">
        <v>30</v>
      </c>
      <c r="Q1424" s="2">
        <v>5</v>
      </c>
      <c r="R1424" s="2" t="s">
        <v>37</v>
      </c>
      <c r="S1424" s="11" t="str">
        <f t="shared" si="113"/>
        <v>Bagus</v>
      </c>
      <c r="T1424" s="2" t="str">
        <f t="shared" si="114"/>
        <v>Sangat Rendah</v>
      </c>
    </row>
    <row r="1425" spans="1:20" ht="15.75" customHeight="1" x14ac:dyDescent="0.3">
      <c r="A1425" s="4" t="s">
        <v>923</v>
      </c>
      <c r="B1425" s="3">
        <v>45658.793900462973</v>
      </c>
      <c r="C1425" s="2" t="s">
        <v>924</v>
      </c>
      <c r="D1425" s="2" t="s">
        <v>20</v>
      </c>
      <c r="E1425" s="2" t="s">
        <v>123</v>
      </c>
      <c r="F1425" s="2">
        <v>22000</v>
      </c>
      <c r="G1425" s="2">
        <v>1</v>
      </c>
      <c r="H1425" s="2">
        <v>10</v>
      </c>
      <c r="I1425">
        <f t="shared" si="110"/>
        <v>22000</v>
      </c>
      <c r="J1425">
        <f t="shared" si="111"/>
        <v>2200</v>
      </c>
      <c r="K1425" s="6">
        <f t="shared" si="112"/>
        <v>19800</v>
      </c>
      <c r="L1425" s="2">
        <v>15000</v>
      </c>
      <c r="M1425" s="6">
        <f>Table1[[#This Row],[Total Sales]]+Table1[[#This Row],[Shipping Fee]]</f>
        <v>34800</v>
      </c>
      <c r="N1425" s="2" t="s">
        <v>35</v>
      </c>
      <c r="O1425" t="str">
        <f>VLOOKUP(Table1[[#This Row],[Order ID]],Status!A:B, 2,FALSE)</f>
        <v>Completed</v>
      </c>
      <c r="P1425" s="2" t="s">
        <v>30</v>
      </c>
      <c r="Q1425" s="2">
        <v>1</v>
      </c>
      <c r="R1425" s="2" t="s">
        <v>37</v>
      </c>
      <c r="S1425" s="11" t="str">
        <f t="shared" si="113"/>
        <v>Rendah</v>
      </c>
      <c r="T1425" s="2" t="str">
        <f t="shared" si="114"/>
        <v>Sangat Rendah</v>
      </c>
    </row>
    <row r="1426" spans="1:20" ht="15.75" customHeight="1" x14ac:dyDescent="0.3">
      <c r="A1426" s="4" t="s">
        <v>921</v>
      </c>
      <c r="B1426" s="3">
        <v>45658.663425925923</v>
      </c>
      <c r="C1426" s="2" t="s">
        <v>922</v>
      </c>
      <c r="D1426" s="2" t="s">
        <v>33</v>
      </c>
      <c r="E1426" s="2" t="s">
        <v>110</v>
      </c>
      <c r="F1426" s="2">
        <v>6000</v>
      </c>
      <c r="G1426" s="2">
        <v>4</v>
      </c>
      <c r="H1426" s="2">
        <v>10</v>
      </c>
      <c r="I1426">
        <f t="shared" si="110"/>
        <v>24000</v>
      </c>
      <c r="J1426">
        <f t="shared" si="111"/>
        <v>2400</v>
      </c>
      <c r="K1426" s="6">
        <f t="shared" si="112"/>
        <v>21600</v>
      </c>
      <c r="L1426" s="2">
        <v>76000</v>
      </c>
      <c r="M1426" s="6">
        <f>Table1[[#This Row],[Total Sales]]+Table1[[#This Row],[Shipping Fee]]</f>
        <v>97600</v>
      </c>
      <c r="N1426" s="2" t="s">
        <v>29</v>
      </c>
      <c r="O1426" t="str">
        <f>VLOOKUP(Table1[[#This Row],[Order ID]],Status!A:B, 2,FALSE)</f>
        <v>Returned</v>
      </c>
      <c r="P1426" s="2" t="s">
        <v>36</v>
      </c>
      <c r="Q1426" s="2">
        <v>3</v>
      </c>
      <c r="R1426" s="2" t="s">
        <v>37</v>
      </c>
      <c r="S1426" s="11" t="str">
        <f t="shared" si="113"/>
        <v>Standar</v>
      </c>
      <c r="T1426" s="2" t="str">
        <f t="shared" si="114"/>
        <v>Sangat Rendah</v>
      </c>
    </row>
    <row r="1427" spans="1:20" ht="15.75" customHeight="1" x14ac:dyDescent="0.3">
      <c r="A1427" s="4" t="s">
        <v>920</v>
      </c>
      <c r="B1427" s="3">
        <v>45658.606747685182</v>
      </c>
      <c r="C1427" s="2" t="s">
        <v>321</v>
      </c>
      <c r="D1427" s="2" t="s">
        <v>80</v>
      </c>
      <c r="E1427" s="2" t="s">
        <v>38</v>
      </c>
      <c r="F1427" s="2">
        <v>28000</v>
      </c>
      <c r="G1427" s="2">
        <v>5</v>
      </c>
      <c r="H1427" s="2">
        <v>5</v>
      </c>
      <c r="I1427">
        <f t="shared" si="110"/>
        <v>140000</v>
      </c>
      <c r="J1427">
        <f t="shared" si="111"/>
        <v>7000</v>
      </c>
      <c r="K1427" s="6">
        <f t="shared" si="112"/>
        <v>133000</v>
      </c>
      <c r="L1427" s="2">
        <v>74000</v>
      </c>
      <c r="M1427" s="6">
        <f>Table1[[#This Row],[Total Sales]]+Table1[[#This Row],[Shipping Fee]]</f>
        <v>207000</v>
      </c>
      <c r="N1427" s="2" t="s">
        <v>35</v>
      </c>
      <c r="O1427" t="str">
        <f>VLOOKUP(Table1[[#This Row],[Order ID]],Status!A:B, 2,FALSE)</f>
        <v>Completed</v>
      </c>
      <c r="P1427" s="2" t="s">
        <v>46</v>
      </c>
      <c r="Q1427" s="2">
        <v>3</v>
      </c>
      <c r="R1427" s="2" t="s">
        <v>24</v>
      </c>
      <c r="S1427" s="11" t="str">
        <f t="shared" si="113"/>
        <v>Standar</v>
      </c>
      <c r="T1427" s="2" t="str">
        <f t="shared" si="114"/>
        <v>Rendah</v>
      </c>
    </row>
    <row r="1428" spans="1:20" ht="15.75" customHeight="1" x14ac:dyDescent="0.3">
      <c r="A1428" s="4" t="s">
        <v>919</v>
      </c>
      <c r="B1428" s="3">
        <v>45658.476342592592</v>
      </c>
      <c r="C1428" s="2" t="s">
        <v>203</v>
      </c>
      <c r="D1428" s="2" t="s">
        <v>20</v>
      </c>
      <c r="E1428" s="2" t="s">
        <v>104</v>
      </c>
      <c r="F1428" s="2">
        <v>30000</v>
      </c>
      <c r="G1428" s="2">
        <v>3</v>
      </c>
      <c r="H1428" s="2">
        <v>20</v>
      </c>
      <c r="I1428">
        <f t="shared" si="110"/>
        <v>90000</v>
      </c>
      <c r="J1428">
        <f t="shared" si="111"/>
        <v>18000</v>
      </c>
      <c r="K1428" s="6">
        <f t="shared" si="112"/>
        <v>72000</v>
      </c>
      <c r="L1428" s="2">
        <v>15000</v>
      </c>
      <c r="M1428" s="6">
        <f>Table1[[#This Row],[Total Sales]]+Table1[[#This Row],[Shipping Fee]]</f>
        <v>87000</v>
      </c>
      <c r="N1428" s="2" t="s">
        <v>63</v>
      </c>
      <c r="O1428" t="str">
        <f>VLOOKUP(Table1[[#This Row],[Order ID]],Status!A:B, 2,FALSE)</f>
        <v>Completed</v>
      </c>
      <c r="P1428" s="2" t="s">
        <v>82</v>
      </c>
      <c r="Q1428" s="2">
        <v>4</v>
      </c>
      <c r="R1428" s="2" t="s">
        <v>24</v>
      </c>
      <c r="S1428" s="11" t="str">
        <f t="shared" si="113"/>
        <v>Bagus</v>
      </c>
      <c r="T1428" s="2" t="str">
        <f t="shared" si="114"/>
        <v>Normal</v>
      </c>
    </row>
    <row r="1429" spans="1:20" ht="15.75" customHeight="1" x14ac:dyDescent="0.3">
      <c r="A1429" s="4" t="s">
        <v>917</v>
      </c>
      <c r="B1429" s="3">
        <v>45658.31627314815</v>
      </c>
      <c r="C1429" s="2" t="s">
        <v>918</v>
      </c>
      <c r="D1429" s="2" t="s">
        <v>296</v>
      </c>
      <c r="E1429" s="2" t="s">
        <v>136</v>
      </c>
      <c r="F1429" s="2">
        <v>12000</v>
      </c>
      <c r="G1429" s="2">
        <v>4</v>
      </c>
      <c r="H1429" s="2">
        <v>20</v>
      </c>
      <c r="I1429">
        <f t="shared" si="110"/>
        <v>48000</v>
      </c>
      <c r="J1429">
        <f t="shared" si="111"/>
        <v>9600</v>
      </c>
      <c r="K1429" s="6">
        <f t="shared" si="112"/>
        <v>38400</v>
      </c>
      <c r="L1429" s="2">
        <v>79000</v>
      </c>
      <c r="M1429" s="6">
        <f>Table1[[#This Row],[Total Sales]]+Table1[[#This Row],[Shipping Fee]]</f>
        <v>117400</v>
      </c>
      <c r="N1429" s="2" t="s">
        <v>63</v>
      </c>
      <c r="O1429" t="str">
        <f>VLOOKUP(Table1[[#This Row],[Order ID]],Status!A:B, 2,FALSE)</f>
        <v>Completed</v>
      </c>
      <c r="P1429" s="2" t="s">
        <v>30</v>
      </c>
      <c r="Q1429" s="2">
        <v>2</v>
      </c>
      <c r="R1429" s="2" t="s">
        <v>24</v>
      </c>
      <c r="S1429" s="11" t="str">
        <f t="shared" si="113"/>
        <v>Rendah</v>
      </c>
      <c r="T1429" s="2" t="str">
        <f t="shared" si="114"/>
        <v>Rendah</v>
      </c>
    </row>
    <row r="1430" spans="1:20" ht="15.75" customHeight="1" x14ac:dyDescent="0.3">
      <c r="A1430" s="4" t="s">
        <v>915</v>
      </c>
      <c r="B1430" s="3">
        <v>45658.182245370372</v>
      </c>
      <c r="C1430" s="2" t="s">
        <v>916</v>
      </c>
      <c r="D1430" s="2" t="s">
        <v>96</v>
      </c>
      <c r="E1430" s="2" t="s">
        <v>45</v>
      </c>
      <c r="F1430" s="2">
        <v>40000</v>
      </c>
      <c r="G1430" s="2">
        <v>4</v>
      </c>
      <c r="H1430" s="2">
        <v>20</v>
      </c>
      <c r="I1430">
        <f t="shared" si="110"/>
        <v>160000</v>
      </c>
      <c r="J1430">
        <f t="shared" si="111"/>
        <v>32000</v>
      </c>
      <c r="K1430" s="6">
        <f t="shared" si="112"/>
        <v>128000</v>
      </c>
      <c r="L1430" s="2">
        <v>49000</v>
      </c>
      <c r="M1430" s="6">
        <f>Table1[[#This Row],[Total Sales]]+Table1[[#This Row],[Shipping Fee]]</f>
        <v>177000</v>
      </c>
      <c r="N1430" s="2" t="s">
        <v>22</v>
      </c>
      <c r="O1430" t="str">
        <f>VLOOKUP(Table1[[#This Row],[Order ID]],Status!A:B, 2,FALSE)</f>
        <v>Completed</v>
      </c>
      <c r="P1430" s="2" t="s">
        <v>23</v>
      </c>
      <c r="Q1430" s="2">
        <v>4</v>
      </c>
      <c r="R1430" s="2" t="s">
        <v>24</v>
      </c>
      <c r="S1430" s="11" t="str">
        <f t="shared" si="113"/>
        <v>Bagus</v>
      </c>
      <c r="T1430" s="2" t="str">
        <f t="shared" si="114"/>
        <v>Tinggi</v>
      </c>
    </row>
    <row r="1431" spans="1:20" ht="15.75" customHeight="1" x14ac:dyDescent="0.3">
      <c r="A1431" s="4" t="s">
        <v>914</v>
      </c>
      <c r="B1431" s="3">
        <v>45658.068738425929</v>
      </c>
      <c r="C1431" s="2" t="s">
        <v>273</v>
      </c>
      <c r="D1431" s="2" t="s">
        <v>195</v>
      </c>
      <c r="E1431" s="2" t="s">
        <v>54</v>
      </c>
      <c r="F1431" s="2">
        <v>16000</v>
      </c>
      <c r="G1431" s="2">
        <v>5</v>
      </c>
      <c r="H1431" s="2">
        <v>0</v>
      </c>
      <c r="I1431">
        <f t="shared" si="110"/>
        <v>80000</v>
      </c>
      <c r="J1431">
        <f t="shared" si="111"/>
        <v>0</v>
      </c>
      <c r="K1431" s="6">
        <f t="shared" si="112"/>
        <v>80000</v>
      </c>
      <c r="L1431" s="2">
        <v>87000</v>
      </c>
      <c r="M1431" s="6">
        <f>Table1[[#This Row],[Total Sales]]+Table1[[#This Row],[Shipping Fee]]</f>
        <v>167000</v>
      </c>
      <c r="N1431" s="2" t="s">
        <v>35</v>
      </c>
      <c r="O1431" t="str">
        <f>VLOOKUP(Table1[[#This Row],[Order ID]],Status!A:B, 2,FALSE)</f>
        <v>Completed</v>
      </c>
      <c r="P1431" s="2" t="s">
        <v>36</v>
      </c>
      <c r="Q1431" s="2">
        <v>4</v>
      </c>
      <c r="R1431" s="2" t="s">
        <v>24</v>
      </c>
      <c r="S1431" s="11" t="str">
        <f t="shared" si="113"/>
        <v>Bagus</v>
      </c>
      <c r="T1431" s="2" t="str">
        <f t="shared" si="114"/>
        <v>Sangat Rendah</v>
      </c>
    </row>
    <row r="1432" spans="1:20" ht="15.75" customHeight="1" x14ac:dyDescent="0.3">
      <c r="A1432" s="4" t="s">
        <v>913</v>
      </c>
      <c r="B1432" s="3">
        <v>45657.956782407397</v>
      </c>
      <c r="C1432" s="2" t="s">
        <v>385</v>
      </c>
      <c r="D1432" s="2" t="s">
        <v>375</v>
      </c>
      <c r="E1432" s="2" t="s">
        <v>110</v>
      </c>
      <c r="F1432" s="2">
        <v>6000</v>
      </c>
      <c r="G1432" s="2">
        <v>3</v>
      </c>
      <c r="H1432" s="2">
        <v>20</v>
      </c>
      <c r="I1432">
        <f t="shared" si="110"/>
        <v>18000</v>
      </c>
      <c r="J1432">
        <f t="shared" si="111"/>
        <v>3600</v>
      </c>
      <c r="K1432" s="6">
        <f t="shared" si="112"/>
        <v>14400</v>
      </c>
      <c r="L1432" s="2">
        <v>21000</v>
      </c>
      <c r="M1432" s="6">
        <f>Table1[[#This Row],[Total Sales]]+Table1[[#This Row],[Shipping Fee]]</f>
        <v>35400</v>
      </c>
      <c r="N1432" s="2" t="s">
        <v>35</v>
      </c>
      <c r="O1432" t="str">
        <f>VLOOKUP(Table1[[#This Row],[Order ID]],Status!A:B, 2,FALSE)</f>
        <v>Completed</v>
      </c>
      <c r="P1432" s="2" t="s">
        <v>46</v>
      </c>
      <c r="Q1432" s="2">
        <v>5</v>
      </c>
      <c r="R1432" s="2" t="s">
        <v>24</v>
      </c>
      <c r="S1432" s="11" t="str">
        <f t="shared" si="113"/>
        <v>Bagus</v>
      </c>
      <c r="T1432" s="2" t="str">
        <f t="shared" si="114"/>
        <v>Sangat Rendah</v>
      </c>
    </row>
    <row r="1433" spans="1:20" ht="15.75" customHeight="1" x14ac:dyDescent="0.3">
      <c r="A1433" s="4" t="s">
        <v>912</v>
      </c>
      <c r="B1433" s="3">
        <v>45657.819618055553</v>
      </c>
      <c r="C1433" s="2" t="s">
        <v>619</v>
      </c>
      <c r="D1433" s="2" t="s">
        <v>435</v>
      </c>
      <c r="E1433" s="2" t="s">
        <v>50</v>
      </c>
      <c r="F1433" s="2">
        <v>14000</v>
      </c>
      <c r="G1433" s="2">
        <v>1</v>
      </c>
      <c r="H1433" s="2">
        <v>20</v>
      </c>
      <c r="I1433">
        <f t="shared" si="110"/>
        <v>14000</v>
      </c>
      <c r="J1433">
        <f t="shared" si="111"/>
        <v>2800</v>
      </c>
      <c r="K1433" s="6">
        <f t="shared" si="112"/>
        <v>11200</v>
      </c>
      <c r="L1433" s="2">
        <v>67000</v>
      </c>
      <c r="M1433" s="6">
        <f>Table1[[#This Row],[Total Sales]]+Table1[[#This Row],[Shipping Fee]]</f>
        <v>78200</v>
      </c>
      <c r="N1433" s="2" t="s">
        <v>35</v>
      </c>
      <c r="O1433" t="str">
        <f>VLOOKUP(Table1[[#This Row],[Order ID]],Status!A:B, 2,FALSE)</f>
        <v>Completed</v>
      </c>
      <c r="P1433" s="2" t="s">
        <v>82</v>
      </c>
      <c r="Q1433" s="2">
        <v>4</v>
      </c>
      <c r="R1433" s="2" t="s">
        <v>24</v>
      </c>
      <c r="S1433" s="11" t="str">
        <f t="shared" si="113"/>
        <v>Bagus</v>
      </c>
      <c r="T1433" s="2" t="str">
        <f t="shared" si="114"/>
        <v>Sangat Rendah</v>
      </c>
    </row>
    <row r="1434" spans="1:20" ht="15.75" customHeight="1" x14ac:dyDescent="0.3">
      <c r="A1434" s="4" t="s">
        <v>911</v>
      </c>
      <c r="B1434" s="3">
        <v>45657.785000000003</v>
      </c>
      <c r="C1434" s="2" t="s">
        <v>812</v>
      </c>
      <c r="D1434" s="2" t="s">
        <v>33</v>
      </c>
      <c r="E1434" s="2" t="s">
        <v>174</v>
      </c>
      <c r="F1434" s="2">
        <v>10000</v>
      </c>
      <c r="G1434" s="2">
        <v>4</v>
      </c>
      <c r="H1434" s="2">
        <v>10</v>
      </c>
      <c r="I1434">
        <f t="shared" si="110"/>
        <v>40000</v>
      </c>
      <c r="J1434">
        <f t="shared" si="111"/>
        <v>4000</v>
      </c>
      <c r="K1434" s="6">
        <f t="shared" si="112"/>
        <v>36000</v>
      </c>
      <c r="L1434" s="2">
        <v>76000</v>
      </c>
      <c r="M1434" s="6">
        <f>Table1[[#This Row],[Total Sales]]+Table1[[#This Row],[Shipping Fee]]</f>
        <v>112000</v>
      </c>
      <c r="N1434" s="2" t="s">
        <v>29</v>
      </c>
      <c r="O1434" t="str">
        <f>VLOOKUP(Table1[[#This Row],[Order ID]],Status!A:B, 2,FALSE)</f>
        <v>Completed</v>
      </c>
      <c r="P1434" s="2" t="s">
        <v>36</v>
      </c>
      <c r="Q1434" s="2">
        <v>1</v>
      </c>
      <c r="R1434" s="2" t="s">
        <v>24</v>
      </c>
      <c r="S1434" s="11" t="str">
        <f t="shared" si="113"/>
        <v>Rendah</v>
      </c>
      <c r="T1434" s="2" t="str">
        <f t="shared" si="114"/>
        <v>Sangat Rendah</v>
      </c>
    </row>
    <row r="1435" spans="1:20" ht="15.75" customHeight="1" x14ac:dyDescent="0.3">
      <c r="A1435" s="4" t="s">
        <v>911</v>
      </c>
      <c r="B1435" s="3">
        <v>45657.785000000003</v>
      </c>
      <c r="C1435" s="2" t="s">
        <v>812</v>
      </c>
      <c r="D1435" s="2" t="s">
        <v>33</v>
      </c>
      <c r="E1435" s="2" t="s">
        <v>75</v>
      </c>
      <c r="F1435" s="2">
        <v>55000</v>
      </c>
      <c r="G1435" s="2">
        <v>2</v>
      </c>
      <c r="H1435" s="2">
        <v>15</v>
      </c>
      <c r="I1435">
        <f t="shared" si="110"/>
        <v>110000</v>
      </c>
      <c r="J1435">
        <f t="shared" si="111"/>
        <v>16500</v>
      </c>
      <c r="K1435" s="6">
        <f t="shared" si="112"/>
        <v>93500</v>
      </c>
      <c r="L1435" s="2">
        <v>0</v>
      </c>
      <c r="M1435" s="6">
        <f>Table1[[#This Row],[Total Sales]]+Table1[[#This Row],[Shipping Fee]]</f>
        <v>93500</v>
      </c>
      <c r="N1435" s="2" t="s">
        <v>29</v>
      </c>
      <c r="O1435" t="str">
        <f>VLOOKUP(Table1[[#This Row],[Order ID]],Status!A:B, 2,FALSE)</f>
        <v>Completed</v>
      </c>
      <c r="P1435" s="2" t="s">
        <v>36</v>
      </c>
      <c r="Q1435" s="2">
        <v>1</v>
      </c>
      <c r="R1435" s="2" t="s">
        <v>24</v>
      </c>
      <c r="S1435" s="11" t="str">
        <f t="shared" si="113"/>
        <v>Rendah</v>
      </c>
      <c r="T1435" s="2" t="str">
        <f t="shared" si="114"/>
        <v>Normal</v>
      </c>
    </row>
    <row r="1436" spans="1:20" ht="15.75" customHeight="1" x14ac:dyDescent="0.3">
      <c r="A1436" s="4" t="s">
        <v>910</v>
      </c>
      <c r="B1436" s="3">
        <v>45657.661597222221</v>
      </c>
      <c r="C1436" s="2" t="s">
        <v>87</v>
      </c>
      <c r="D1436" s="2" t="s">
        <v>80</v>
      </c>
      <c r="E1436" s="2" t="s">
        <v>41</v>
      </c>
      <c r="F1436" s="2">
        <v>4000</v>
      </c>
      <c r="G1436" s="2">
        <v>4</v>
      </c>
      <c r="H1436" s="2">
        <v>10</v>
      </c>
      <c r="I1436">
        <f t="shared" si="110"/>
        <v>16000</v>
      </c>
      <c r="J1436">
        <f t="shared" si="111"/>
        <v>1600</v>
      </c>
      <c r="K1436" s="6">
        <f t="shared" si="112"/>
        <v>14400</v>
      </c>
      <c r="L1436" s="2">
        <v>74000</v>
      </c>
      <c r="M1436" s="6">
        <f>Table1[[#This Row],[Total Sales]]+Table1[[#This Row],[Shipping Fee]]</f>
        <v>88400</v>
      </c>
      <c r="N1436" s="2" t="s">
        <v>35</v>
      </c>
      <c r="O1436" t="str">
        <f>VLOOKUP(Table1[[#This Row],[Order ID]],Status!A:B, 2,FALSE)</f>
        <v>Returned</v>
      </c>
      <c r="P1436" s="2" t="s">
        <v>46</v>
      </c>
      <c r="Q1436" s="2">
        <v>5</v>
      </c>
      <c r="R1436" s="2" t="s">
        <v>24</v>
      </c>
      <c r="S1436" s="11" t="str">
        <f t="shared" si="113"/>
        <v>Bagus</v>
      </c>
      <c r="T1436" s="2" t="str">
        <f t="shared" si="114"/>
        <v>Sangat Rendah</v>
      </c>
    </row>
    <row r="1437" spans="1:20" ht="15.75" customHeight="1" x14ac:dyDescent="0.3">
      <c r="A1437" s="4" t="s">
        <v>909</v>
      </c>
      <c r="B1437" s="3">
        <v>45657.556770833333</v>
      </c>
      <c r="C1437" s="2" t="s">
        <v>703</v>
      </c>
      <c r="D1437" s="2" t="s">
        <v>122</v>
      </c>
      <c r="E1437" s="2" t="s">
        <v>85</v>
      </c>
      <c r="F1437" s="2">
        <v>35000</v>
      </c>
      <c r="G1437" s="2">
        <v>3</v>
      </c>
      <c r="H1437" s="2">
        <v>0</v>
      </c>
      <c r="I1437">
        <f t="shared" si="110"/>
        <v>105000</v>
      </c>
      <c r="J1437">
        <f t="shared" si="111"/>
        <v>0</v>
      </c>
      <c r="K1437" s="6">
        <f t="shared" si="112"/>
        <v>105000</v>
      </c>
      <c r="L1437" s="2">
        <v>78000</v>
      </c>
      <c r="M1437" s="6">
        <f>Table1[[#This Row],[Total Sales]]+Table1[[#This Row],[Shipping Fee]]</f>
        <v>183000</v>
      </c>
      <c r="N1437" s="2" t="s">
        <v>29</v>
      </c>
      <c r="O1437" t="str">
        <f>VLOOKUP(Table1[[#This Row],[Order ID]],Status!A:B, 2,FALSE)</f>
        <v>Completed</v>
      </c>
      <c r="P1437" s="2" t="s">
        <v>30</v>
      </c>
      <c r="Q1437" s="2">
        <v>5</v>
      </c>
      <c r="R1437" s="2" t="s">
        <v>24</v>
      </c>
      <c r="S1437" s="11" t="str">
        <f t="shared" si="113"/>
        <v>Bagus</v>
      </c>
      <c r="T1437" s="2" t="str">
        <f t="shared" si="114"/>
        <v>Sangat Rendah</v>
      </c>
    </row>
    <row r="1438" spans="1:20" ht="15.75" customHeight="1" x14ac:dyDescent="0.3">
      <c r="A1438" s="4" t="s">
        <v>908</v>
      </c>
      <c r="B1438" s="3">
        <v>45657.500381944446</v>
      </c>
      <c r="C1438" s="2" t="s">
        <v>532</v>
      </c>
      <c r="D1438" s="2" t="s">
        <v>262</v>
      </c>
      <c r="E1438" s="2" t="s">
        <v>110</v>
      </c>
      <c r="F1438" s="2">
        <v>6000</v>
      </c>
      <c r="G1438" s="2">
        <v>5</v>
      </c>
      <c r="H1438" s="2">
        <v>5</v>
      </c>
      <c r="I1438">
        <f t="shared" si="110"/>
        <v>30000</v>
      </c>
      <c r="J1438">
        <f t="shared" si="111"/>
        <v>1500</v>
      </c>
      <c r="K1438" s="6">
        <f t="shared" si="112"/>
        <v>28500</v>
      </c>
      <c r="L1438" s="2">
        <v>18000</v>
      </c>
      <c r="M1438" s="6">
        <f>Table1[[#This Row],[Total Sales]]+Table1[[#This Row],[Shipping Fee]]</f>
        <v>46500</v>
      </c>
      <c r="N1438" s="2" t="s">
        <v>35</v>
      </c>
      <c r="O1438" t="str">
        <f>VLOOKUP(Table1[[#This Row],[Order ID]],Status!A:B, 2,FALSE)</f>
        <v>Completed</v>
      </c>
      <c r="P1438" s="2" t="s">
        <v>23</v>
      </c>
      <c r="Q1438" s="2">
        <v>3</v>
      </c>
      <c r="R1438" s="2" t="s">
        <v>24</v>
      </c>
      <c r="S1438" s="11" t="str">
        <f t="shared" si="113"/>
        <v>Standar</v>
      </c>
      <c r="T1438" s="2" t="str">
        <f t="shared" si="114"/>
        <v>Sangat Rendah</v>
      </c>
    </row>
    <row r="1439" spans="1:20" ht="15.75" customHeight="1" x14ac:dyDescent="0.3">
      <c r="A1439" s="4" t="s">
        <v>907</v>
      </c>
      <c r="B1439" s="3">
        <v>45657.470694444448</v>
      </c>
      <c r="C1439" s="2" t="s">
        <v>425</v>
      </c>
      <c r="D1439" s="2" t="s">
        <v>44</v>
      </c>
      <c r="E1439" s="2" t="s">
        <v>75</v>
      </c>
      <c r="F1439" s="2">
        <v>55000</v>
      </c>
      <c r="G1439" s="2">
        <v>2</v>
      </c>
      <c r="H1439" s="2">
        <v>10</v>
      </c>
      <c r="I1439">
        <f t="shared" si="110"/>
        <v>110000</v>
      </c>
      <c r="J1439">
        <f t="shared" si="111"/>
        <v>11000</v>
      </c>
      <c r="K1439" s="6">
        <f t="shared" si="112"/>
        <v>99000</v>
      </c>
      <c r="L1439" s="2">
        <v>93000</v>
      </c>
      <c r="M1439" s="6">
        <f>Table1[[#This Row],[Total Sales]]+Table1[[#This Row],[Shipping Fee]]</f>
        <v>192000</v>
      </c>
      <c r="N1439" s="2" t="s">
        <v>22</v>
      </c>
      <c r="O1439" t="str">
        <f>VLOOKUP(Table1[[#This Row],[Order ID]],Status!A:B, 2,FALSE)</f>
        <v>Completed</v>
      </c>
      <c r="P1439" s="2" t="s">
        <v>46</v>
      </c>
      <c r="Q1439" s="2">
        <v>1</v>
      </c>
      <c r="R1439" s="2" t="s">
        <v>37</v>
      </c>
      <c r="S1439" s="11" t="str">
        <f t="shared" si="113"/>
        <v>Rendah</v>
      </c>
      <c r="T1439" s="2" t="str">
        <f t="shared" si="114"/>
        <v>Normal</v>
      </c>
    </row>
    <row r="1440" spans="1:20" ht="15.75" customHeight="1" x14ac:dyDescent="0.3">
      <c r="A1440" s="4" t="s">
        <v>906</v>
      </c>
      <c r="B1440" s="3">
        <v>45657.253738425927</v>
      </c>
      <c r="C1440" s="2" t="s">
        <v>359</v>
      </c>
      <c r="D1440" s="2" t="s">
        <v>70</v>
      </c>
      <c r="E1440" s="2" t="s">
        <v>50</v>
      </c>
      <c r="F1440" s="2">
        <v>14000</v>
      </c>
      <c r="G1440" s="2">
        <v>1</v>
      </c>
      <c r="H1440" s="2">
        <v>10</v>
      </c>
      <c r="I1440">
        <f t="shared" si="110"/>
        <v>14000</v>
      </c>
      <c r="J1440">
        <f t="shared" si="111"/>
        <v>1400</v>
      </c>
      <c r="K1440" s="6">
        <f t="shared" si="112"/>
        <v>12600</v>
      </c>
      <c r="L1440" s="2">
        <v>89000</v>
      </c>
      <c r="M1440" s="6">
        <f>Table1[[#This Row],[Total Sales]]+Table1[[#This Row],[Shipping Fee]]</f>
        <v>101600</v>
      </c>
      <c r="N1440" s="2" t="s">
        <v>29</v>
      </c>
      <c r="O1440" t="str">
        <f>VLOOKUP(Table1[[#This Row],[Order ID]],Status!A:B, 2,FALSE)</f>
        <v>Completed</v>
      </c>
      <c r="P1440" s="2" t="s">
        <v>23</v>
      </c>
      <c r="Q1440" s="2">
        <v>1</v>
      </c>
      <c r="R1440" s="2" t="s">
        <v>24</v>
      </c>
      <c r="S1440" s="11" t="str">
        <f t="shared" si="113"/>
        <v>Rendah</v>
      </c>
      <c r="T1440" s="2" t="str">
        <f t="shared" si="114"/>
        <v>Sangat Rendah</v>
      </c>
    </row>
    <row r="1441" spans="1:20" ht="15.75" customHeight="1" x14ac:dyDescent="0.3">
      <c r="A1441" s="4" t="s">
        <v>905</v>
      </c>
      <c r="B1441" s="3">
        <v>45657.206493055557</v>
      </c>
      <c r="C1441" s="2" t="s">
        <v>269</v>
      </c>
      <c r="D1441" s="2" t="s">
        <v>173</v>
      </c>
      <c r="E1441" s="2" t="s">
        <v>67</v>
      </c>
      <c r="F1441" s="2">
        <v>15000</v>
      </c>
      <c r="G1441" s="2">
        <v>2</v>
      </c>
      <c r="H1441" s="2">
        <v>0</v>
      </c>
      <c r="I1441">
        <f t="shared" si="110"/>
        <v>30000</v>
      </c>
      <c r="J1441">
        <f t="shared" si="111"/>
        <v>0</v>
      </c>
      <c r="K1441" s="6">
        <f t="shared" si="112"/>
        <v>30000</v>
      </c>
      <c r="L1441" s="2">
        <v>49000</v>
      </c>
      <c r="M1441" s="6">
        <f>Table1[[#This Row],[Total Sales]]+Table1[[#This Row],[Shipping Fee]]</f>
        <v>79000</v>
      </c>
      <c r="N1441" s="2" t="s">
        <v>29</v>
      </c>
      <c r="O1441" t="str">
        <f>VLOOKUP(Table1[[#This Row],[Order ID]],Status!A:B, 2,FALSE)</f>
        <v>Completed</v>
      </c>
      <c r="P1441" s="2" t="s">
        <v>23</v>
      </c>
      <c r="Q1441" s="2">
        <v>4</v>
      </c>
      <c r="R1441" s="2" t="s">
        <v>37</v>
      </c>
      <c r="S1441" s="11" t="str">
        <f t="shared" si="113"/>
        <v>Bagus</v>
      </c>
      <c r="T1441" s="2" t="str">
        <f t="shared" si="114"/>
        <v>Sangat Rendah</v>
      </c>
    </row>
    <row r="1442" spans="1:20" ht="15.75" customHeight="1" x14ac:dyDescent="0.3">
      <c r="A1442" s="4" t="s">
        <v>903</v>
      </c>
      <c r="B1442" s="3">
        <v>45657.066030092603</v>
      </c>
      <c r="C1442" s="2" t="s">
        <v>904</v>
      </c>
      <c r="D1442" s="2" t="s">
        <v>296</v>
      </c>
      <c r="E1442" s="2" t="s">
        <v>81</v>
      </c>
      <c r="F1442" s="2">
        <v>17000</v>
      </c>
      <c r="G1442" s="2">
        <v>3</v>
      </c>
      <c r="H1442" s="2">
        <v>0</v>
      </c>
      <c r="I1442">
        <f t="shared" si="110"/>
        <v>51000</v>
      </c>
      <c r="J1442">
        <f t="shared" si="111"/>
        <v>0</v>
      </c>
      <c r="K1442" s="6">
        <f t="shared" si="112"/>
        <v>51000</v>
      </c>
      <c r="L1442" s="2">
        <v>79000</v>
      </c>
      <c r="M1442" s="6">
        <f>Table1[[#This Row],[Total Sales]]+Table1[[#This Row],[Shipping Fee]]</f>
        <v>130000</v>
      </c>
      <c r="N1442" s="2" t="s">
        <v>29</v>
      </c>
      <c r="O1442" t="str">
        <f>VLOOKUP(Table1[[#This Row],[Order ID]],Status!A:B, 2,FALSE)</f>
        <v>Returned</v>
      </c>
      <c r="P1442" s="2" t="s">
        <v>36</v>
      </c>
      <c r="Q1442" s="2">
        <v>4</v>
      </c>
      <c r="R1442" s="2" t="s">
        <v>37</v>
      </c>
      <c r="S1442" s="11" t="str">
        <f t="shared" si="113"/>
        <v>Bagus</v>
      </c>
      <c r="T1442" s="2" t="str">
        <f t="shared" si="114"/>
        <v>Sangat Rendah</v>
      </c>
    </row>
    <row r="1443" spans="1:20" ht="15.75" customHeight="1" x14ac:dyDescent="0.3">
      <c r="A1443" s="4" t="s">
        <v>902</v>
      </c>
      <c r="B1443" s="3">
        <v>45657.015648148154</v>
      </c>
      <c r="C1443" s="2" t="s">
        <v>381</v>
      </c>
      <c r="D1443" s="2" t="s">
        <v>103</v>
      </c>
      <c r="E1443" s="2" t="s">
        <v>138</v>
      </c>
      <c r="F1443" s="2">
        <v>17000</v>
      </c>
      <c r="G1443" s="2">
        <v>3</v>
      </c>
      <c r="H1443" s="2">
        <v>0</v>
      </c>
      <c r="I1443">
        <f t="shared" si="110"/>
        <v>51000</v>
      </c>
      <c r="J1443">
        <f t="shared" si="111"/>
        <v>0</v>
      </c>
      <c r="K1443" s="6">
        <f t="shared" si="112"/>
        <v>51000</v>
      </c>
      <c r="L1443" s="2">
        <v>85000</v>
      </c>
      <c r="M1443" s="6">
        <f>Table1[[#This Row],[Total Sales]]+Table1[[#This Row],[Shipping Fee]]</f>
        <v>136000</v>
      </c>
      <c r="N1443" s="2" t="s">
        <v>63</v>
      </c>
      <c r="O1443" t="str">
        <f>VLOOKUP(Table1[[#This Row],[Order ID]],Status!A:B, 2,FALSE)</f>
        <v>Returned</v>
      </c>
      <c r="P1443" s="2" t="s">
        <v>30</v>
      </c>
      <c r="Q1443" s="2">
        <v>4</v>
      </c>
      <c r="R1443" s="2" t="s">
        <v>24</v>
      </c>
      <c r="S1443" s="11" t="str">
        <f t="shared" si="113"/>
        <v>Bagus</v>
      </c>
      <c r="T1443" s="2" t="str">
        <f t="shared" si="114"/>
        <v>Sangat Rendah</v>
      </c>
    </row>
    <row r="1444" spans="1:20" ht="15.75" customHeight="1" x14ac:dyDescent="0.3">
      <c r="A1444" s="4" t="s">
        <v>901</v>
      </c>
      <c r="B1444" s="3">
        <v>45656.930266203701</v>
      </c>
      <c r="C1444" s="2" t="s">
        <v>758</v>
      </c>
      <c r="D1444" s="2" t="s">
        <v>238</v>
      </c>
      <c r="E1444" s="2" t="s">
        <v>41</v>
      </c>
      <c r="F1444" s="2">
        <v>4000</v>
      </c>
      <c r="G1444" s="2">
        <v>1</v>
      </c>
      <c r="H1444" s="2">
        <v>5</v>
      </c>
      <c r="I1444">
        <f t="shared" si="110"/>
        <v>4000</v>
      </c>
      <c r="J1444">
        <f t="shared" si="111"/>
        <v>200</v>
      </c>
      <c r="K1444" s="6">
        <f t="shared" si="112"/>
        <v>3800</v>
      </c>
      <c r="L1444" s="2">
        <v>28000</v>
      </c>
      <c r="M1444" s="6">
        <f>Table1[[#This Row],[Total Sales]]+Table1[[#This Row],[Shipping Fee]]</f>
        <v>31800</v>
      </c>
      <c r="N1444" s="2" t="s">
        <v>35</v>
      </c>
      <c r="O1444" t="str">
        <f>VLOOKUP(Table1[[#This Row],[Order ID]],Status!A:B, 2,FALSE)</f>
        <v>Completed</v>
      </c>
      <c r="P1444" s="2" t="s">
        <v>30</v>
      </c>
      <c r="Q1444" s="2">
        <v>1</v>
      </c>
      <c r="R1444" s="2" t="s">
        <v>24</v>
      </c>
      <c r="S1444" s="11" t="str">
        <f t="shared" si="113"/>
        <v>Rendah</v>
      </c>
      <c r="T1444" s="2" t="str">
        <f t="shared" si="114"/>
        <v>Sangat Rendah</v>
      </c>
    </row>
    <row r="1445" spans="1:20" ht="15.75" customHeight="1" x14ac:dyDescent="0.3">
      <c r="A1445" s="4" t="s">
        <v>899</v>
      </c>
      <c r="B1445" s="3">
        <v>45656.917453703703</v>
      </c>
      <c r="C1445" s="2" t="s">
        <v>900</v>
      </c>
      <c r="D1445" s="2" t="s">
        <v>27</v>
      </c>
      <c r="E1445" s="2" t="s">
        <v>34</v>
      </c>
      <c r="F1445" s="2">
        <v>16000</v>
      </c>
      <c r="G1445" s="2">
        <v>4</v>
      </c>
      <c r="H1445" s="2">
        <v>15</v>
      </c>
      <c r="I1445">
        <f t="shared" si="110"/>
        <v>64000</v>
      </c>
      <c r="J1445">
        <f t="shared" si="111"/>
        <v>9600</v>
      </c>
      <c r="K1445" s="6">
        <f t="shared" si="112"/>
        <v>54400</v>
      </c>
      <c r="L1445" s="2">
        <v>17000</v>
      </c>
      <c r="M1445" s="6">
        <f>Table1[[#This Row],[Total Sales]]+Table1[[#This Row],[Shipping Fee]]</f>
        <v>71400</v>
      </c>
      <c r="N1445" s="2" t="s">
        <v>29</v>
      </c>
      <c r="O1445" t="str">
        <f>VLOOKUP(Table1[[#This Row],[Order ID]],Status!A:B, 2,FALSE)</f>
        <v>Returned</v>
      </c>
      <c r="P1445" s="2" t="s">
        <v>82</v>
      </c>
      <c r="Q1445" s="2">
        <v>2</v>
      </c>
      <c r="R1445" s="2" t="s">
        <v>24</v>
      </c>
      <c r="S1445" s="11" t="str">
        <f t="shared" si="113"/>
        <v>Rendah</v>
      </c>
      <c r="T1445" s="2" t="str">
        <f t="shared" si="114"/>
        <v>Rendah</v>
      </c>
    </row>
    <row r="1446" spans="1:20" ht="15.75" customHeight="1" x14ac:dyDescent="0.3">
      <c r="A1446" s="4" t="s">
        <v>897</v>
      </c>
      <c r="B1446" s="3">
        <v>45656.804756944453</v>
      </c>
      <c r="C1446" s="2" t="s">
        <v>898</v>
      </c>
      <c r="D1446" s="2" t="s">
        <v>195</v>
      </c>
      <c r="E1446" s="2" t="s">
        <v>174</v>
      </c>
      <c r="F1446" s="2">
        <v>10000</v>
      </c>
      <c r="G1446" s="2">
        <v>4</v>
      </c>
      <c r="H1446" s="2">
        <v>5</v>
      </c>
      <c r="I1446">
        <f t="shared" si="110"/>
        <v>40000</v>
      </c>
      <c r="J1446">
        <f t="shared" si="111"/>
        <v>2000</v>
      </c>
      <c r="K1446" s="6">
        <f t="shared" si="112"/>
        <v>38000</v>
      </c>
      <c r="L1446" s="2">
        <v>87000</v>
      </c>
      <c r="M1446" s="6">
        <f>Table1[[#This Row],[Total Sales]]+Table1[[#This Row],[Shipping Fee]]</f>
        <v>125000</v>
      </c>
      <c r="N1446" s="2" t="s">
        <v>29</v>
      </c>
      <c r="O1446" t="str">
        <f>VLOOKUP(Table1[[#This Row],[Order ID]],Status!A:B, 2,FALSE)</f>
        <v>Completed</v>
      </c>
      <c r="P1446" s="2" t="s">
        <v>82</v>
      </c>
      <c r="Q1446" s="2">
        <v>2</v>
      </c>
      <c r="R1446" s="2" t="s">
        <v>24</v>
      </c>
      <c r="S1446" s="11" t="str">
        <f t="shared" si="113"/>
        <v>Rendah</v>
      </c>
      <c r="T1446" s="2" t="str">
        <f t="shared" si="114"/>
        <v>Sangat Rendah</v>
      </c>
    </row>
    <row r="1447" spans="1:20" ht="15.75" customHeight="1" x14ac:dyDescent="0.3">
      <c r="A1447" s="4" t="s">
        <v>896</v>
      </c>
      <c r="B1447" s="3">
        <v>45656.280972222223</v>
      </c>
      <c r="C1447" s="2" t="s">
        <v>299</v>
      </c>
      <c r="D1447" s="2" t="s">
        <v>163</v>
      </c>
      <c r="E1447" s="2" t="s">
        <v>88</v>
      </c>
      <c r="F1447" s="2">
        <v>14000</v>
      </c>
      <c r="G1447" s="2">
        <v>5</v>
      </c>
      <c r="H1447" s="2">
        <v>15</v>
      </c>
      <c r="I1447">
        <f t="shared" si="110"/>
        <v>70000</v>
      </c>
      <c r="J1447">
        <f t="shared" si="111"/>
        <v>10500</v>
      </c>
      <c r="K1447" s="6">
        <f t="shared" si="112"/>
        <v>59500</v>
      </c>
      <c r="L1447" s="2">
        <v>50000</v>
      </c>
      <c r="M1447" s="6">
        <f>Table1[[#This Row],[Total Sales]]+Table1[[#This Row],[Shipping Fee]]</f>
        <v>109500</v>
      </c>
      <c r="N1447" s="2" t="s">
        <v>22</v>
      </c>
      <c r="O1447" t="str">
        <f>VLOOKUP(Table1[[#This Row],[Order ID]],Status!A:B, 2,FALSE)</f>
        <v>Completed</v>
      </c>
      <c r="P1447" s="2" t="s">
        <v>46</v>
      </c>
      <c r="Q1447" s="2">
        <v>5</v>
      </c>
      <c r="R1447" s="2" t="s">
        <v>24</v>
      </c>
      <c r="S1447" s="11" t="str">
        <f t="shared" si="113"/>
        <v>Bagus</v>
      </c>
      <c r="T1447" s="2" t="str">
        <f t="shared" si="114"/>
        <v>Normal</v>
      </c>
    </row>
    <row r="1448" spans="1:20" ht="15.75" customHeight="1" x14ac:dyDescent="0.3">
      <c r="A1448" s="4" t="s">
        <v>895</v>
      </c>
      <c r="B1448" s="3">
        <v>45655.817673611113</v>
      </c>
      <c r="C1448" s="2" t="s">
        <v>551</v>
      </c>
      <c r="D1448" s="2" t="s">
        <v>262</v>
      </c>
      <c r="E1448" s="2" t="s">
        <v>144</v>
      </c>
      <c r="F1448" s="2">
        <v>18000</v>
      </c>
      <c r="G1448" s="2">
        <v>2</v>
      </c>
      <c r="H1448" s="2">
        <v>0</v>
      </c>
      <c r="I1448">
        <f t="shared" si="110"/>
        <v>36000</v>
      </c>
      <c r="J1448">
        <f t="shared" si="111"/>
        <v>0</v>
      </c>
      <c r="K1448" s="6">
        <f t="shared" si="112"/>
        <v>36000</v>
      </c>
      <c r="L1448" s="2">
        <v>18000</v>
      </c>
      <c r="M1448" s="6">
        <f>Table1[[#This Row],[Total Sales]]+Table1[[#This Row],[Shipping Fee]]</f>
        <v>54000</v>
      </c>
      <c r="N1448" s="2" t="s">
        <v>29</v>
      </c>
      <c r="O1448" t="str">
        <f>VLOOKUP(Table1[[#This Row],[Order ID]],Status!A:B, 2,FALSE)</f>
        <v>Cancelled</v>
      </c>
      <c r="P1448" s="2" t="s">
        <v>46</v>
      </c>
      <c r="Q1448" s="2">
        <v>2</v>
      </c>
      <c r="R1448" s="2" t="s">
        <v>37</v>
      </c>
      <c r="S1448" s="11" t="str">
        <f t="shared" si="113"/>
        <v>Rendah</v>
      </c>
      <c r="T1448" s="2" t="str">
        <f t="shared" si="114"/>
        <v>Sangat Rendah</v>
      </c>
    </row>
    <row r="1449" spans="1:20" ht="15.75" customHeight="1" x14ac:dyDescent="0.3">
      <c r="A1449" s="4" t="s">
        <v>894</v>
      </c>
      <c r="B1449" s="3">
        <v>45655.458425925928</v>
      </c>
      <c r="C1449" s="2" t="s">
        <v>100</v>
      </c>
      <c r="D1449" s="2" t="s">
        <v>66</v>
      </c>
      <c r="E1449" s="2" t="s">
        <v>28</v>
      </c>
      <c r="F1449" s="2">
        <v>5000</v>
      </c>
      <c r="G1449" s="2">
        <v>3</v>
      </c>
      <c r="H1449" s="2">
        <v>10</v>
      </c>
      <c r="I1449">
        <f t="shared" si="110"/>
        <v>15000</v>
      </c>
      <c r="J1449">
        <f t="shared" si="111"/>
        <v>1500</v>
      </c>
      <c r="K1449" s="6">
        <f t="shared" si="112"/>
        <v>13500</v>
      </c>
      <c r="L1449" s="2">
        <v>59000</v>
      </c>
      <c r="M1449" s="6">
        <f>Table1[[#This Row],[Total Sales]]+Table1[[#This Row],[Shipping Fee]]</f>
        <v>72500</v>
      </c>
      <c r="N1449" s="2" t="s">
        <v>22</v>
      </c>
      <c r="O1449" t="str">
        <f>VLOOKUP(Table1[[#This Row],[Order ID]],Status!A:B, 2,FALSE)</f>
        <v>Returned</v>
      </c>
      <c r="P1449" s="2" t="s">
        <v>30</v>
      </c>
      <c r="Q1449" s="2">
        <v>4</v>
      </c>
      <c r="R1449" s="2" t="s">
        <v>24</v>
      </c>
      <c r="S1449" s="11" t="str">
        <f t="shared" si="113"/>
        <v>Bagus</v>
      </c>
      <c r="T1449" s="2" t="str">
        <f t="shared" si="114"/>
        <v>Sangat Rendah</v>
      </c>
    </row>
    <row r="1450" spans="1:20" ht="15.75" customHeight="1" x14ac:dyDescent="0.3">
      <c r="A1450" s="4" t="s">
        <v>893</v>
      </c>
      <c r="B1450" s="3">
        <v>45655.374756944453</v>
      </c>
      <c r="C1450" s="2" t="s">
        <v>331</v>
      </c>
      <c r="D1450" s="2" t="s">
        <v>20</v>
      </c>
      <c r="E1450" s="2" t="s">
        <v>104</v>
      </c>
      <c r="F1450" s="2">
        <v>30000</v>
      </c>
      <c r="G1450" s="2">
        <v>2</v>
      </c>
      <c r="H1450" s="2">
        <v>20</v>
      </c>
      <c r="I1450">
        <f t="shared" si="110"/>
        <v>60000</v>
      </c>
      <c r="J1450">
        <f t="shared" si="111"/>
        <v>12000</v>
      </c>
      <c r="K1450" s="6">
        <f t="shared" si="112"/>
        <v>48000</v>
      </c>
      <c r="L1450" s="2">
        <v>15000</v>
      </c>
      <c r="M1450" s="6">
        <f>Table1[[#This Row],[Total Sales]]+Table1[[#This Row],[Shipping Fee]]</f>
        <v>63000</v>
      </c>
      <c r="N1450" s="2" t="s">
        <v>22</v>
      </c>
      <c r="O1450" t="str">
        <f>VLOOKUP(Table1[[#This Row],[Order ID]],Status!A:B, 2,FALSE)</f>
        <v>Completed</v>
      </c>
      <c r="P1450" s="2" t="s">
        <v>82</v>
      </c>
      <c r="Q1450" s="2">
        <v>1</v>
      </c>
      <c r="R1450" s="2" t="s">
        <v>37</v>
      </c>
      <c r="S1450" s="11" t="str">
        <f t="shared" si="113"/>
        <v>Rendah</v>
      </c>
      <c r="T1450" s="2" t="str">
        <f t="shared" si="114"/>
        <v>Normal</v>
      </c>
    </row>
    <row r="1451" spans="1:20" ht="15.75" customHeight="1" x14ac:dyDescent="0.3">
      <c r="A1451" s="4" t="s">
        <v>892</v>
      </c>
      <c r="B1451" s="3">
        <v>45655.187175925923</v>
      </c>
      <c r="C1451" s="2" t="s">
        <v>91</v>
      </c>
      <c r="D1451" s="2" t="s">
        <v>92</v>
      </c>
      <c r="E1451" s="2" t="s">
        <v>190</v>
      </c>
      <c r="F1451" s="2">
        <v>35000</v>
      </c>
      <c r="G1451" s="2">
        <v>1</v>
      </c>
      <c r="H1451" s="2">
        <v>10</v>
      </c>
      <c r="I1451">
        <f t="shared" si="110"/>
        <v>35000</v>
      </c>
      <c r="J1451">
        <f t="shared" si="111"/>
        <v>3500</v>
      </c>
      <c r="K1451" s="6">
        <f t="shared" si="112"/>
        <v>31500</v>
      </c>
      <c r="L1451" s="2">
        <v>30000</v>
      </c>
      <c r="M1451" s="6">
        <f>Table1[[#This Row],[Total Sales]]+Table1[[#This Row],[Shipping Fee]]</f>
        <v>61500</v>
      </c>
      <c r="N1451" s="2" t="s">
        <v>63</v>
      </c>
      <c r="O1451" t="str">
        <f>VLOOKUP(Table1[[#This Row],[Order ID]],Status!A:B, 2,FALSE)</f>
        <v>Completed</v>
      </c>
      <c r="P1451" s="2" t="s">
        <v>82</v>
      </c>
      <c r="Q1451" s="2">
        <v>3</v>
      </c>
      <c r="R1451" s="2" t="s">
        <v>24</v>
      </c>
      <c r="S1451" s="11" t="str">
        <f t="shared" si="113"/>
        <v>Standar</v>
      </c>
      <c r="T1451" s="2" t="str">
        <f t="shared" si="114"/>
        <v>Sangat Rendah</v>
      </c>
    </row>
    <row r="1452" spans="1:20" ht="15.75" customHeight="1" x14ac:dyDescent="0.3">
      <c r="A1452" s="4" t="s">
        <v>890</v>
      </c>
      <c r="B1452" s="3">
        <v>45655.068379629629</v>
      </c>
      <c r="C1452" s="2" t="s">
        <v>891</v>
      </c>
      <c r="D1452" s="2" t="s">
        <v>126</v>
      </c>
      <c r="E1452" s="2" t="s">
        <v>144</v>
      </c>
      <c r="F1452" s="2">
        <v>18000</v>
      </c>
      <c r="G1452" s="2">
        <v>4</v>
      </c>
      <c r="H1452" s="2">
        <v>5</v>
      </c>
      <c r="I1452">
        <f t="shared" si="110"/>
        <v>72000</v>
      </c>
      <c r="J1452">
        <f t="shared" si="111"/>
        <v>3600</v>
      </c>
      <c r="K1452" s="6">
        <f t="shared" si="112"/>
        <v>68400</v>
      </c>
      <c r="L1452" s="2">
        <v>84000</v>
      </c>
      <c r="M1452" s="6">
        <f>Table1[[#This Row],[Total Sales]]+Table1[[#This Row],[Shipping Fee]]</f>
        <v>152400</v>
      </c>
      <c r="N1452" s="2" t="s">
        <v>35</v>
      </c>
      <c r="O1452" t="str">
        <f>VLOOKUP(Table1[[#This Row],[Order ID]],Status!A:B, 2,FALSE)</f>
        <v>Completed</v>
      </c>
      <c r="P1452" s="2" t="s">
        <v>46</v>
      </c>
      <c r="Q1452" s="2">
        <v>1</v>
      </c>
      <c r="R1452" s="2" t="s">
        <v>37</v>
      </c>
      <c r="S1452" s="11" t="str">
        <f t="shared" si="113"/>
        <v>Rendah</v>
      </c>
      <c r="T1452" s="2" t="str">
        <f t="shared" si="114"/>
        <v>Sangat Rendah</v>
      </c>
    </row>
    <row r="1453" spans="1:20" ht="15.75" customHeight="1" x14ac:dyDescent="0.3">
      <c r="A1453" s="4" t="s">
        <v>889</v>
      </c>
      <c r="B1453" s="3">
        <v>45655.067314814813</v>
      </c>
      <c r="C1453" s="2" t="s">
        <v>167</v>
      </c>
      <c r="D1453" s="2" t="s">
        <v>44</v>
      </c>
      <c r="E1453" s="2" t="s">
        <v>62</v>
      </c>
      <c r="F1453" s="2">
        <v>50000</v>
      </c>
      <c r="G1453" s="2">
        <v>2</v>
      </c>
      <c r="H1453" s="2">
        <v>0</v>
      </c>
      <c r="I1453">
        <f t="shared" si="110"/>
        <v>100000</v>
      </c>
      <c r="J1453">
        <f t="shared" si="111"/>
        <v>0</v>
      </c>
      <c r="K1453" s="6">
        <f t="shared" si="112"/>
        <v>100000</v>
      </c>
      <c r="L1453" s="2">
        <v>93000</v>
      </c>
      <c r="M1453" s="6">
        <f>Table1[[#This Row],[Total Sales]]+Table1[[#This Row],[Shipping Fee]]</f>
        <v>193000</v>
      </c>
      <c r="N1453" s="2" t="s">
        <v>35</v>
      </c>
      <c r="O1453" t="str">
        <f>VLOOKUP(Table1[[#This Row],[Order ID]],Status!A:B, 2,FALSE)</f>
        <v>Completed</v>
      </c>
      <c r="P1453" s="2" t="s">
        <v>46</v>
      </c>
      <c r="Q1453" s="2">
        <v>1</v>
      </c>
      <c r="R1453" s="2" t="s">
        <v>24</v>
      </c>
      <c r="S1453" s="11" t="str">
        <f t="shared" si="113"/>
        <v>Rendah</v>
      </c>
      <c r="T1453" s="2" t="str">
        <f t="shared" si="114"/>
        <v>Sangat Rendah</v>
      </c>
    </row>
    <row r="1454" spans="1:20" ht="15.75" customHeight="1" x14ac:dyDescent="0.3">
      <c r="A1454" s="4" t="s">
        <v>888</v>
      </c>
      <c r="B1454" s="3">
        <v>45654.936238425929</v>
      </c>
      <c r="C1454" s="2" t="s">
        <v>782</v>
      </c>
      <c r="D1454" s="2" t="s">
        <v>177</v>
      </c>
      <c r="E1454" s="2" t="s">
        <v>138</v>
      </c>
      <c r="F1454" s="2">
        <v>17000</v>
      </c>
      <c r="G1454" s="2">
        <v>4</v>
      </c>
      <c r="H1454" s="2">
        <v>20</v>
      </c>
      <c r="I1454">
        <f t="shared" si="110"/>
        <v>68000</v>
      </c>
      <c r="J1454">
        <f t="shared" si="111"/>
        <v>13600</v>
      </c>
      <c r="K1454" s="6">
        <f t="shared" si="112"/>
        <v>54400</v>
      </c>
      <c r="L1454" s="2">
        <v>56000</v>
      </c>
      <c r="M1454" s="6">
        <f>Table1[[#This Row],[Total Sales]]+Table1[[#This Row],[Shipping Fee]]</f>
        <v>110400</v>
      </c>
      <c r="N1454" s="2" t="s">
        <v>29</v>
      </c>
      <c r="O1454" t="str">
        <f>VLOOKUP(Table1[[#This Row],[Order ID]],Status!A:B, 2,FALSE)</f>
        <v>Completed</v>
      </c>
      <c r="P1454" s="2" t="s">
        <v>82</v>
      </c>
      <c r="Q1454" s="2">
        <v>3</v>
      </c>
      <c r="R1454" s="2" t="s">
        <v>24</v>
      </c>
      <c r="S1454" s="11" t="str">
        <f t="shared" si="113"/>
        <v>Standar</v>
      </c>
      <c r="T1454" s="2" t="str">
        <f t="shared" si="114"/>
        <v>Normal</v>
      </c>
    </row>
    <row r="1455" spans="1:20" ht="15.75" customHeight="1" x14ac:dyDescent="0.3">
      <c r="A1455" s="4" t="s">
        <v>887</v>
      </c>
      <c r="B1455" s="3">
        <v>45654.920648148152</v>
      </c>
      <c r="C1455" s="2" t="s">
        <v>128</v>
      </c>
      <c r="D1455" s="2" t="s">
        <v>103</v>
      </c>
      <c r="E1455" s="2" t="s">
        <v>93</v>
      </c>
      <c r="F1455" s="2">
        <v>25000</v>
      </c>
      <c r="G1455" s="2">
        <v>5</v>
      </c>
      <c r="H1455" s="2">
        <v>20</v>
      </c>
      <c r="I1455">
        <f t="shared" si="110"/>
        <v>125000</v>
      </c>
      <c r="J1455">
        <f t="shared" si="111"/>
        <v>25000</v>
      </c>
      <c r="K1455" s="6">
        <f t="shared" si="112"/>
        <v>100000</v>
      </c>
      <c r="L1455" s="2">
        <v>85000</v>
      </c>
      <c r="M1455" s="6">
        <f>Table1[[#This Row],[Total Sales]]+Table1[[#This Row],[Shipping Fee]]</f>
        <v>185000</v>
      </c>
      <c r="N1455" s="2" t="s">
        <v>22</v>
      </c>
      <c r="O1455" t="str">
        <f>VLOOKUP(Table1[[#This Row],[Order ID]],Status!A:B, 2,FALSE)</f>
        <v>Completed</v>
      </c>
      <c r="P1455" s="2" t="s">
        <v>36</v>
      </c>
      <c r="Q1455" s="2">
        <v>5</v>
      </c>
      <c r="R1455" s="2" t="s">
        <v>37</v>
      </c>
      <c r="S1455" s="11" t="str">
        <f t="shared" si="113"/>
        <v>Bagus</v>
      </c>
      <c r="T1455" s="2" t="str">
        <f t="shared" si="114"/>
        <v>Tinggi</v>
      </c>
    </row>
    <row r="1456" spans="1:20" ht="15.75" customHeight="1" x14ac:dyDescent="0.3">
      <c r="A1456" s="4" t="s">
        <v>886</v>
      </c>
      <c r="B1456" s="3">
        <v>45654.837314814817</v>
      </c>
      <c r="C1456" s="2" t="s">
        <v>488</v>
      </c>
      <c r="D1456" s="2" t="s">
        <v>49</v>
      </c>
      <c r="E1456" s="2" t="s">
        <v>123</v>
      </c>
      <c r="F1456" s="2">
        <v>22000</v>
      </c>
      <c r="G1456" s="2">
        <v>2</v>
      </c>
      <c r="H1456" s="2">
        <v>15</v>
      </c>
      <c r="I1456">
        <f t="shared" si="110"/>
        <v>44000</v>
      </c>
      <c r="J1456">
        <f t="shared" si="111"/>
        <v>6600</v>
      </c>
      <c r="K1456" s="6">
        <f t="shared" si="112"/>
        <v>37400</v>
      </c>
      <c r="L1456" s="2">
        <v>43000</v>
      </c>
      <c r="M1456" s="6">
        <f>Table1[[#This Row],[Total Sales]]+Table1[[#This Row],[Shipping Fee]]</f>
        <v>80400</v>
      </c>
      <c r="N1456" s="2" t="s">
        <v>29</v>
      </c>
      <c r="O1456" t="str">
        <f>VLOOKUP(Table1[[#This Row],[Order ID]],Status!A:B, 2,FALSE)</f>
        <v>Cancelled</v>
      </c>
      <c r="P1456" s="2" t="s">
        <v>46</v>
      </c>
      <c r="Q1456" s="2">
        <v>2</v>
      </c>
      <c r="R1456" s="2" t="s">
        <v>24</v>
      </c>
      <c r="S1456" s="11" t="str">
        <f t="shared" si="113"/>
        <v>Rendah</v>
      </c>
      <c r="T1456" s="2" t="str">
        <f t="shared" si="114"/>
        <v>Rendah</v>
      </c>
    </row>
    <row r="1457" spans="1:20" ht="15.75" customHeight="1" x14ac:dyDescent="0.3">
      <c r="A1457" s="4" t="s">
        <v>885</v>
      </c>
      <c r="B1457" s="3">
        <v>45654.772094907406</v>
      </c>
      <c r="C1457" s="2" t="s">
        <v>400</v>
      </c>
      <c r="D1457" s="2" t="s">
        <v>27</v>
      </c>
      <c r="E1457" s="2" t="s">
        <v>28</v>
      </c>
      <c r="F1457" s="2">
        <v>5000</v>
      </c>
      <c r="G1457" s="2">
        <v>4</v>
      </c>
      <c r="H1457" s="2">
        <v>15</v>
      </c>
      <c r="I1457">
        <f t="shared" si="110"/>
        <v>20000</v>
      </c>
      <c r="J1457">
        <f t="shared" si="111"/>
        <v>3000</v>
      </c>
      <c r="K1457" s="6">
        <f t="shared" si="112"/>
        <v>17000</v>
      </c>
      <c r="L1457" s="2">
        <v>17000</v>
      </c>
      <c r="M1457" s="6">
        <f>Table1[[#This Row],[Total Sales]]+Table1[[#This Row],[Shipping Fee]]</f>
        <v>34000</v>
      </c>
      <c r="N1457" s="2" t="s">
        <v>22</v>
      </c>
      <c r="O1457" t="str">
        <f>VLOOKUP(Table1[[#This Row],[Order ID]],Status!A:B, 2,FALSE)</f>
        <v>Completed</v>
      </c>
      <c r="P1457" s="2" t="s">
        <v>23</v>
      </c>
      <c r="Q1457" s="2">
        <v>5</v>
      </c>
      <c r="R1457" s="2" t="s">
        <v>24</v>
      </c>
      <c r="S1457" s="11" t="str">
        <f t="shared" si="113"/>
        <v>Bagus</v>
      </c>
      <c r="T1457" s="2" t="str">
        <f t="shared" si="114"/>
        <v>Sangat Rendah</v>
      </c>
    </row>
    <row r="1458" spans="1:20" ht="15.75" customHeight="1" x14ac:dyDescent="0.3">
      <c r="A1458" s="4" t="s">
        <v>884</v>
      </c>
      <c r="B1458" s="3">
        <v>45654.560034722221</v>
      </c>
      <c r="C1458" s="2" t="s">
        <v>261</v>
      </c>
      <c r="D1458" s="2" t="s">
        <v>262</v>
      </c>
      <c r="E1458" s="2" t="s">
        <v>110</v>
      </c>
      <c r="F1458" s="2">
        <v>6000</v>
      </c>
      <c r="G1458" s="2">
        <v>3</v>
      </c>
      <c r="H1458" s="2">
        <v>15</v>
      </c>
      <c r="I1458">
        <f t="shared" si="110"/>
        <v>18000</v>
      </c>
      <c r="J1458">
        <f t="shared" si="111"/>
        <v>2700</v>
      </c>
      <c r="K1458" s="6">
        <f t="shared" si="112"/>
        <v>15300</v>
      </c>
      <c r="L1458" s="2">
        <v>18000</v>
      </c>
      <c r="M1458" s="6">
        <f>Table1[[#This Row],[Total Sales]]+Table1[[#This Row],[Shipping Fee]]</f>
        <v>33300</v>
      </c>
      <c r="N1458" s="2" t="s">
        <v>63</v>
      </c>
      <c r="O1458" t="str">
        <f>VLOOKUP(Table1[[#This Row],[Order ID]],Status!A:B, 2,FALSE)</f>
        <v>Completed</v>
      </c>
      <c r="P1458" s="2" t="s">
        <v>30</v>
      </c>
      <c r="Q1458" s="2">
        <v>2</v>
      </c>
      <c r="R1458" s="2" t="s">
        <v>24</v>
      </c>
      <c r="S1458" s="11" t="str">
        <f t="shared" si="113"/>
        <v>Rendah</v>
      </c>
      <c r="T1458" s="2" t="str">
        <f t="shared" si="114"/>
        <v>Sangat Rendah</v>
      </c>
    </row>
    <row r="1459" spans="1:20" ht="15.75" customHeight="1" x14ac:dyDescent="0.3">
      <c r="A1459" s="4" t="s">
        <v>882</v>
      </c>
      <c r="B1459" s="3">
        <v>45654.514606481483</v>
      </c>
      <c r="C1459" s="2" t="s">
        <v>883</v>
      </c>
      <c r="D1459" s="2" t="s">
        <v>44</v>
      </c>
      <c r="E1459" s="2" t="s">
        <v>123</v>
      </c>
      <c r="F1459" s="2">
        <v>22000</v>
      </c>
      <c r="G1459" s="2">
        <v>2</v>
      </c>
      <c r="H1459" s="2">
        <v>10</v>
      </c>
      <c r="I1459">
        <f t="shared" si="110"/>
        <v>44000</v>
      </c>
      <c r="J1459">
        <f t="shared" si="111"/>
        <v>4400</v>
      </c>
      <c r="K1459" s="6">
        <f t="shared" si="112"/>
        <v>39600</v>
      </c>
      <c r="L1459" s="2">
        <v>93000</v>
      </c>
      <c r="M1459" s="6">
        <f>Table1[[#This Row],[Total Sales]]+Table1[[#This Row],[Shipping Fee]]</f>
        <v>132600</v>
      </c>
      <c r="N1459" s="2" t="s">
        <v>63</v>
      </c>
      <c r="O1459" t="str">
        <f>VLOOKUP(Table1[[#This Row],[Order ID]],Status!A:B, 2,FALSE)</f>
        <v>Completed</v>
      </c>
      <c r="P1459" s="2" t="s">
        <v>30</v>
      </c>
      <c r="Q1459" s="2">
        <v>1</v>
      </c>
      <c r="R1459" s="2" t="s">
        <v>37</v>
      </c>
      <c r="S1459" s="11" t="str">
        <f t="shared" si="113"/>
        <v>Rendah</v>
      </c>
      <c r="T1459" s="2" t="str">
        <f t="shared" si="114"/>
        <v>Sangat Rendah</v>
      </c>
    </row>
    <row r="1460" spans="1:20" ht="15.75" customHeight="1" x14ac:dyDescent="0.3">
      <c r="A1460" s="4" t="s">
        <v>882</v>
      </c>
      <c r="B1460" s="3">
        <v>45654.514606481483</v>
      </c>
      <c r="C1460" s="2" t="s">
        <v>883</v>
      </c>
      <c r="D1460" s="2" t="s">
        <v>44</v>
      </c>
      <c r="E1460" s="2" t="s">
        <v>28</v>
      </c>
      <c r="F1460" s="2">
        <v>5000</v>
      </c>
      <c r="G1460" s="2">
        <v>2</v>
      </c>
      <c r="H1460" s="2">
        <v>10</v>
      </c>
      <c r="I1460">
        <f t="shared" si="110"/>
        <v>10000</v>
      </c>
      <c r="J1460">
        <f t="shared" si="111"/>
        <v>1000</v>
      </c>
      <c r="K1460" s="6">
        <f t="shared" si="112"/>
        <v>9000</v>
      </c>
      <c r="L1460" s="2">
        <v>0</v>
      </c>
      <c r="M1460" s="6">
        <f>Table1[[#This Row],[Total Sales]]+Table1[[#This Row],[Shipping Fee]]</f>
        <v>9000</v>
      </c>
      <c r="N1460" s="2" t="s">
        <v>63</v>
      </c>
      <c r="O1460" t="str">
        <f>VLOOKUP(Table1[[#This Row],[Order ID]],Status!A:B, 2,FALSE)</f>
        <v>Completed</v>
      </c>
      <c r="P1460" s="2" t="s">
        <v>30</v>
      </c>
      <c r="Q1460" s="2">
        <v>1</v>
      </c>
      <c r="R1460" s="2" t="s">
        <v>37</v>
      </c>
      <c r="S1460" s="11" t="str">
        <f t="shared" si="113"/>
        <v>Rendah</v>
      </c>
      <c r="T1460" s="2" t="str">
        <f t="shared" si="114"/>
        <v>Sangat Rendah</v>
      </c>
    </row>
    <row r="1461" spans="1:20" ht="15.75" customHeight="1" x14ac:dyDescent="0.3">
      <c r="A1461" s="4" t="s">
        <v>881</v>
      </c>
      <c r="B1461" s="3">
        <v>45654.502337962957</v>
      </c>
      <c r="C1461" s="2" t="s">
        <v>275</v>
      </c>
      <c r="D1461" s="2" t="s">
        <v>96</v>
      </c>
      <c r="E1461" s="2" t="s">
        <v>67</v>
      </c>
      <c r="F1461" s="2">
        <v>15000</v>
      </c>
      <c r="G1461" s="2">
        <v>2</v>
      </c>
      <c r="H1461" s="2">
        <v>0</v>
      </c>
      <c r="I1461">
        <f t="shared" si="110"/>
        <v>30000</v>
      </c>
      <c r="J1461">
        <f t="shared" si="111"/>
        <v>0</v>
      </c>
      <c r="K1461" s="6">
        <f t="shared" si="112"/>
        <v>30000</v>
      </c>
      <c r="L1461" s="2">
        <v>49000</v>
      </c>
      <c r="M1461" s="6">
        <f>Table1[[#This Row],[Total Sales]]+Table1[[#This Row],[Shipping Fee]]</f>
        <v>79000</v>
      </c>
      <c r="N1461" s="2" t="s">
        <v>35</v>
      </c>
      <c r="O1461" t="str">
        <f>VLOOKUP(Table1[[#This Row],[Order ID]],Status!A:B, 2,FALSE)</f>
        <v>Completed</v>
      </c>
      <c r="P1461" s="2" t="s">
        <v>30</v>
      </c>
      <c r="Q1461" s="2">
        <v>3</v>
      </c>
      <c r="R1461" s="2" t="s">
        <v>24</v>
      </c>
      <c r="S1461" s="11" t="str">
        <f t="shared" si="113"/>
        <v>Standar</v>
      </c>
      <c r="T1461" s="2" t="str">
        <f t="shared" si="114"/>
        <v>Sangat Rendah</v>
      </c>
    </row>
    <row r="1462" spans="1:20" ht="15.75" customHeight="1" x14ac:dyDescent="0.3">
      <c r="A1462" s="4" t="s">
        <v>881</v>
      </c>
      <c r="B1462" s="3">
        <v>45654.502337962957</v>
      </c>
      <c r="C1462" s="2" t="s">
        <v>275</v>
      </c>
      <c r="D1462" s="2" t="s">
        <v>96</v>
      </c>
      <c r="E1462" s="2" t="s">
        <v>85</v>
      </c>
      <c r="F1462" s="2">
        <v>35000</v>
      </c>
      <c r="G1462" s="2">
        <v>1</v>
      </c>
      <c r="H1462" s="2">
        <v>5</v>
      </c>
      <c r="I1462">
        <f t="shared" si="110"/>
        <v>35000</v>
      </c>
      <c r="J1462">
        <f t="shared" si="111"/>
        <v>1750</v>
      </c>
      <c r="K1462" s="6">
        <f t="shared" si="112"/>
        <v>33250</v>
      </c>
      <c r="L1462" s="2">
        <v>0</v>
      </c>
      <c r="M1462" s="6">
        <f>Table1[[#This Row],[Total Sales]]+Table1[[#This Row],[Shipping Fee]]</f>
        <v>33250</v>
      </c>
      <c r="N1462" s="2" t="s">
        <v>35</v>
      </c>
      <c r="O1462" t="str">
        <f>VLOOKUP(Table1[[#This Row],[Order ID]],Status!A:B, 2,FALSE)</f>
        <v>Completed</v>
      </c>
      <c r="P1462" s="2" t="s">
        <v>30</v>
      </c>
      <c r="Q1462" s="2">
        <v>3</v>
      </c>
      <c r="R1462" s="2" t="s">
        <v>24</v>
      </c>
      <c r="S1462" s="11" t="str">
        <f t="shared" si="113"/>
        <v>Standar</v>
      </c>
      <c r="T1462" s="2" t="str">
        <f t="shared" si="114"/>
        <v>Sangat Rendah</v>
      </c>
    </row>
    <row r="1463" spans="1:20" ht="15.75" customHeight="1" x14ac:dyDescent="0.3">
      <c r="A1463" s="4" t="s">
        <v>880</v>
      </c>
      <c r="B1463" s="3">
        <v>45654.395462962973</v>
      </c>
      <c r="C1463" s="2" t="s">
        <v>371</v>
      </c>
      <c r="D1463" s="2" t="s">
        <v>27</v>
      </c>
      <c r="E1463" s="2" t="s">
        <v>38</v>
      </c>
      <c r="F1463" s="2">
        <v>28000</v>
      </c>
      <c r="G1463" s="2">
        <v>3</v>
      </c>
      <c r="H1463" s="2">
        <v>5</v>
      </c>
      <c r="I1463">
        <f t="shared" si="110"/>
        <v>84000</v>
      </c>
      <c r="J1463">
        <f t="shared" si="111"/>
        <v>4200</v>
      </c>
      <c r="K1463" s="6">
        <f t="shared" si="112"/>
        <v>79800</v>
      </c>
      <c r="L1463" s="2">
        <v>17000</v>
      </c>
      <c r="M1463" s="6">
        <f>Table1[[#This Row],[Total Sales]]+Table1[[#This Row],[Shipping Fee]]</f>
        <v>96800</v>
      </c>
      <c r="N1463" s="2" t="s">
        <v>22</v>
      </c>
      <c r="O1463" t="str">
        <f>VLOOKUP(Table1[[#This Row],[Order ID]],Status!A:B, 2,FALSE)</f>
        <v>Completed</v>
      </c>
      <c r="P1463" s="2" t="s">
        <v>82</v>
      </c>
      <c r="Q1463" s="2">
        <v>2</v>
      </c>
      <c r="R1463" s="2" t="s">
        <v>24</v>
      </c>
      <c r="S1463" s="11" t="str">
        <f t="shared" si="113"/>
        <v>Rendah</v>
      </c>
      <c r="T1463" s="2" t="str">
        <f t="shared" si="114"/>
        <v>Sangat Rendah</v>
      </c>
    </row>
    <row r="1464" spans="1:20" ht="15.75" customHeight="1" x14ac:dyDescent="0.3">
      <c r="A1464" s="4" t="s">
        <v>879</v>
      </c>
      <c r="B1464" s="3">
        <v>45653.131284722222</v>
      </c>
      <c r="C1464" s="2" t="s">
        <v>148</v>
      </c>
      <c r="D1464" s="2" t="s">
        <v>74</v>
      </c>
      <c r="E1464" s="2" t="s">
        <v>50</v>
      </c>
      <c r="F1464" s="2">
        <v>14000</v>
      </c>
      <c r="G1464" s="2">
        <v>2</v>
      </c>
      <c r="H1464" s="2">
        <v>15</v>
      </c>
      <c r="I1464">
        <f t="shared" si="110"/>
        <v>28000</v>
      </c>
      <c r="J1464">
        <f t="shared" si="111"/>
        <v>4200</v>
      </c>
      <c r="K1464" s="6">
        <f t="shared" si="112"/>
        <v>23800</v>
      </c>
      <c r="L1464" s="2">
        <v>87000</v>
      </c>
      <c r="M1464" s="6">
        <f>Table1[[#This Row],[Total Sales]]+Table1[[#This Row],[Shipping Fee]]</f>
        <v>110800</v>
      </c>
      <c r="N1464" s="2" t="s">
        <v>22</v>
      </c>
      <c r="O1464" t="str">
        <f>VLOOKUP(Table1[[#This Row],[Order ID]],Status!A:B, 2,FALSE)</f>
        <v>Completed</v>
      </c>
      <c r="P1464" s="2" t="s">
        <v>30</v>
      </c>
      <c r="Q1464" s="2">
        <v>4</v>
      </c>
      <c r="R1464" s="2" t="s">
        <v>24</v>
      </c>
      <c r="S1464" s="11" t="str">
        <f t="shared" si="113"/>
        <v>Bagus</v>
      </c>
      <c r="T1464" s="2" t="str">
        <f t="shared" si="114"/>
        <v>Sangat Rendah</v>
      </c>
    </row>
    <row r="1465" spans="1:20" ht="15.75" customHeight="1" x14ac:dyDescent="0.3">
      <c r="A1465" s="4" t="s">
        <v>878</v>
      </c>
      <c r="B1465" s="3">
        <v>45653.071111111109</v>
      </c>
      <c r="C1465" s="2" t="s">
        <v>201</v>
      </c>
      <c r="D1465" s="2" t="s">
        <v>107</v>
      </c>
      <c r="E1465" s="2" t="s">
        <v>67</v>
      </c>
      <c r="F1465" s="2">
        <v>15000</v>
      </c>
      <c r="G1465" s="2">
        <v>5</v>
      </c>
      <c r="H1465" s="2">
        <v>20</v>
      </c>
      <c r="I1465">
        <f t="shared" si="110"/>
        <v>75000</v>
      </c>
      <c r="J1465">
        <f t="shared" si="111"/>
        <v>15000</v>
      </c>
      <c r="K1465" s="6">
        <f t="shared" si="112"/>
        <v>60000</v>
      </c>
      <c r="L1465" s="2">
        <v>97000</v>
      </c>
      <c r="M1465" s="6">
        <f>Table1[[#This Row],[Total Sales]]+Table1[[#This Row],[Shipping Fee]]</f>
        <v>157000</v>
      </c>
      <c r="N1465" s="2" t="s">
        <v>35</v>
      </c>
      <c r="O1465" t="str">
        <f>VLOOKUP(Table1[[#This Row],[Order ID]],Status!A:B, 2,FALSE)</f>
        <v>Completed</v>
      </c>
      <c r="P1465" s="2" t="s">
        <v>30</v>
      </c>
      <c r="Q1465" s="2">
        <v>3</v>
      </c>
      <c r="R1465" s="2" t="s">
        <v>24</v>
      </c>
      <c r="S1465" s="11" t="str">
        <f t="shared" si="113"/>
        <v>Standar</v>
      </c>
      <c r="T1465" s="2" t="str">
        <f t="shared" si="114"/>
        <v>Normal</v>
      </c>
    </row>
    <row r="1466" spans="1:20" ht="15.75" customHeight="1" x14ac:dyDescent="0.3">
      <c r="A1466" s="4" t="s">
        <v>876</v>
      </c>
      <c r="B1466" s="3">
        <v>45652.929050925923</v>
      </c>
      <c r="C1466" s="2" t="s">
        <v>877</v>
      </c>
      <c r="D1466" s="2" t="s">
        <v>107</v>
      </c>
      <c r="E1466" s="2" t="s">
        <v>58</v>
      </c>
      <c r="F1466" s="2">
        <v>16000</v>
      </c>
      <c r="G1466" s="2">
        <v>1</v>
      </c>
      <c r="H1466" s="2">
        <v>5</v>
      </c>
      <c r="I1466">
        <f t="shared" si="110"/>
        <v>16000</v>
      </c>
      <c r="J1466">
        <f t="shared" si="111"/>
        <v>800</v>
      </c>
      <c r="K1466" s="6">
        <f t="shared" si="112"/>
        <v>15200</v>
      </c>
      <c r="L1466" s="2">
        <v>97000</v>
      </c>
      <c r="M1466" s="6">
        <f>Table1[[#This Row],[Total Sales]]+Table1[[#This Row],[Shipping Fee]]</f>
        <v>112200</v>
      </c>
      <c r="N1466" s="2" t="s">
        <v>63</v>
      </c>
      <c r="O1466" t="str">
        <f>VLOOKUP(Table1[[#This Row],[Order ID]],Status!A:B, 2,FALSE)</f>
        <v>Returned</v>
      </c>
      <c r="P1466" s="2" t="s">
        <v>23</v>
      </c>
      <c r="Q1466" s="2">
        <v>2</v>
      </c>
      <c r="R1466" s="2" t="s">
        <v>24</v>
      </c>
      <c r="S1466" s="11" t="str">
        <f t="shared" si="113"/>
        <v>Rendah</v>
      </c>
      <c r="T1466" s="2" t="str">
        <f t="shared" si="114"/>
        <v>Sangat Rendah</v>
      </c>
    </row>
    <row r="1467" spans="1:20" ht="15.75" customHeight="1" x14ac:dyDescent="0.3">
      <c r="A1467" s="4" t="s">
        <v>874</v>
      </c>
      <c r="B1467" s="3">
        <v>45652.890289351853</v>
      </c>
      <c r="C1467" s="2" t="s">
        <v>875</v>
      </c>
      <c r="D1467" s="2" t="s">
        <v>170</v>
      </c>
      <c r="E1467" s="2" t="s">
        <v>67</v>
      </c>
      <c r="F1467" s="2">
        <v>15000</v>
      </c>
      <c r="G1467" s="2">
        <v>2</v>
      </c>
      <c r="H1467" s="2">
        <v>20</v>
      </c>
      <c r="I1467">
        <f t="shared" si="110"/>
        <v>30000</v>
      </c>
      <c r="J1467">
        <f t="shared" si="111"/>
        <v>6000</v>
      </c>
      <c r="K1467" s="6">
        <f t="shared" si="112"/>
        <v>24000</v>
      </c>
      <c r="L1467" s="2">
        <v>46000</v>
      </c>
      <c r="M1467" s="6">
        <f>Table1[[#This Row],[Total Sales]]+Table1[[#This Row],[Shipping Fee]]</f>
        <v>70000</v>
      </c>
      <c r="N1467" s="2" t="s">
        <v>22</v>
      </c>
      <c r="O1467" t="str">
        <f>VLOOKUP(Table1[[#This Row],[Order ID]],Status!A:B, 2,FALSE)</f>
        <v>Completed</v>
      </c>
      <c r="P1467" s="2" t="s">
        <v>46</v>
      </c>
      <c r="Q1467" s="2">
        <v>2</v>
      </c>
      <c r="R1467" s="2" t="s">
        <v>24</v>
      </c>
      <c r="S1467" s="11" t="str">
        <f t="shared" si="113"/>
        <v>Rendah</v>
      </c>
      <c r="T1467" s="2" t="str">
        <f t="shared" si="114"/>
        <v>Rendah</v>
      </c>
    </row>
    <row r="1468" spans="1:20" ht="15.75" customHeight="1" x14ac:dyDescent="0.3">
      <c r="A1468" s="4" t="s">
        <v>873</v>
      </c>
      <c r="B1468" s="3">
        <v>45652.693229166667</v>
      </c>
      <c r="C1468" s="2" t="s">
        <v>443</v>
      </c>
      <c r="D1468" s="2" t="s">
        <v>53</v>
      </c>
      <c r="E1468" s="2" t="s">
        <v>123</v>
      </c>
      <c r="F1468" s="2">
        <v>22000</v>
      </c>
      <c r="G1468" s="2">
        <v>5</v>
      </c>
      <c r="H1468" s="2">
        <v>20</v>
      </c>
      <c r="I1468">
        <f t="shared" si="110"/>
        <v>110000</v>
      </c>
      <c r="J1468">
        <f t="shared" si="111"/>
        <v>22000</v>
      </c>
      <c r="K1468" s="6">
        <f t="shared" si="112"/>
        <v>88000</v>
      </c>
      <c r="L1468" s="2">
        <v>18000</v>
      </c>
      <c r="M1468" s="6">
        <f>Table1[[#This Row],[Total Sales]]+Table1[[#This Row],[Shipping Fee]]</f>
        <v>106000</v>
      </c>
      <c r="N1468" s="2" t="s">
        <v>22</v>
      </c>
      <c r="O1468" t="str">
        <f>VLOOKUP(Table1[[#This Row],[Order ID]],Status!A:B, 2,FALSE)</f>
        <v>Completed</v>
      </c>
      <c r="P1468" s="2" t="s">
        <v>30</v>
      </c>
      <c r="Q1468" s="2">
        <v>1</v>
      </c>
      <c r="R1468" s="2" t="s">
        <v>24</v>
      </c>
      <c r="S1468" s="11" t="str">
        <f t="shared" si="113"/>
        <v>Rendah</v>
      </c>
      <c r="T1468" s="2" t="str">
        <f t="shared" si="114"/>
        <v>Tinggi</v>
      </c>
    </row>
    <row r="1469" spans="1:20" ht="15.75" customHeight="1" x14ac:dyDescent="0.3">
      <c r="A1469" s="4" t="s">
        <v>872</v>
      </c>
      <c r="B1469" s="3">
        <v>45652.688263888893</v>
      </c>
      <c r="C1469" s="2" t="s">
        <v>748</v>
      </c>
      <c r="D1469" s="2" t="s">
        <v>160</v>
      </c>
      <c r="E1469" s="2" t="s">
        <v>136</v>
      </c>
      <c r="F1469" s="2">
        <v>12000</v>
      </c>
      <c r="G1469" s="2">
        <v>5</v>
      </c>
      <c r="H1469" s="2">
        <v>15</v>
      </c>
      <c r="I1469">
        <f t="shared" si="110"/>
        <v>60000</v>
      </c>
      <c r="J1469">
        <f t="shared" si="111"/>
        <v>9000</v>
      </c>
      <c r="K1469" s="6">
        <f t="shared" si="112"/>
        <v>51000</v>
      </c>
      <c r="L1469" s="2">
        <v>68000</v>
      </c>
      <c r="M1469" s="6">
        <f>Table1[[#This Row],[Total Sales]]+Table1[[#This Row],[Shipping Fee]]</f>
        <v>119000</v>
      </c>
      <c r="N1469" s="2" t="s">
        <v>63</v>
      </c>
      <c r="O1469" t="str">
        <f>VLOOKUP(Table1[[#This Row],[Order ID]],Status!A:B, 2,FALSE)</f>
        <v>Cancelled</v>
      </c>
      <c r="P1469" s="2" t="s">
        <v>46</v>
      </c>
      <c r="Q1469" s="2">
        <v>5</v>
      </c>
      <c r="R1469" s="2" t="s">
        <v>24</v>
      </c>
      <c r="S1469" s="11" t="str">
        <f t="shared" si="113"/>
        <v>Bagus</v>
      </c>
      <c r="T1469" s="2" t="str">
        <f t="shared" si="114"/>
        <v>Rendah</v>
      </c>
    </row>
    <row r="1470" spans="1:20" ht="15.75" customHeight="1" x14ac:dyDescent="0.3">
      <c r="A1470" s="4" t="s">
        <v>871</v>
      </c>
      <c r="B1470" s="3">
        <v>45652.465567129628</v>
      </c>
      <c r="C1470" s="2" t="s">
        <v>532</v>
      </c>
      <c r="D1470" s="2" t="s">
        <v>262</v>
      </c>
      <c r="E1470" s="2" t="s">
        <v>186</v>
      </c>
      <c r="F1470" s="2">
        <v>45000</v>
      </c>
      <c r="G1470" s="2">
        <v>1</v>
      </c>
      <c r="H1470" s="2">
        <v>10</v>
      </c>
      <c r="I1470">
        <f t="shared" si="110"/>
        <v>45000</v>
      </c>
      <c r="J1470">
        <f t="shared" si="111"/>
        <v>4500</v>
      </c>
      <c r="K1470" s="6">
        <f t="shared" si="112"/>
        <v>40500</v>
      </c>
      <c r="L1470" s="2">
        <v>18000</v>
      </c>
      <c r="M1470" s="6">
        <f>Table1[[#This Row],[Total Sales]]+Table1[[#This Row],[Shipping Fee]]</f>
        <v>58500</v>
      </c>
      <c r="N1470" s="2" t="s">
        <v>22</v>
      </c>
      <c r="O1470" t="str">
        <f>VLOOKUP(Table1[[#This Row],[Order ID]],Status!A:B, 2,FALSE)</f>
        <v>Returned</v>
      </c>
      <c r="P1470" s="2" t="s">
        <v>46</v>
      </c>
      <c r="Q1470" s="2">
        <v>4</v>
      </c>
      <c r="R1470" s="2" t="s">
        <v>24</v>
      </c>
      <c r="S1470" s="11" t="str">
        <f t="shared" si="113"/>
        <v>Bagus</v>
      </c>
      <c r="T1470" s="2" t="str">
        <f t="shared" si="114"/>
        <v>Sangat Rendah</v>
      </c>
    </row>
    <row r="1471" spans="1:20" ht="15.75" customHeight="1" x14ac:dyDescent="0.3">
      <c r="A1471" s="4" t="s">
        <v>870</v>
      </c>
      <c r="B1471" s="3">
        <v>45652.446261574078</v>
      </c>
      <c r="C1471" s="2" t="s">
        <v>846</v>
      </c>
      <c r="D1471" s="2" t="s">
        <v>107</v>
      </c>
      <c r="E1471" s="2" t="s">
        <v>250</v>
      </c>
      <c r="F1471" s="2">
        <v>18000</v>
      </c>
      <c r="G1471" s="2">
        <v>1</v>
      </c>
      <c r="H1471" s="2">
        <v>5</v>
      </c>
      <c r="I1471">
        <f t="shared" si="110"/>
        <v>18000</v>
      </c>
      <c r="J1471">
        <f t="shared" si="111"/>
        <v>900</v>
      </c>
      <c r="K1471" s="6">
        <f t="shared" si="112"/>
        <v>17100</v>
      </c>
      <c r="L1471" s="2">
        <v>97000</v>
      </c>
      <c r="M1471" s="6">
        <f>Table1[[#This Row],[Total Sales]]+Table1[[#This Row],[Shipping Fee]]</f>
        <v>114100</v>
      </c>
      <c r="N1471" s="2" t="s">
        <v>63</v>
      </c>
      <c r="O1471" t="str">
        <f>VLOOKUP(Table1[[#This Row],[Order ID]],Status!A:B, 2,FALSE)</f>
        <v>Completed</v>
      </c>
      <c r="P1471" s="2" t="s">
        <v>82</v>
      </c>
      <c r="Q1471" s="2">
        <v>3</v>
      </c>
      <c r="R1471" s="2" t="s">
        <v>24</v>
      </c>
      <c r="S1471" s="11" t="str">
        <f t="shared" si="113"/>
        <v>Standar</v>
      </c>
      <c r="T1471" s="2" t="str">
        <f t="shared" si="114"/>
        <v>Sangat Rendah</v>
      </c>
    </row>
    <row r="1472" spans="1:20" ht="15.75" customHeight="1" x14ac:dyDescent="0.3">
      <c r="A1472" s="4" t="s">
        <v>869</v>
      </c>
      <c r="B1472" s="3">
        <v>45652.07130787037</v>
      </c>
      <c r="C1472" s="2" t="s">
        <v>722</v>
      </c>
      <c r="D1472" s="2" t="s">
        <v>57</v>
      </c>
      <c r="E1472" s="2" t="s">
        <v>186</v>
      </c>
      <c r="F1472" s="2">
        <v>45000</v>
      </c>
      <c r="G1472" s="2">
        <v>3</v>
      </c>
      <c r="H1472" s="2">
        <v>0</v>
      </c>
      <c r="I1472">
        <f t="shared" si="110"/>
        <v>135000</v>
      </c>
      <c r="J1472">
        <f t="shared" si="111"/>
        <v>0</v>
      </c>
      <c r="K1472" s="6">
        <f t="shared" si="112"/>
        <v>135000</v>
      </c>
      <c r="L1472" s="2">
        <v>80000</v>
      </c>
      <c r="M1472" s="6">
        <f>Table1[[#This Row],[Total Sales]]+Table1[[#This Row],[Shipping Fee]]</f>
        <v>215000</v>
      </c>
      <c r="N1472" s="2" t="s">
        <v>29</v>
      </c>
      <c r="O1472" t="str">
        <f>VLOOKUP(Table1[[#This Row],[Order ID]],Status!A:B, 2,FALSE)</f>
        <v>Completed</v>
      </c>
      <c r="P1472" s="2" t="s">
        <v>23</v>
      </c>
      <c r="Q1472" s="2">
        <v>4</v>
      </c>
      <c r="R1472" s="2" t="s">
        <v>24</v>
      </c>
      <c r="S1472" s="11" t="str">
        <f t="shared" si="113"/>
        <v>Bagus</v>
      </c>
      <c r="T1472" s="2" t="str">
        <f t="shared" si="114"/>
        <v>Sangat Rendah</v>
      </c>
    </row>
    <row r="1473" spans="1:20" ht="15.75" customHeight="1" x14ac:dyDescent="0.3">
      <c r="A1473" s="4" t="s">
        <v>868</v>
      </c>
      <c r="B1473" s="3">
        <v>45651.779803240737</v>
      </c>
      <c r="C1473" s="2" t="s">
        <v>504</v>
      </c>
      <c r="D1473" s="2" t="s">
        <v>195</v>
      </c>
      <c r="E1473" s="2" t="s">
        <v>38</v>
      </c>
      <c r="F1473" s="2">
        <v>28000</v>
      </c>
      <c r="G1473" s="2">
        <v>4</v>
      </c>
      <c r="H1473" s="2">
        <v>20</v>
      </c>
      <c r="I1473">
        <f t="shared" si="110"/>
        <v>112000</v>
      </c>
      <c r="J1473">
        <f t="shared" si="111"/>
        <v>22400</v>
      </c>
      <c r="K1473" s="6">
        <f t="shared" si="112"/>
        <v>89600</v>
      </c>
      <c r="L1473" s="2">
        <v>87000</v>
      </c>
      <c r="M1473" s="6">
        <f>Table1[[#This Row],[Total Sales]]+Table1[[#This Row],[Shipping Fee]]</f>
        <v>176600</v>
      </c>
      <c r="N1473" s="2" t="s">
        <v>22</v>
      </c>
      <c r="O1473" t="str">
        <f>VLOOKUP(Table1[[#This Row],[Order ID]],Status!A:B, 2,FALSE)</f>
        <v>Completed</v>
      </c>
      <c r="P1473" s="2" t="s">
        <v>36</v>
      </c>
      <c r="Q1473" s="2">
        <v>3</v>
      </c>
      <c r="R1473" s="2" t="s">
        <v>24</v>
      </c>
      <c r="S1473" s="11" t="str">
        <f t="shared" si="113"/>
        <v>Standar</v>
      </c>
      <c r="T1473" s="2" t="str">
        <f t="shared" si="114"/>
        <v>Tinggi</v>
      </c>
    </row>
    <row r="1474" spans="1:20" ht="15.75" customHeight="1" x14ac:dyDescent="0.3">
      <c r="A1474" s="4" t="s">
        <v>866</v>
      </c>
      <c r="B1474" s="3">
        <v>45651.696226851847</v>
      </c>
      <c r="C1474" s="2" t="s">
        <v>867</v>
      </c>
      <c r="D1474" s="2" t="s">
        <v>20</v>
      </c>
      <c r="E1474" s="2" t="s">
        <v>123</v>
      </c>
      <c r="F1474" s="2">
        <v>22000</v>
      </c>
      <c r="G1474" s="2">
        <v>1</v>
      </c>
      <c r="H1474" s="2">
        <v>0</v>
      </c>
      <c r="I1474">
        <f t="shared" ref="I1474:I1537" si="115">F1474*G1474</f>
        <v>22000</v>
      </c>
      <c r="J1474">
        <f t="shared" ref="J1474:J1537" si="116">I1474*H1474/100</f>
        <v>0</v>
      </c>
      <c r="K1474" s="6">
        <f t="shared" ref="K1474:K1537" si="117">I1474-J1474</f>
        <v>22000</v>
      </c>
      <c r="L1474" s="2">
        <v>15000</v>
      </c>
      <c r="M1474" s="6">
        <f>Table1[[#This Row],[Total Sales]]+Table1[[#This Row],[Shipping Fee]]</f>
        <v>37000</v>
      </c>
      <c r="N1474" s="2" t="s">
        <v>63</v>
      </c>
      <c r="O1474" t="str">
        <f>VLOOKUP(Table1[[#This Row],[Order ID]],Status!A:B, 2,FALSE)</f>
        <v>Completed</v>
      </c>
      <c r="P1474" s="2" t="s">
        <v>23</v>
      </c>
      <c r="Q1474" s="2">
        <v>5</v>
      </c>
      <c r="R1474" s="2" t="s">
        <v>37</v>
      </c>
      <c r="S1474" s="11" t="str">
        <f t="shared" ref="S1474:S1537" si="118">_xlfn.IFS(Q1474&gt;3,"Bagus",Q1474=3,"Standar",Q1474&lt;3,"Rendah")</f>
        <v>Bagus</v>
      </c>
      <c r="T1474" s="2" t="str">
        <f t="shared" ref="T1474:T1537" si="119">_xlfn.IFS(J1474&lt;=5000,"Sangat Rendah", J1474&lt;=10000,"Rendah", J1474&lt;=20000, "Normal", J1474&lt;=35000, "Tinggi", J1474&lt;= 50000, "Sangat Tinggi", J1474&gt;50000, "Clearance")</f>
        <v>Sangat Rendah</v>
      </c>
    </row>
    <row r="1475" spans="1:20" ht="15.75" customHeight="1" x14ac:dyDescent="0.3">
      <c r="A1475" s="4" t="s">
        <v>865</v>
      </c>
      <c r="B1475" s="3">
        <v>45651.500891203701</v>
      </c>
      <c r="C1475" s="2" t="s">
        <v>412</v>
      </c>
      <c r="D1475" s="2" t="s">
        <v>70</v>
      </c>
      <c r="E1475" s="2" t="s">
        <v>104</v>
      </c>
      <c r="F1475" s="2">
        <v>30000</v>
      </c>
      <c r="G1475" s="2">
        <v>1</v>
      </c>
      <c r="H1475" s="2">
        <v>10</v>
      </c>
      <c r="I1475">
        <f t="shared" si="115"/>
        <v>30000</v>
      </c>
      <c r="J1475">
        <f t="shared" si="116"/>
        <v>3000</v>
      </c>
      <c r="K1475" s="6">
        <f t="shared" si="117"/>
        <v>27000</v>
      </c>
      <c r="L1475" s="2">
        <v>89000</v>
      </c>
      <c r="M1475" s="6">
        <f>Table1[[#This Row],[Total Sales]]+Table1[[#This Row],[Shipping Fee]]</f>
        <v>116000</v>
      </c>
      <c r="N1475" s="2" t="s">
        <v>22</v>
      </c>
      <c r="O1475" t="str">
        <f>VLOOKUP(Table1[[#This Row],[Order ID]],Status!A:B, 2,FALSE)</f>
        <v>Completed</v>
      </c>
      <c r="P1475" s="2" t="s">
        <v>30</v>
      </c>
      <c r="Q1475" s="2">
        <v>2</v>
      </c>
      <c r="R1475" s="2" t="s">
        <v>24</v>
      </c>
      <c r="S1475" s="11" t="str">
        <f t="shared" si="118"/>
        <v>Rendah</v>
      </c>
      <c r="T1475" s="2" t="str">
        <f t="shared" si="119"/>
        <v>Sangat Rendah</v>
      </c>
    </row>
    <row r="1476" spans="1:20" ht="15.75" customHeight="1" x14ac:dyDescent="0.3">
      <c r="A1476" s="4" t="s">
        <v>864</v>
      </c>
      <c r="B1476" s="3">
        <v>45651.293402777781</v>
      </c>
      <c r="C1476" s="2" t="s">
        <v>299</v>
      </c>
      <c r="D1476" s="2" t="s">
        <v>163</v>
      </c>
      <c r="E1476" s="2" t="s">
        <v>28</v>
      </c>
      <c r="F1476" s="2">
        <v>5000</v>
      </c>
      <c r="G1476" s="2">
        <v>3</v>
      </c>
      <c r="H1476" s="2">
        <v>5</v>
      </c>
      <c r="I1476">
        <f t="shared" si="115"/>
        <v>15000</v>
      </c>
      <c r="J1476">
        <f t="shared" si="116"/>
        <v>750</v>
      </c>
      <c r="K1476" s="6">
        <f t="shared" si="117"/>
        <v>14250</v>
      </c>
      <c r="L1476" s="2">
        <v>50000</v>
      </c>
      <c r="M1476" s="6">
        <f>Table1[[#This Row],[Total Sales]]+Table1[[#This Row],[Shipping Fee]]</f>
        <v>64250</v>
      </c>
      <c r="N1476" s="2" t="s">
        <v>29</v>
      </c>
      <c r="O1476" t="str">
        <f>VLOOKUP(Table1[[#This Row],[Order ID]],Status!A:B, 2,FALSE)</f>
        <v>Completed</v>
      </c>
      <c r="P1476" s="2" t="s">
        <v>46</v>
      </c>
      <c r="Q1476" s="2">
        <v>5</v>
      </c>
      <c r="R1476" s="2" t="s">
        <v>24</v>
      </c>
      <c r="S1476" s="11" t="str">
        <f t="shared" si="118"/>
        <v>Bagus</v>
      </c>
      <c r="T1476" s="2" t="str">
        <f t="shared" si="119"/>
        <v>Sangat Rendah</v>
      </c>
    </row>
    <row r="1477" spans="1:20" ht="15.75" customHeight="1" x14ac:dyDescent="0.3">
      <c r="A1477" s="4" t="s">
        <v>863</v>
      </c>
      <c r="B1477" s="3">
        <v>45651.000578703701</v>
      </c>
      <c r="C1477" s="2" t="s">
        <v>311</v>
      </c>
      <c r="D1477" s="2" t="s">
        <v>116</v>
      </c>
      <c r="E1477" s="2" t="s">
        <v>123</v>
      </c>
      <c r="F1477" s="2">
        <v>22000</v>
      </c>
      <c r="G1477" s="2">
        <v>1</v>
      </c>
      <c r="H1477" s="2">
        <v>0</v>
      </c>
      <c r="I1477">
        <f t="shared" si="115"/>
        <v>22000</v>
      </c>
      <c r="J1477">
        <f t="shared" si="116"/>
        <v>0</v>
      </c>
      <c r="K1477" s="6">
        <f t="shared" si="117"/>
        <v>22000</v>
      </c>
      <c r="L1477" s="2">
        <v>72000</v>
      </c>
      <c r="M1477" s="6">
        <f>Table1[[#This Row],[Total Sales]]+Table1[[#This Row],[Shipping Fee]]</f>
        <v>94000</v>
      </c>
      <c r="N1477" s="2" t="s">
        <v>22</v>
      </c>
      <c r="O1477" t="str">
        <f>VLOOKUP(Table1[[#This Row],[Order ID]],Status!A:B, 2,FALSE)</f>
        <v>Completed</v>
      </c>
      <c r="P1477" s="2" t="s">
        <v>36</v>
      </c>
      <c r="Q1477" s="2">
        <v>2</v>
      </c>
      <c r="R1477" s="2" t="s">
        <v>24</v>
      </c>
      <c r="S1477" s="11" t="str">
        <f t="shared" si="118"/>
        <v>Rendah</v>
      </c>
      <c r="T1477" s="2" t="str">
        <f t="shared" si="119"/>
        <v>Sangat Rendah</v>
      </c>
    </row>
    <row r="1478" spans="1:20" ht="15.75" customHeight="1" x14ac:dyDescent="0.3">
      <c r="A1478" s="4" t="s">
        <v>862</v>
      </c>
      <c r="B1478" s="3">
        <v>45650.374699074076</v>
      </c>
      <c r="C1478" s="2" t="s">
        <v>305</v>
      </c>
      <c r="D1478" s="2" t="s">
        <v>143</v>
      </c>
      <c r="E1478" s="2" t="s">
        <v>123</v>
      </c>
      <c r="F1478" s="2">
        <v>22000</v>
      </c>
      <c r="G1478" s="2">
        <v>1</v>
      </c>
      <c r="H1478" s="2">
        <v>5</v>
      </c>
      <c r="I1478">
        <f t="shared" si="115"/>
        <v>22000</v>
      </c>
      <c r="J1478">
        <f t="shared" si="116"/>
        <v>1100</v>
      </c>
      <c r="K1478" s="6">
        <f t="shared" si="117"/>
        <v>20900</v>
      </c>
      <c r="L1478" s="2">
        <v>50000</v>
      </c>
      <c r="M1478" s="6">
        <f>Table1[[#This Row],[Total Sales]]+Table1[[#This Row],[Shipping Fee]]</f>
        <v>70900</v>
      </c>
      <c r="N1478" s="2" t="s">
        <v>35</v>
      </c>
      <c r="O1478" t="str">
        <f>VLOOKUP(Table1[[#This Row],[Order ID]],Status!A:B, 2,FALSE)</f>
        <v>Completed</v>
      </c>
      <c r="P1478" s="2" t="s">
        <v>36</v>
      </c>
      <c r="Q1478" s="2">
        <v>2</v>
      </c>
      <c r="R1478" s="2" t="s">
        <v>24</v>
      </c>
      <c r="S1478" s="11" t="str">
        <f t="shared" si="118"/>
        <v>Rendah</v>
      </c>
      <c r="T1478" s="2" t="str">
        <f t="shared" si="119"/>
        <v>Sangat Rendah</v>
      </c>
    </row>
    <row r="1479" spans="1:20" ht="15.75" customHeight="1" x14ac:dyDescent="0.3">
      <c r="A1479" s="4" t="s">
        <v>861</v>
      </c>
      <c r="B1479" s="3">
        <v>45650.247152777767</v>
      </c>
      <c r="C1479" s="2" t="s">
        <v>383</v>
      </c>
      <c r="D1479" s="2" t="s">
        <v>122</v>
      </c>
      <c r="E1479" s="2" t="s">
        <v>174</v>
      </c>
      <c r="F1479" s="2">
        <v>10000</v>
      </c>
      <c r="G1479" s="2">
        <v>4</v>
      </c>
      <c r="H1479" s="2">
        <v>20</v>
      </c>
      <c r="I1479">
        <f t="shared" si="115"/>
        <v>40000</v>
      </c>
      <c r="J1479">
        <f t="shared" si="116"/>
        <v>8000</v>
      </c>
      <c r="K1479" s="6">
        <f t="shared" si="117"/>
        <v>32000</v>
      </c>
      <c r="L1479" s="2">
        <v>78000</v>
      </c>
      <c r="M1479" s="6">
        <f>Table1[[#This Row],[Total Sales]]+Table1[[#This Row],[Shipping Fee]]</f>
        <v>110000</v>
      </c>
      <c r="N1479" s="2" t="s">
        <v>35</v>
      </c>
      <c r="O1479" t="str">
        <f>VLOOKUP(Table1[[#This Row],[Order ID]],Status!A:B, 2,FALSE)</f>
        <v>Completed</v>
      </c>
      <c r="P1479" s="2" t="s">
        <v>36</v>
      </c>
      <c r="Q1479" s="2">
        <v>4</v>
      </c>
      <c r="R1479" s="2" t="s">
        <v>24</v>
      </c>
      <c r="S1479" s="11" t="str">
        <f t="shared" si="118"/>
        <v>Bagus</v>
      </c>
      <c r="T1479" s="2" t="str">
        <f t="shared" si="119"/>
        <v>Rendah</v>
      </c>
    </row>
    <row r="1480" spans="1:20" ht="15.75" customHeight="1" x14ac:dyDescent="0.3">
      <c r="A1480" s="4" t="s">
        <v>859</v>
      </c>
      <c r="B1480" s="3">
        <v>45650.222685185188</v>
      </c>
      <c r="C1480" s="2" t="s">
        <v>860</v>
      </c>
      <c r="D1480" s="2" t="s">
        <v>44</v>
      </c>
      <c r="E1480" s="2" t="s">
        <v>88</v>
      </c>
      <c r="F1480" s="2">
        <v>14000</v>
      </c>
      <c r="G1480" s="2">
        <v>2</v>
      </c>
      <c r="H1480" s="2">
        <v>10</v>
      </c>
      <c r="I1480">
        <f t="shared" si="115"/>
        <v>28000</v>
      </c>
      <c r="J1480">
        <f t="shared" si="116"/>
        <v>2800</v>
      </c>
      <c r="K1480" s="6">
        <f t="shared" si="117"/>
        <v>25200</v>
      </c>
      <c r="L1480" s="2">
        <v>93000</v>
      </c>
      <c r="M1480" s="6">
        <f>Table1[[#This Row],[Total Sales]]+Table1[[#This Row],[Shipping Fee]]</f>
        <v>118200</v>
      </c>
      <c r="N1480" s="2" t="s">
        <v>63</v>
      </c>
      <c r="O1480" t="str">
        <f>VLOOKUP(Table1[[#This Row],[Order ID]],Status!A:B, 2,FALSE)</f>
        <v>Completed</v>
      </c>
      <c r="P1480" s="2" t="s">
        <v>30</v>
      </c>
      <c r="Q1480" s="2">
        <v>1</v>
      </c>
      <c r="R1480" s="2" t="s">
        <v>37</v>
      </c>
      <c r="S1480" s="11" t="str">
        <f t="shared" si="118"/>
        <v>Rendah</v>
      </c>
      <c r="T1480" s="2" t="str">
        <f t="shared" si="119"/>
        <v>Sangat Rendah</v>
      </c>
    </row>
    <row r="1481" spans="1:20" ht="15.75" customHeight="1" x14ac:dyDescent="0.3">
      <c r="A1481" s="4" t="s">
        <v>859</v>
      </c>
      <c r="B1481" s="3">
        <v>45650.222685185188</v>
      </c>
      <c r="C1481" s="2" t="s">
        <v>860</v>
      </c>
      <c r="D1481" s="2" t="s">
        <v>44</v>
      </c>
      <c r="E1481" s="2" t="s">
        <v>28</v>
      </c>
      <c r="F1481" s="2">
        <v>5000</v>
      </c>
      <c r="G1481" s="2">
        <v>2</v>
      </c>
      <c r="H1481" s="2">
        <v>0</v>
      </c>
      <c r="I1481">
        <f t="shared" si="115"/>
        <v>10000</v>
      </c>
      <c r="J1481">
        <f t="shared" si="116"/>
        <v>0</v>
      </c>
      <c r="K1481" s="6">
        <f t="shared" si="117"/>
        <v>10000</v>
      </c>
      <c r="L1481" s="2">
        <v>0</v>
      </c>
      <c r="M1481" s="6">
        <f>Table1[[#This Row],[Total Sales]]+Table1[[#This Row],[Shipping Fee]]</f>
        <v>10000</v>
      </c>
      <c r="N1481" s="2" t="s">
        <v>63</v>
      </c>
      <c r="O1481" t="str">
        <f>VLOOKUP(Table1[[#This Row],[Order ID]],Status!A:B, 2,FALSE)</f>
        <v>Completed</v>
      </c>
      <c r="P1481" s="2" t="s">
        <v>30</v>
      </c>
      <c r="Q1481" s="2">
        <v>1</v>
      </c>
      <c r="R1481" s="2" t="s">
        <v>37</v>
      </c>
      <c r="S1481" s="11" t="str">
        <f t="shared" si="118"/>
        <v>Rendah</v>
      </c>
      <c r="T1481" s="2" t="str">
        <f t="shared" si="119"/>
        <v>Sangat Rendah</v>
      </c>
    </row>
    <row r="1482" spans="1:20" ht="15.75" customHeight="1" x14ac:dyDescent="0.3">
      <c r="A1482" s="4" t="s">
        <v>858</v>
      </c>
      <c r="B1482" s="3">
        <v>45650.087824074071</v>
      </c>
      <c r="C1482" s="2" t="s">
        <v>669</v>
      </c>
      <c r="D1482" s="2" t="s">
        <v>151</v>
      </c>
      <c r="E1482" s="2" t="s">
        <v>88</v>
      </c>
      <c r="F1482" s="2">
        <v>14000</v>
      </c>
      <c r="G1482" s="2">
        <v>4</v>
      </c>
      <c r="H1482" s="2">
        <v>15</v>
      </c>
      <c r="I1482">
        <f t="shared" si="115"/>
        <v>56000</v>
      </c>
      <c r="J1482">
        <f t="shared" si="116"/>
        <v>8400</v>
      </c>
      <c r="K1482" s="6">
        <f t="shared" si="117"/>
        <v>47600</v>
      </c>
      <c r="L1482" s="2">
        <v>55000</v>
      </c>
      <c r="M1482" s="6">
        <f>Table1[[#This Row],[Total Sales]]+Table1[[#This Row],[Shipping Fee]]</f>
        <v>102600</v>
      </c>
      <c r="N1482" s="2" t="s">
        <v>35</v>
      </c>
      <c r="O1482" t="str">
        <f>VLOOKUP(Table1[[#This Row],[Order ID]],Status!A:B, 2,FALSE)</f>
        <v>Completed</v>
      </c>
      <c r="P1482" s="2" t="s">
        <v>82</v>
      </c>
      <c r="Q1482" s="2">
        <v>5</v>
      </c>
      <c r="R1482" s="2" t="s">
        <v>24</v>
      </c>
      <c r="S1482" s="11" t="str">
        <f t="shared" si="118"/>
        <v>Bagus</v>
      </c>
      <c r="T1482" s="2" t="str">
        <f t="shared" si="119"/>
        <v>Rendah</v>
      </c>
    </row>
    <row r="1483" spans="1:20" ht="15.75" customHeight="1" x14ac:dyDescent="0.3">
      <c r="A1483" s="4" t="s">
        <v>857</v>
      </c>
      <c r="B1483" s="3">
        <v>45649.702384259261</v>
      </c>
      <c r="C1483" s="2" t="s">
        <v>48</v>
      </c>
      <c r="D1483" s="2" t="s">
        <v>49</v>
      </c>
      <c r="E1483" s="2" t="s">
        <v>144</v>
      </c>
      <c r="F1483" s="2">
        <v>18000</v>
      </c>
      <c r="G1483" s="2">
        <v>2</v>
      </c>
      <c r="H1483" s="2">
        <v>10</v>
      </c>
      <c r="I1483">
        <f t="shared" si="115"/>
        <v>36000</v>
      </c>
      <c r="J1483">
        <f t="shared" si="116"/>
        <v>3600</v>
      </c>
      <c r="K1483" s="6">
        <f t="shared" si="117"/>
        <v>32400</v>
      </c>
      <c r="L1483" s="2">
        <v>43000</v>
      </c>
      <c r="M1483" s="6">
        <f>Table1[[#This Row],[Total Sales]]+Table1[[#This Row],[Shipping Fee]]</f>
        <v>75400</v>
      </c>
      <c r="N1483" s="2" t="s">
        <v>63</v>
      </c>
      <c r="O1483" t="str">
        <f>VLOOKUP(Table1[[#This Row],[Order ID]],Status!A:B, 2,FALSE)</f>
        <v>Completed</v>
      </c>
      <c r="P1483" s="2" t="s">
        <v>82</v>
      </c>
      <c r="Q1483" s="2">
        <v>4</v>
      </c>
      <c r="R1483" s="2" t="s">
        <v>24</v>
      </c>
      <c r="S1483" s="11" t="str">
        <f t="shared" si="118"/>
        <v>Bagus</v>
      </c>
      <c r="T1483" s="2" t="str">
        <f t="shared" si="119"/>
        <v>Sangat Rendah</v>
      </c>
    </row>
    <row r="1484" spans="1:20" ht="15.75" customHeight="1" x14ac:dyDescent="0.3">
      <c r="A1484" s="4" t="s">
        <v>855</v>
      </c>
      <c r="B1484" s="3">
        <v>45649.355266203696</v>
      </c>
      <c r="C1484" s="2" t="s">
        <v>856</v>
      </c>
      <c r="D1484" s="2" t="s">
        <v>244</v>
      </c>
      <c r="E1484" s="2" t="s">
        <v>58</v>
      </c>
      <c r="F1484" s="2">
        <v>16000</v>
      </c>
      <c r="G1484" s="2">
        <v>5</v>
      </c>
      <c r="H1484" s="2">
        <v>0</v>
      </c>
      <c r="I1484">
        <f t="shared" si="115"/>
        <v>80000</v>
      </c>
      <c r="J1484">
        <f t="shared" si="116"/>
        <v>0</v>
      </c>
      <c r="K1484" s="6">
        <f t="shared" si="117"/>
        <v>80000</v>
      </c>
      <c r="L1484" s="2">
        <v>80000</v>
      </c>
      <c r="M1484" s="6">
        <f>Table1[[#This Row],[Total Sales]]+Table1[[#This Row],[Shipping Fee]]</f>
        <v>160000</v>
      </c>
      <c r="N1484" s="2" t="s">
        <v>22</v>
      </c>
      <c r="O1484" t="str">
        <f>VLOOKUP(Table1[[#This Row],[Order ID]],Status!A:B, 2,FALSE)</f>
        <v>Returned</v>
      </c>
      <c r="P1484" s="2" t="s">
        <v>36</v>
      </c>
      <c r="Q1484" s="2">
        <v>2</v>
      </c>
      <c r="R1484" s="2" t="s">
        <v>24</v>
      </c>
      <c r="S1484" s="11" t="str">
        <f t="shared" si="118"/>
        <v>Rendah</v>
      </c>
      <c r="T1484" s="2" t="str">
        <f t="shared" si="119"/>
        <v>Sangat Rendah</v>
      </c>
    </row>
    <row r="1485" spans="1:20" ht="15.75" customHeight="1" x14ac:dyDescent="0.3">
      <c r="A1485" s="4" t="s">
        <v>854</v>
      </c>
      <c r="B1485" s="3">
        <v>45649.30395833333</v>
      </c>
      <c r="C1485" s="2" t="s">
        <v>146</v>
      </c>
      <c r="D1485" s="2" t="s">
        <v>92</v>
      </c>
      <c r="E1485" s="2" t="s">
        <v>67</v>
      </c>
      <c r="F1485" s="2">
        <v>15000</v>
      </c>
      <c r="G1485" s="2">
        <v>4</v>
      </c>
      <c r="H1485" s="2">
        <v>15</v>
      </c>
      <c r="I1485">
        <f t="shared" si="115"/>
        <v>60000</v>
      </c>
      <c r="J1485">
        <f t="shared" si="116"/>
        <v>9000</v>
      </c>
      <c r="K1485" s="6">
        <f t="shared" si="117"/>
        <v>51000</v>
      </c>
      <c r="L1485" s="2">
        <v>30000</v>
      </c>
      <c r="M1485" s="6">
        <f>Table1[[#This Row],[Total Sales]]+Table1[[#This Row],[Shipping Fee]]</f>
        <v>81000</v>
      </c>
      <c r="N1485" s="2" t="s">
        <v>29</v>
      </c>
      <c r="O1485" t="str">
        <f>VLOOKUP(Table1[[#This Row],[Order ID]],Status!A:B, 2,FALSE)</f>
        <v>Completed</v>
      </c>
      <c r="P1485" s="2" t="s">
        <v>30</v>
      </c>
      <c r="Q1485" s="2">
        <v>3</v>
      </c>
      <c r="R1485" s="2" t="s">
        <v>37</v>
      </c>
      <c r="S1485" s="11" t="str">
        <f t="shared" si="118"/>
        <v>Standar</v>
      </c>
      <c r="T1485" s="2" t="str">
        <f t="shared" si="119"/>
        <v>Rendah</v>
      </c>
    </row>
    <row r="1486" spans="1:20" ht="15.75" customHeight="1" x14ac:dyDescent="0.3">
      <c r="A1486" s="4" t="s">
        <v>852</v>
      </c>
      <c r="B1486" s="3">
        <v>45649.226145833331</v>
      </c>
      <c r="C1486" s="2" t="s">
        <v>853</v>
      </c>
      <c r="D1486" s="2" t="s">
        <v>151</v>
      </c>
      <c r="E1486" s="2" t="s">
        <v>50</v>
      </c>
      <c r="F1486" s="2">
        <v>14000</v>
      </c>
      <c r="G1486" s="2">
        <v>3</v>
      </c>
      <c r="H1486" s="2">
        <v>20</v>
      </c>
      <c r="I1486">
        <f t="shared" si="115"/>
        <v>42000</v>
      </c>
      <c r="J1486">
        <f t="shared" si="116"/>
        <v>8400</v>
      </c>
      <c r="K1486" s="6">
        <f t="shared" si="117"/>
        <v>33600</v>
      </c>
      <c r="L1486" s="2">
        <v>55000</v>
      </c>
      <c r="M1486" s="6">
        <f>Table1[[#This Row],[Total Sales]]+Table1[[#This Row],[Shipping Fee]]</f>
        <v>88600</v>
      </c>
      <c r="N1486" s="2" t="s">
        <v>22</v>
      </c>
      <c r="O1486" t="str">
        <f>VLOOKUP(Table1[[#This Row],[Order ID]],Status!A:B, 2,FALSE)</f>
        <v>Completed</v>
      </c>
      <c r="P1486" s="2" t="s">
        <v>36</v>
      </c>
      <c r="Q1486" s="2">
        <v>5</v>
      </c>
      <c r="R1486" s="2" t="s">
        <v>24</v>
      </c>
      <c r="S1486" s="11" t="str">
        <f t="shared" si="118"/>
        <v>Bagus</v>
      </c>
      <c r="T1486" s="2" t="str">
        <f t="shared" si="119"/>
        <v>Rendah</v>
      </c>
    </row>
    <row r="1487" spans="1:20" ht="15.75" customHeight="1" x14ac:dyDescent="0.3">
      <c r="A1487" s="4" t="s">
        <v>850</v>
      </c>
      <c r="B1487" s="3">
        <v>45649.169560185182</v>
      </c>
      <c r="C1487" s="2" t="s">
        <v>851</v>
      </c>
      <c r="D1487" s="2" t="s">
        <v>66</v>
      </c>
      <c r="E1487" s="2" t="s">
        <v>85</v>
      </c>
      <c r="F1487" s="2">
        <v>35000</v>
      </c>
      <c r="G1487" s="2">
        <v>1</v>
      </c>
      <c r="H1487" s="2">
        <v>20</v>
      </c>
      <c r="I1487">
        <f t="shared" si="115"/>
        <v>35000</v>
      </c>
      <c r="J1487">
        <f t="shared" si="116"/>
        <v>7000</v>
      </c>
      <c r="K1487" s="6">
        <f t="shared" si="117"/>
        <v>28000</v>
      </c>
      <c r="L1487" s="2">
        <v>59000</v>
      </c>
      <c r="M1487" s="6">
        <f>Table1[[#This Row],[Total Sales]]+Table1[[#This Row],[Shipping Fee]]</f>
        <v>87000</v>
      </c>
      <c r="N1487" s="2" t="s">
        <v>63</v>
      </c>
      <c r="O1487" t="str">
        <f>VLOOKUP(Table1[[#This Row],[Order ID]],Status!A:B, 2,FALSE)</f>
        <v>Completed</v>
      </c>
      <c r="P1487" s="2" t="s">
        <v>36</v>
      </c>
      <c r="Q1487" s="2">
        <v>5</v>
      </c>
      <c r="R1487" s="2" t="s">
        <v>37</v>
      </c>
      <c r="S1487" s="11" t="str">
        <f t="shared" si="118"/>
        <v>Bagus</v>
      </c>
      <c r="T1487" s="2" t="str">
        <f t="shared" si="119"/>
        <v>Rendah</v>
      </c>
    </row>
    <row r="1488" spans="1:20" ht="15.75" customHeight="1" x14ac:dyDescent="0.3">
      <c r="A1488" s="4" t="s">
        <v>849</v>
      </c>
      <c r="B1488" s="3">
        <v>45648.892569444448</v>
      </c>
      <c r="C1488" s="2" t="s">
        <v>214</v>
      </c>
      <c r="D1488" s="2" t="s">
        <v>131</v>
      </c>
      <c r="E1488" s="2" t="s">
        <v>88</v>
      </c>
      <c r="F1488" s="2">
        <v>14000</v>
      </c>
      <c r="G1488" s="2">
        <v>5</v>
      </c>
      <c r="H1488" s="2">
        <v>5</v>
      </c>
      <c r="I1488">
        <f t="shared" si="115"/>
        <v>70000</v>
      </c>
      <c r="J1488">
        <f t="shared" si="116"/>
        <v>3500</v>
      </c>
      <c r="K1488" s="6">
        <f t="shared" si="117"/>
        <v>66500</v>
      </c>
      <c r="L1488" s="2">
        <v>59000</v>
      </c>
      <c r="M1488" s="6">
        <f>Table1[[#This Row],[Total Sales]]+Table1[[#This Row],[Shipping Fee]]</f>
        <v>125500</v>
      </c>
      <c r="N1488" s="2" t="s">
        <v>63</v>
      </c>
      <c r="O1488" t="str">
        <f>VLOOKUP(Table1[[#This Row],[Order ID]],Status!A:B, 2,FALSE)</f>
        <v>Completed</v>
      </c>
      <c r="P1488" s="2" t="s">
        <v>36</v>
      </c>
      <c r="Q1488" s="2">
        <v>1</v>
      </c>
      <c r="R1488" s="2" t="s">
        <v>24</v>
      </c>
      <c r="S1488" s="11" t="str">
        <f t="shared" si="118"/>
        <v>Rendah</v>
      </c>
      <c r="T1488" s="2" t="str">
        <f t="shared" si="119"/>
        <v>Sangat Rendah</v>
      </c>
    </row>
    <row r="1489" spans="1:20" ht="15.75" customHeight="1" x14ac:dyDescent="0.3">
      <c r="A1489" s="4" t="s">
        <v>848</v>
      </c>
      <c r="B1489" s="3">
        <v>45648.832685185182</v>
      </c>
      <c r="C1489" s="2" t="s">
        <v>510</v>
      </c>
      <c r="D1489" s="2" t="s">
        <v>96</v>
      </c>
      <c r="E1489" s="2" t="s">
        <v>123</v>
      </c>
      <c r="F1489" s="2">
        <v>22000</v>
      </c>
      <c r="G1489" s="2">
        <v>1</v>
      </c>
      <c r="H1489" s="2">
        <v>15</v>
      </c>
      <c r="I1489">
        <f t="shared" si="115"/>
        <v>22000</v>
      </c>
      <c r="J1489">
        <f t="shared" si="116"/>
        <v>3300</v>
      </c>
      <c r="K1489" s="6">
        <f t="shared" si="117"/>
        <v>18700</v>
      </c>
      <c r="L1489" s="2">
        <v>49000</v>
      </c>
      <c r="M1489" s="6">
        <f>Table1[[#This Row],[Total Sales]]+Table1[[#This Row],[Shipping Fee]]</f>
        <v>67700</v>
      </c>
      <c r="N1489" s="2" t="s">
        <v>22</v>
      </c>
      <c r="O1489" t="str">
        <f>VLOOKUP(Table1[[#This Row],[Order ID]],Status!A:B, 2,FALSE)</f>
        <v>Returned</v>
      </c>
      <c r="P1489" s="2" t="s">
        <v>30</v>
      </c>
      <c r="Q1489" s="2">
        <v>4</v>
      </c>
      <c r="R1489" s="2" t="s">
        <v>24</v>
      </c>
      <c r="S1489" s="11" t="str">
        <f t="shared" si="118"/>
        <v>Bagus</v>
      </c>
      <c r="T1489" s="2" t="str">
        <f t="shared" si="119"/>
        <v>Sangat Rendah</v>
      </c>
    </row>
    <row r="1490" spans="1:20" ht="15.75" customHeight="1" x14ac:dyDescent="0.3">
      <c r="A1490" s="4" t="s">
        <v>847</v>
      </c>
      <c r="B1490" s="3">
        <v>45648.446574074071</v>
      </c>
      <c r="C1490" s="2" t="s">
        <v>381</v>
      </c>
      <c r="D1490" s="2" t="s">
        <v>103</v>
      </c>
      <c r="E1490" s="2" t="s">
        <v>123</v>
      </c>
      <c r="F1490" s="2">
        <v>22000</v>
      </c>
      <c r="G1490" s="2">
        <v>3</v>
      </c>
      <c r="H1490" s="2">
        <v>10</v>
      </c>
      <c r="I1490">
        <f t="shared" si="115"/>
        <v>66000</v>
      </c>
      <c r="J1490">
        <f t="shared" si="116"/>
        <v>6600</v>
      </c>
      <c r="K1490" s="6">
        <f t="shared" si="117"/>
        <v>59400</v>
      </c>
      <c r="L1490" s="2">
        <v>85000</v>
      </c>
      <c r="M1490" s="6">
        <f>Table1[[#This Row],[Total Sales]]+Table1[[#This Row],[Shipping Fee]]</f>
        <v>144400</v>
      </c>
      <c r="N1490" s="2" t="s">
        <v>63</v>
      </c>
      <c r="O1490" t="str">
        <f>VLOOKUP(Table1[[#This Row],[Order ID]],Status!A:B, 2,FALSE)</f>
        <v>Completed</v>
      </c>
      <c r="P1490" s="2" t="s">
        <v>23</v>
      </c>
      <c r="Q1490" s="2">
        <v>2</v>
      </c>
      <c r="R1490" s="2" t="s">
        <v>24</v>
      </c>
      <c r="S1490" s="11" t="str">
        <f t="shared" si="118"/>
        <v>Rendah</v>
      </c>
      <c r="T1490" s="2" t="str">
        <f t="shared" si="119"/>
        <v>Rendah</v>
      </c>
    </row>
    <row r="1491" spans="1:20" ht="15.75" customHeight="1" x14ac:dyDescent="0.3">
      <c r="A1491" s="4" t="s">
        <v>845</v>
      </c>
      <c r="B1491" s="3">
        <v>45648.407673611109</v>
      </c>
      <c r="C1491" s="2" t="s">
        <v>846</v>
      </c>
      <c r="D1491" s="2" t="s">
        <v>107</v>
      </c>
      <c r="E1491" s="2" t="s">
        <v>110</v>
      </c>
      <c r="F1491" s="2">
        <v>6000</v>
      </c>
      <c r="G1491" s="2">
        <v>2</v>
      </c>
      <c r="H1491" s="2">
        <v>10</v>
      </c>
      <c r="I1491">
        <f t="shared" si="115"/>
        <v>12000</v>
      </c>
      <c r="J1491">
        <f t="shared" si="116"/>
        <v>1200</v>
      </c>
      <c r="K1491" s="6">
        <f t="shared" si="117"/>
        <v>10800</v>
      </c>
      <c r="L1491" s="2">
        <v>97000</v>
      </c>
      <c r="M1491" s="6">
        <f>Table1[[#This Row],[Total Sales]]+Table1[[#This Row],[Shipping Fee]]</f>
        <v>107800</v>
      </c>
      <c r="N1491" s="2" t="s">
        <v>35</v>
      </c>
      <c r="O1491" t="str">
        <f>VLOOKUP(Table1[[#This Row],[Order ID]],Status!A:B, 2,FALSE)</f>
        <v>Completed</v>
      </c>
      <c r="P1491" s="2" t="s">
        <v>30</v>
      </c>
      <c r="Q1491" s="2">
        <v>2</v>
      </c>
      <c r="R1491" s="2" t="s">
        <v>24</v>
      </c>
      <c r="S1491" s="11" t="str">
        <f t="shared" si="118"/>
        <v>Rendah</v>
      </c>
      <c r="T1491" s="2" t="str">
        <f t="shared" si="119"/>
        <v>Sangat Rendah</v>
      </c>
    </row>
    <row r="1492" spans="1:20" ht="15.75" customHeight="1" x14ac:dyDescent="0.3">
      <c r="A1492" s="4" t="s">
        <v>843</v>
      </c>
      <c r="B1492" s="3">
        <v>45648.368576388893</v>
      </c>
      <c r="C1492" s="2" t="s">
        <v>844</v>
      </c>
      <c r="D1492" s="2" t="s">
        <v>119</v>
      </c>
      <c r="E1492" s="2" t="s">
        <v>81</v>
      </c>
      <c r="F1492" s="2">
        <v>17000</v>
      </c>
      <c r="G1492" s="2">
        <v>3</v>
      </c>
      <c r="H1492" s="2">
        <v>0</v>
      </c>
      <c r="I1492">
        <f t="shared" si="115"/>
        <v>51000</v>
      </c>
      <c r="J1492">
        <f t="shared" si="116"/>
        <v>0</v>
      </c>
      <c r="K1492" s="6">
        <f t="shared" si="117"/>
        <v>51000</v>
      </c>
      <c r="L1492" s="2">
        <v>0</v>
      </c>
      <c r="M1492" s="6">
        <f>Table1[[#This Row],[Total Sales]]+Table1[[#This Row],[Shipping Fee]]</f>
        <v>51000</v>
      </c>
      <c r="N1492" s="2" t="s">
        <v>63</v>
      </c>
      <c r="O1492" t="str">
        <f>VLOOKUP(Table1[[#This Row],[Order ID]],Status!A:B, 2,FALSE)</f>
        <v>Completed</v>
      </c>
      <c r="P1492" s="2" t="s">
        <v>36</v>
      </c>
      <c r="Q1492" s="2">
        <v>1</v>
      </c>
      <c r="R1492" s="2" t="s">
        <v>24</v>
      </c>
      <c r="S1492" s="11" t="str">
        <f t="shared" si="118"/>
        <v>Rendah</v>
      </c>
      <c r="T1492" s="2" t="str">
        <f t="shared" si="119"/>
        <v>Sangat Rendah</v>
      </c>
    </row>
    <row r="1493" spans="1:20" ht="15.75" customHeight="1" x14ac:dyDescent="0.3">
      <c r="A1493" s="4" t="s">
        <v>842</v>
      </c>
      <c r="B1493" s="3">
        <v>45648.123842592591</v>
      </c>
      <c r="C1493" s="2" t="s">
        <v>148</v>
      </c>
      <c r="D1493" s="2" t="s">
        <v>74</v>
      </c>
      <c r="E1493" s="2" t="s">
        <v>50</v>
      </c>
      <c r="F1493" s="2">
        <v>14000</v>
      </c>
      <c r="G1493" s="2">
        <v>5</v>
      </c>
      <c r="H1493" s="2">
        <v>20</v>
      </c>
      <c r="I1493">
        <f t="shared" si="115"/>
        <v>70000</v>
      </c>
      <c r="J1493">
        <f t="shared" si="116"/>
        <v>14000</v>
      </c>
      <c r="K1493" s="6">
        <f t="shared" si="117"/>
        <v>56000</v>
      </c>
      <c r="L1493" s="2">
        <v>87000</v>
      </c>
      <c r="M1493" s="6">
        <f>Table1[[#This Row],[Total Sales]]+Table1[[#This Row],[Shipping Fee]]</f>
        <v>143000</v>
      </c>
      <c r="N1493" s="2" t="s">
        <v>29</v>
      </c>
      <c r="O1493" t="str">
        <f>VLOOKUP(Table1[[#This Row],[Order ID]],Status!A:B, 2,FALSE)</f>
        <v>Completed</v>
      </c>
      <c r="P1493" s="2" t="s">
        <v>30</v>
      </c>
      <c r="Q1493" s="2">
        <v>3</v>
      </c>
      <c r="R1493" s="2" t="s">
        <v>24</v>
      </c>
      <c r="S1493" s="11" t="str">
        <f t="shared" si="118"/>
        <v>Standar</v>
      </c>
      <c r="T1493" s="2" t="str">
        <f t="shared" si="119"/>
        <v>Normal</v>
      </c>
    </row>
    <row r="1494" spans="1:20" ht="15.75" customHeight="1" x14ac:dyDescent="0.3">
      <c r="A1494" s="4" t="s">
        <v>841</v>
      </c>
      <c r="B1494" s="3">
        <v>45648.021932870368</v>
      </c>
      <c r="C1494" s="2" t="s">
        <v>142</v>
      </c>
      <c r="D1494" s="2" t="s">
        <v>143</v>
      </c>
      <c r="E1494" s="2" t="s">
        <v>186</v>
      </c>
      <c r="F1494" s="2">
        <v>45000</v>
      </c>
      <c r="G1494" s="2">
        <v>2</v>
      </c>
      <c r="H1494" s="2">
        <v>10</v>
      </c>
      <c r="I1494">
        <f t="shared" si="115"/>
        <v>90000</v>
      </c>
      <c r="J1494">
        <f t="shared" si="116"/>
        <v>9000</v>
      </c>
      <c r="K1494" s="6">
        <f t="shared" si="117"/>
        <v>81000</v>
      </c>
      <c r="L1494" s="2">
        <v>50000</v>
      </c>
      <c r="M1494" s="6">
        <f>Table1[[#This Row],[Total Sales]]+Table1[[#This Row],[Shipping Fee]]</f>
        <v>131000</v>
      </c>
      <c r="N1494" s="2" t="s">
        <v>35</v>
      </c>
      <c r="O1494" t="str">
        <f>VLOOKUP(Table1[[#This Row],[Order ID]],Status!A:B, 2,FALSE)</f>
        <v>Returned</v>
      </c>
      <c r="P1494" s="2" t="s">
        <v>82</v>
      </c>
      <c r="Q1494" s="2">
        <v>5</v>
      </c>
      <c r="R1494" s="2" t="s">
        <v>24</v>
      </c>
      <c r="S1494" s="11" t="str">
        <f t="shared" si="118"/>
        <v>Bagus</v>
      </c>
      <c r="T1494" s="2" t="str">
        <f t="shared" si="119"/>
        <v>Rendah</v>
      </c>
    </row>
    <row r="1495" spans="1:20" ht="15.75" customHeight="1" x14ac:dyDescent="0.3">
      <c r="A1495" s="4" t="s">
        <v>840</v>
      </c>
      <c r="B1495" s="3">
        <v>45647.795694444438</v>
      </c>
      <c r="C1495" s="2" t="s">
        <v>553</v>
      </c>
      <c r="D1495" s="2" t="s">
        <v>107</v>
      </c>
      <c r="E1495" s="2" t="s">
        <v>186</v>
      </c>
      <c r="F1495" s="2">
        <v>45000</v>
      </c>
      <c r="G1495" s="2">
        <v>3</v>
      </c>
      <c r="H1495" s="2">
        <v>0</v>
      </c>
      <c r="I1495">
        <f t="shared" si="115"/>
        <v>135000</v>
      </c>
      <c r="J1495">
        <f t="shared" si="116"/>
        <v>0</v>
      </c>
      <c r="K1495" s="6">
        <f t="shared" si="117"/>
        <v>135000</v>
      </c>
      <c r="L1495" s="2">
        <v>97000</v>
      </c>
      <c r="M1495" s="6">
        <f>Table1[[#This Row],[Total Sales]]+Table1[[#This Row],[Shipping Fee]]</f>
        <v>232000</v>
      </c>
      <c r="N1495" s="2" t="s">
        <v>22</v>
      </c>
      <c r="O1495" t="str">
        <f>VLOOKUP(Table1[[#This Row],[Order ID]],Status!A:B, 2,FALSE)</f>
        <v>Cancelled</v>
      </c>
      <c r="P1495" s="2" t="s">
        <v>46</v>
      </c>
      <c r="Q1495" s="2">
        <v>3</v>
      </c>
      <c r="R1495" s="2" t="s">
        <v>24</v>
      </c>
      <c r="S1495" s="11" t="str">
        <f t="shared" si="118"/>
        <v>Standar</v>
      </c>
      <c r="T1495" s="2" t="str">
        <f t="shared" si="119"/>
        <v>Sangat Rendah</v>
      </c>
    </row>
    <row r="1496" spans="1:20" ht="15.75" customHeight="1" x14ac:dyDescent="0.3">
      <c r="A1496" s="4" t="s">
        <v>839</v>
      </c>
      <c r="B1496" s="3">
        <v>45647.72111111111</v>
      </c>
      <c r="C1496" s="2" t="s">
        <v>576</v>
      </c>
      <c r="D1496" s="2" t="s">
        <v>57</v>
      </c>
      <c r="E1496" s="2" t="s">
        <v>123</v>
      </c>
      <c r="F1496" s="2">
        <v>22000</v>
      </c>
      <c r="G1496" s="2">
        <v>1</v>
      </c>
      <c r="H1496" s="2">
        <v>10</v>
      </c>
      <c r="I1496">
        <f t="shared" si="115"/>
        <v>22000</v>
      </c>
      <c r="J1496">
        <f t="shared" si="116"/>
        <v>2200</v>
      </c>
      <c r="K1496" s="6">
        <f t="shared" si="117"/>
        <v>19800</v>
      </c>
      <c r="L1496" s="2">
        <v>80000</v>
      </c>
      <c r="M1496" s="6">
        <f>Table1[[#This Row],[Total Sales]]+Table1[[#This Row],[Shipping Fee]]</f>
        <v>99800</v>
      </c>
      <c r="N1496" s="2" t="s">
        <v>35</v>
      </c>
      <c r="O1496" t="str">
        <f>VLOOKUP(Table1[[#This Row],[Order ID]],Status!A:B, 2,FALSE)</f>
        <v>Completed</v>
      </c>
      <c r="P1496" s="2" t="s">
        <v>36</v>
      </c>
      <c r="Q1496" s="2">
        <v>5</v>
      </c>
      <c r="R1496" s="2" t="s">
        <v>37</v>
      </c>
      <c r="S1496" s="11" t="str">
        <f t="shared" si="118"/>
        <v>Bagus</v>
      </c>
      <c r="T1496" s="2" t="str">
        <f t="shared" si="119"/>
        <v>Sangat Rendah</v>
      </c>
    </row>
    <row r="1497" spans="1:20" ht="15.75" customHeight="1" x14ac:dyDescent="0.3">
      <c r="A1497" s="4" t="s">
        <v>838</v>
      </c>
      <c r="B1497" s="3">
        <v>45647.412569444437</v>
      </c>
      <c r="C1497" s="2" t="s">
        <v>287</v>
      </c>
      <c r="D1497" s="2" t="s">
        <v>262</v>
      </c>
      <c r="E1497" s="2" t="s">
        <v>38</v>
      </c>
      <c r="F1497" s="2">
        <v>28000</v>
      </c>
      <c r="G1497" s="2">
        <v>3</v>
      </c>
      <c r="H1497" s="2">
        <v>0</v>
      </c>
      <c r="I1497">
        <f t="shared" si="115"/>
        <v>84000</v>
      </c>
      <c r="J1497">
        <f t="shared" si="116"/>
        <v>0</v>
      </c>
      <c r="K1497" s="6">
        <f t="shared" si="117"/>
        <v>84000</v>
      </c>
      <c r="L1497" s="2">
        <v>18000</v>
      </c>
      <c r="M1497" s="6">
        <f>Table1[[#This Row],[Total Sales]]+Table1[[#This Row],[Shipping Fee]]</f>
        <v>102000</v>
      </c>
      <c r="N1497" s="2" t="s">
        <v>63</v>
      </c>
      <c r="O1497" t="str">
        <f>VLOOKUP(Table1[[#This Row],[Order ID]],Status!A:B, 2,FALSE)</f>
        <v>Returned</v>
      </c>
      <c r="P1497" s="2" t="s">
        <v>46</v>
      </c>
      <c r="Q1497" s="2">
        <v>3</v>
      </c>
      <c r="R1497" s="2" t="s">
        <v>24</v>
      </c>
      <c r="S1497" s="11" t="str">
        <f t="shared" si="118"/>
        <v>Standar</v>
      </c>
      <c r="T1497" s="2" t="str">
        <f t="shared" si="119"/>
        <v>Sangat Rendah</v>
      </c>
    </row>
    <row r="1498" spans="1:20" ht="15.75" customHeight="1" x14ac:dyDescent="0.3">
      <c r="A1498" s="4" t="s">
        <v>837</v>
      </c>
      <c r="B1498" s="3">
        <v>45646.841527777768</v>
      </c>
      <c r="C1498" s="2" t="s">
        <v>697</v>
      </c>
      <c r="D1498" s="2" t="s">
        <v>143</v>
      </c>
      <c r="E1498" s="2" t="s">
        <v>250</v>
      </c>
      <c r="F1498" s="2">
        <v>18000</v>
      </c>
      <c r="G1498" s="2">
        <v>4</v>
      </c>
      <c r="H1498" s="2">
        <v>20</v>
      </c>
      <c r="I1498">
        <f t="shared" si="115"/>
        <v>72000</v>
      </c>
      <c r="J1498">
        <f t="shared" si="116"/>
        <v>14400</v>
      </c>
      <c r="K1498" s="6">
        <f t="shared" si="117"/>
        <v>57600</v>
      </c>
      <c r="L1498" s="2">
        <v>50000</v>
      </c>
      <c r="M1498" s="6">
        <f>Table1[[#This Row],[Total Sales]]+Table1[[#This Row],[Shipping Fee]]</f>
        <v>107600</v>
      </c>
      <c r="N1498" s="2" t="s">
        <v>22</v>
      </c>
      <c r="O1498" t="str">
        <f>VLOOKUP(Table1[[#This Row],[Order ID]],Status!A:B, 2,FALSE)</f>
        <v>Completed</v>
      </c>
      <c r="P1498" s="2" t="s">
        <v>23</v>
      </c>
      <c r="Q1498" s="2">
        <v>2</v>
      </c>
      <c r="R1498" s="2" t="s">
        <v>37</v>
      </c>
      <c r="S1498" s="11" t="str">
        <f t="shared" si="118"/>
        <v>Rendah</v>
      </c>
      <c r="T1498" s="2" t="str">
        <f t="shared" si="119"/>
        <v>Normal</v>
      </c>
    </row>
    <row r="1499" spans="1:20" ht="15.75" customHeight="1" x14ac:dyDescent="0.3">
      <c r="A1499" s="4" t="s">
        <v>835</v>
      </c>
      <c r="B1499" s="3">
        <v>45646.222916666673</v>
      </c>
      <c r="C1499" s="2" t="s">
        <v>836</v>
      </c>
      <c r="D1499" s="2" t="s">
        <v>33</v>
      </c>
      <c r="E1499" s="2" t="s">
        <v>71</v>
      </c>
      <c r="F1499" s="2">
        <v>40000</v>
      </c>
      <c r="G1499" s="2">
        <v>2</v>
      </c>
      <c r="H1499" s="2">
        <v>5</v>
      </c>
      <c r="I1499">
        <f t="shared" si="115"/>
        <v>80000</v>
      </c>
      <c r="J1499">
        <f t="shared" si="116"/>
        <v>4000</v>
      </c>
      <c r="K1499" s="6">
        <f t="shared" si="117"/>
        <v>76000</v>
      </c>
      <c r="L1499" s="2">
        <v>76000</v>
      </c>
      <c r="M1499" s="6">
        <f>Table1[[#This Row],[Total Sales]]+Table1[[#This Row],[Shipping Fee]]</f>
        <v>152000</v>
      </c>
      <c r="N1499" s="2" t="s">
        <v>22</v>
      </c>
      <c r="O1499" t="str">
        <f>VLOOKUP(Table1[[#This Row],[Order ID]],Status!A:B, 2,FALSE)</f>
        <v>Returned</v>
      </c>
      <c r="P1499" s="2" t="s">
        <v>36</v>
      </c>
      <c r="Q1499" s="2">
        <v>2</v>
      </c>
      <c r="R1499" s="2" t="s">
        <v>37</v>
      </c>
      <c r="S1499" s="11" t="str">
        <f t="shared" si="118"/>
        <v>Rendah</v>
      </c>
      <c r="T1499" s="2" t="str">
        <f t="shared" si="119"/>
        <v>Sangat Rendah</v>
      </c>
    </row>
    <row r="1500" spans="1:20" ht="15.75" customHeight="1" x14ac:dyDescent="0.3">
      <c r="A1500" s="4" t="s">
        <v>833</v>
      </c>
      <c r="B1500" s="3">
        <v>45645.90215277778</v>
      </c>
      <c r="C1500" s="2" t="s">
        <v>834</v>
      </c>
      <c r="D1500" s="2" t="s">
        <v>177</v>
      </c>
      <c r="E1500" s="2" t="s">
        <v>186</v>
      </c>
      <c r="F1500" s="2">
        <v>45000</v>
      </c>
      <c r="G1500" s="2">
        <v>1</v>
      </c>
      <c r="H1500" s="2">
        <v>10</v>
      </c>
      <c r="I1500">
        <f t="shared" si="115"/>
        <v>45000</v>
      </c>
      <c r="J1500">
        <f t="shared" si="116"/>
        <v>4500</v>
      </c>
      <c r="K1500" s="6">
        <f t="shared" si="117"/>
        <v>40500</v>
      </c>
      <c r="L1500" s="2">
        <v>56000</v>
      </c>
      <c r="M1500" s="6">
        <f>Table1[[#This Row],[Total Sales]]+Table1[[#This Row],[Shipping Fee]]</f>
        <v>96500</v>
      </c>
      <c r="N1500" s="2" t="s">
        <v>35</v>
      </c>
      <c r="O1500" t="str">
        <f>VLOOKUP(Table1[[#This Row],[Order ID]],Status!A:B, 2,FALSE)</f>
        <v>Completed</v>
      </c>
      <c r="P1500" s="2" t="s">
        <v>30</v>
      </c>
      <c r="Q1500" s="2">
        <v>5</v>
      </c>
      <c r="R1500" s="2" t="s">
        <v>37</v>
      </c>
      <c r="S1500" s="11" t="str">
        <f t="shared" si="118"/>
        <v>Bagus</v>
      </c>
      <c r="T1500" s="2" t="str">
        <f t="shared" si="119"/>
        <v>Sangat Rendah</v>
      </c>
    </row>
    <row r="1501" spans="1:20" ht="15.75" customHeight="1" x14ac:dyDescent="0.3">
      <c r="A1501" s="4" t="s">
        <v>831</v>
      </c>
      <c r="B1501" s="3">
        <v>45645.80196759259</v>
      </c>
      <c r="C1501" s="2" t="s">
        <v>832</v>
      </c>
      <c r="D1501" s="2" t="s">
        <v>131</v>
      </c>
      <c r="E1501" s="2" t="s">
        <v>81</v>
      </c>
      <c r="F1501" s="2">
        <v>17000</v>
      </c>
      <c r="G1501" s="2">
        <v>3</v>
      </c>
      <c r="H1501" s="2">
        <v>5</v>
      </c>
      <c r="I1501">
        <f t="shared" si="115"/>
        <v>51000</v>
      </c>
      <c r="J1501">
        <f t="shared" si="116"/>
        <v>2550</v>
      </c>
      <c r="K1501" s="6">
        <f t="shared" si="117"/>
        <v>48450</v>
      </c>
      <c r="L1501" s="2">
        <v>59000</v>
      </c>
      <c r="M1501" s="6">
        <f>Table1[[#This Row],[Total Sales]]+Table1[[#This Row],[Shipping Fee]]</f>
        <v>107450</v>
      </c>
      <c r="N1501" s="2" t="s">
        <v>63</v>
      </c>
      <c r="O1501" t="str">
        <f>VLOOKUP(Table1[[#This Row],[Order ID]],Status!A:B, 2,FALSE)</f>
        <v>Completed</v>
      </c>
      <c r="P1501" s="2" t="s">
        <v>23</v>
      </c>
      <c r="Q1501" s="2">
        <v>4</v>
      </c>
      <c r="R1501" s="2" t="s">
        <v>24</v>
      </c>
      <c r="S1501" s="11" t="str">
        <f t="shared" si="118"/>
        <v>Bagus</v>
      </c>
      <c r="T1501" s="2" t="str">
        <f t="shared" si="119"/>
        <v>Sangat Rendah</v>
      </c>
    </row>
    <row r="1502" spans="1:20" ht="15.75" customHeight="1" x14ac:dyDescent="0.3">
      <c r="A1502" s="4" t="s">
        <v>830</v>
      </c>
      <c r="B1502" s="3">
        <v>45645.752430555563</v>
      </c>
      <c r="C1502" s="2" t="s">
        <v>741</v>
      </c>
      <c r="D1502" s="2" t="s">
        <v>189</v>
      </c>
      <c r="E1502" s="2" t="s">
        <v>81</v>
      </c>
      <c r="F1502" s="2">
        <v>17000</v>
      </c>
      <c r="G1502" s="2">
        <v>3</v>
      </c>
      <c r="H1502" s="2">
        <v>5</v>
      </c>
      <c r="I1502">
        <f t="shared" si="115"/>
        <v>51000</v>
      </c>
      <c r="J1502">
        <f t="shared" si="116"/>
        <v>2550</v>
      </c>
      <c r="K1502" s="6">
        <f t="shared" si="117"/>
        <v>48450</v>
      </c>
      <c r="L1502" s="2">
        <v>57000</v>
      </c>
      <c r="M1502" s="6">
        <f>Table1[[#This Row],[Total Sales]]+Table1[[#This Row],[Shipping Fee]]</f>
        <v>105450</v>
      </c>
      <c r="N1502" s="2" t="s">
        <v>63</v>
      </c>
      <c r="O1502" t="str">
        <f>VLOOKUP(Table1[[#This Row],[Order ID]],Status!A:B, 2,FALSE)</f>
        <v>Completed</v>
      </c>
      <c r="P1502" s="2" t="s">
        <v>46</v>
      </c>
      <c r="Q1502" s="2">
        <v>1</v>
      </c>
      <c r="R1502" s="2" t="s">
        <v>24</v>
      </c>
      <c r="S1502" s="11" t="str">
        <f t="shared" si="118"/>
        <v>Rendah</v>
      </c>
      <c r="T1502" s="2" t="str">
        <f t="shared" si="119"/>
        <v>Sangat Rendah</v>
      </c>
    </row>
    <row r="1503" spans="1:20" ht="15.75" customHeight="1" x14ac:dyDescent="0.3">
      <c r="A1503" s="4" t="s">
        <v>829</v>
      </c>
      <c r="B1503" s="3">
        <v>45645.420300925929</v>
      </c>
      <c r="C1503" s="2" t="s">
        <v>794</v>
      </c>
      <c r="D1503" s="2" t="s">
        <v>61</v>
      </c>
      <c r="E1503" s="2" t="s">
        <v>138</v>
      </c>
      <c r="F1503" s="2">
        <v>17000</v>
      </c>
      <c r="G1503" s="2">
        <v>1</v>
      </c>
      <c r="H1503" s="2">
        <v>20</v>
      </c>
      <c r="I1503">
        <f t="shared" si="115"/>
        <v>17000</v>
      </c>
      <c r="J1503">
        <f t="shared" si="116"/>
        <v>3400</v>
      </c>
      <c r="K1503" s="6">
        <f t="shared" si="117"/>
        <v>13600</v>
      </c>
      <c r="L1503" s="2">
        <v>26000</v>
      </c>
      <c r="M1503" s="6">
        <f>Table1[[#This Row],[Total Sales]]+Table1[[#This Row],[Shipping Fee]]</f>
        <v>39600</v>
      </c>
      <c r="N1503" s="2" t="s">
        <v>22</v>
      </c>
      <c r="O1503" t="str">
        <f>VLOOKUP(Table1[[#This Row],[Order ID]],Status!A:B, 2,FALSE)</f>
        <v>Returned</v>
      </c>
      <c r="P1503" s="2" t="s">
        <v>23</v>
      </c>
      <c r="Q1503" s="2">
        <v>4</v>
      </c>
      <c r="R1503" s="2" t="s">
        <v>37</v>
      </c>
      <c r="S1503" s="11" t="str">
        <f t="shared" si="118"/>
        <v>Bagus</v>
      </c>
      <c r="T1503" s="2" t="str">
        <f t="shared" si="119"/>
        <v>Sangat Rendah</v>
      </c>
    </row>
    <row r="1504" spans="1:20" ht="15.75" customHeight="1" x14ac:dyDescent="0.3">
      <c r="A1504" s="4" t="s">
        <v>828</v>
      </c>
      <c r="B1504" s="3">
        <v>45645.126064814824</v>
      </c>
      <c r="C1504" s="2" t="s">
        <v>79</v>
      </c>
      <c r="D1504" s="2" t="s">
        <v>80</v>
      </c>
      <c r="E1504" s="2" t="s">
        <v>38</v>
      </c>
      <c r="F1504" s="2">
        <v>28000</v>
      </c>
      <c r="G1504" s="2">
        <v>3</v>
      </c>
      <c r="H1504" s="2">
        <v>15</v>
      </c>
      <c r="I1504">
        <f t="shared" si="115"/>
        <v>84000</v>
      </c>
      <c r="J1504">
        <f t="shared" si="116"/>
        <v>12600</v>
      </c>
      <c r="K1504" s="6">
        <f t="shared" si="117"/>
        <v>71400</v>
      </c>
      <c r="L1504" s="2">
        <v>74000</v>
      </c>
      <c r="M1504" s="6">
        <f>Table1[[#This Row],[Total Sales]]+Table1[[#This Row],[Shipping Fee]]</f>
        <v>145400</v>
      </c>
      <c r="N1504" s="2" t="s">
        <v>22</v>
      </c>
      <c r="O1504" t="str">
        <f>VLOOKUP(Table1[[#This Row],[Order ID]],Status!A:B, 2,FALSE)</f>
        <v>Returned</v>
      </c>
      <c r="P1504" s="2" t="s">
        <v>82</v>
      </c>
      <c r="Q1504" s="2">
        <v>5</v>
      </c>
      <c r="R1504" s="2" t="s">
        <v>24</v>
      </c>
      <c r="S1504" s="11" t="str">
        <f t="shared" si="118"/>
        <v>Bagus</v>
      </c>
      <c r="T1504" s="2" t="str">
        <f t="shared" si="119"/>
        <v>Normal</v>
      </c>
    </row>
    <row r="1505" spans="1:20" ht="15.75" customHeight="1" x14ac:dyDescent="0.3">
      <c r="A1505" s="4" t="s">
        <v>828</v>
      </c>
      <c r="B1505" s="3">
        <v>45645.126064814824</v>
      </c>
      <c r="C1505" s="2" t="s">
        <v>79</v>
      </c>
      <c r="D1505" s="2" t="s">
        <v>80</v>
      </c>
      <c r="E1505" s="2" t="s">
        <v>67</v>
      </c>
      <c r="F1505" s="2">
        <v>15000</v>
      </c>
      <c r="G1505" s="2">
        <v>4</v>
      </c>
      <c r="H1505" s="2">
        <v>15</v>
      </c>
      <c r="I1505">
        <f t="shared" si="115"/>
        <v>60000</v>
      </c>
      <c r="J1505">
        <f t="shared" si="116"/>
        <v>9000</v>
      </c>
      <c r="K1505" s="6">
        <f t="shared" si="117"/>
        <v>51000</v>
      </c>
      <c r="L1505" s="2">
        <v>0</v>
      </c>
      <c r="M1505" s="6">
        <f>Table1[[#This Row],[Total Sales]]+Table1[[#This Row],[Shipping Fee]]</f>
        <v>51000</v>
      </c>
      <c r="N1505" s="2" t="s">
        <v>22</v>
      </c>
      <c r="O1505" t="str">
        <f>VLOOKUP(Table1[[#This Row],[Order ID]],Status!A:B, 2,FALSE)</f>
        <v>Returned</v>
      </c>
      <c r="P1505" s="2" t="s">
        <v>82</v>
      </c>
      <c r="Q1505" s="2">
        <v>5</v>
      </c>
      <c r="R1505" s="2" t="s">
        <v>24</v>
      </c>
      <c r="S1505" s="11" t="str">
        <f t="shared" si="118"/>
        <v>Bagus</v>
      </c>
      <c r="T1505" s="2" t="str">
        <f t="shared" si="119"/>
        <v>Rendah</v>
      </c>
    </row>
    <row r="1506" spans="1:20" ht="15.75" customHeight="1" x14ac:dyDescent="0.3">
      <c r="A1506" s="4" t="s">
        <v>826</v>
      </c>
      <c r="B1506" s="3">
        <v>45645.045162037037</v>
      </c>
      <c r="C1506" s="2" t="s">
        <v>827</v>
      </c>
      <c r="D1506" s="2" t="s">
        <v>20</v>
      </c>
      <c r="E1506" s="2" t="s">
        <v>186</v>
      </c>
      <c r="F1506" s="2">
        <v>45000</v>
      </c>
      <c r="G1506" s="2">
        <v>1</v>
      </c>
      <c r="H1506" s="2">
        <v>20</v>
      </c>
      <c r="I1506">
        <f t="shared" si="115"/>
        <v>45000</v>
      </c>
      <c r="J1506">
        <f t="shared" si="116"/>
        <v>9000</v>
      </c>
      <c r="K1506" s="6">
        <f t="shared" si="117"/>
        <v>36000</v>
      </c>
      <c r="L1506" s="2">
        <v>15000</v>
      </c>
      <c r="M1506" s="6">
        <f>Table1[[#This Row],[Total Sales]]+Table1[[#This Row],[Shipping Fee]]</f>
        <v>51000</v>
      </c>
      <c r="N1506" s="2" t="s">
        <v>63</v>
      </c>
      <c r="O1506" t="str">
        <f>VLOOKUP(Table1[[#This Row],[Order ID]],Status!A:B, 2,FALSE)</f>
        <v>Completed</v>
      </c>
      <c r="P1506" s="2" t="s">
        <v>82</v>
      </c>
      <c r="Q1506" s="2">
        <v>1</v>
      </c>
      <c r="R1506" s="2" t="s">
        <v>24</v>
      </c>
      <c r="S1506" s="11" t="str">
        <f t="shared" si="118"/>
        <v>Rendah</v>
      </c>
      <c r="T1506" s="2" t="str">
        <f t="shared" si="119"/>
        <v>Rendah</v>
      </c>
    </row>
    <row r="1507" spans="1:20" ht="15.75" customHeight="1" x14ac:dyDescent="0.3">
      <c r="A1507" s="4" t="s">
        <v>825</v>
      </c>
      <c r="B1507" s="3">
        <v>45645.036539351851</v>
      </c>
      <c r="C1507" s="2" t="s">
        <v>381</v>
      </c>
      <c r="D1507" s="2" t="s">
        <v>103</v>
      </c>
      <c r="E1507" s="2" t="s">
        <v>144</v>
      </c>
      <c r="F1507" s="2">
        <v>18000</v>
      </c>
      <c r="G1507" s="2">
        <v>5</v>
      </c>
      <c r="H1507" s="2">
        <v>5</v>
      </c>
      <c r="I1507">
        <f t="shared" si="115"/>
        <v>90000</v>
      </c>
      <c r="J1507">
        <f t="shared" si="116"/>
        <v>4500</v>
      </c>
      <c r="K1507" s="6">
        <f t="shared" si="117"/>
        <v>85500</v>
      </c>
      <c r="L1507" s="2">
        <v>85000</v>
      </c>
      <c r="M1507" s="6">
        <f>Table1[[#This Row],[Total Sales]]+Table1[[#This Row],[Shipping Fee]]</f>
        <v>170500</v>
      </c>
      <c r="N1507" s="2" t="s">
        <v>63</v>
      </c>
      <c r="O1507" t="str">
        <f>VLOOKUP(Table1[[#This Row],[Order ID]],Status!A:B, 2,FALSE)</f>
        <v>Returned</v>
      </c>
      <c r="P1507" s="2" t="s">
        <v>36</v>
      </c>
      <c r="Q1507" s="2">
        <v>5</v>
      </c>
      <c r="R1507" s="2" t="s">
        <v>24</v>
      </c>
      <c r="S1507" s="11" t="str">
        <f t="shared" si="118"/>
        <v>Bagus</v>
      </c>
      <c r="T1507" s="2" t="str">
        <f t="shared" si="119"/>
        <v>Sangat Rendah</v>
      </c>
    </row>
    <row r="1508" spans="1:20" ht="15.75" customHeight="1" x14ac:dyDescent="0.3">
      <c r="A1508" s="4" t="s">
        <v>824</v>
      </c>
      <c r="B1508" s="3">
        <v>45645.030231481483</v>
      </c>
      <c r="C1508" s="2" t="s">
        <v>547</v>
      </c>
      <c r="D1508" s="2" t="s">
        <v>119</v>
      </c>
      <c r="E1508" s="2" t="s">
        <v>123</v>
      </c>
      <c r="F1508" s="2">
        <v>22000</v>
      </c>
      <c r="G1508" s="2">
        <v>1</v>
      </c>
      <c r="H1508" s="2">
        <v>20</v>
      </c>
      <c r="I1508">
        <f t="shared" si="115"/>
        <v>22000</v>
      </c>
      <c r="J1508">
        <f t="shared" si="116"/>
        <v>4400</v>
      </c>
      <c r="K1508" s="6">
        <f t="shared" si="117"/>
        <v>17600</v>
      </c>
      <c r="L1508" s="2">
        <v>0</v>
      </c>
      <c r="M1508" s="6">
        <f>Table1[[#This Row],[Total Sales]]+Table1[[#This Row],[Shipping Fee]]</f>
        <v>17600</v>
      </c>
      <c r="N1508" s="2" t="s">
        <v>35</v>
      </c>
      <c r="O1508" t="str">
        <f>VLOOKUP(Table1[[#This Row],[Order ID]],Status!A:B, 2,FALSE)</f>
        <v>Completed</v>
      </c>
      <c r="P1508" s="2" t="s">
        <v>46</v>
      </c>
      <c r="Q1508" s="2">
        <v>1</v>
      </c>
      <c r="R1508" s="2" t="s">
        <v>37</v>
      </c>
      <c r="S1508" s="11" t="str">
        <f t="shared" si="118"/>
        <v>Rendah</v>
      </c>
      <c r="T1508" s="2" t="str">
        <f t="shared" si="119"/>
        <v>Sangat Rendah</v>
      </c>
    </row>
    <row r="1509" spans="1:20" ht="15.75" customHeight="1" x14ac:dyDescent="0.3">
      <c r="A1509" s="4" t="s">
        <v>823</v>
      </c>
      <c r="B1509" s="3">
        <v>45644.162418981483</v>
      </c>
      <c r="C1509" s="2" t="s">
        <v>323</v>
      </c>
      <c r="D1509" s="2" t="s">
        <v>103</v>
      </c>
      <c r="E1509" s="2" t="s">
        <v>58</v>
      </c>
      <c r="F1509" s="2">
        <v>16000</v>
      </c>
      <c r="G1509" s="2">
        <v>3</v>
      </c>
      <c r="H1509" s="2">
        <v>10</v>
      </c>
      <c r="I1509">
        <f t="shared" si="115"/>
        <v>48000</v>
      </c>
      <c r="J1509">
        <f t="shared" si="116"/>
        <v>4800</v>
      </c>
      <c r="K1509" s="6">
        <f t="shared" si="117"/>
        <v>43200</v>
      </c>
      <c r="L1509" s="2">
        <v>85000</v>
      </c>
      <c r="M1509" s="6">
        <f>Table1[[#This Row],[Total Sales]]+Table1[[#This Row],[Shipping Fee]]</f>
        <v>128200</v>
      </c>
      <c r="N1509" s="2" t="s">
        <v>35</v>
      </c>
      <c r="O1509" t="str">
        <f>VLOOKUP(Table1[[#This Row],[Order ID]],Status!A:B, 2,FALSE)</f>
        <v>Completed</v>
      </c>
      <c r="P1509" s="2" t="s">
        <v>46</v>
      </c>
      <c r="Q1509" s="2">
        <v>1</v>
      </c>
      <c r="R1509" s="2" t="s">
        <v>24</v>
      </c>
      <c r="S1509" s="11" t="str">
        <f t="shared" si="118"/>
        <v>Rendah</v>
      </c>
      <c r="T1509" s="2" t="str">
        <f t="shared" si="119"/>
        <v>Sangat Rendah</v>
      </c>
    </row>
    <row r="1510" spans="1:20" ht="15.75" customHeight="1" x14ac:dyDescent="0.3">
      <c r="A1510" s="4" t="s">
        <v>823</v>
      </c>
      <c r="B1510" s="3">
        <v>45644.162418981483</v>
      </c>
      <c r="C1510" s="2" t="s">
        <v>323</v>
      </c>
      <c r="D1510" s="2" t="s">
        <v>103</v>
      </c>
      <c r="E1510" s="2" t="s">
        <v>138</v>
      </c>
      <c r="F1510" s="2">
        <v>17000</v>
      </c>
      <c r="G1510" s="2">
        <v>4</v>
      </c>
      <c r="H1510" s="2">
        <v>5</v>
      </c>
      <c r="I1510">
        <f t="shared" si="115"/>
        <v>68000</v>
      </c>
      <c r="J1510">
        <f t="shared" si="116"/>
        <v>3400</v>
      </c>
      <c r="K1510" s="6">
        <f t="shared" si="117"/>
        <v>64600</v>
      </c>
      <c r="L1510" s="2">
        <v>0</v>
      </c>
      <c r="M1510" s="6">
        <f>Table1[[#This Row],[Total Sales]]+Table1[[#This Row],[Shipping Fee]]</f>
        <v>64600</v>
      </c>
      <c r="N1510" s="2" t="s">
        <v>35</v>
      </c>
      <c r="O1510" t="str">
        <f>VLOOKUP(Table1[[#This Row],[Order ID]],Status!A:B, 2,FALSE)</f>
        <v>Completed</v>
      </c>
      <c r="P1510" s="2" t="s">
        <v>46</v>
      </c>
      <c r="Q1510" s="2">
        <v>1</v>
      </c>
      <c r="R1510" s="2" t="s">
        <v>24</v>
      </c>
      <c r="S1510" s="11" t="str">
        <f t="shared" si="118"/>
        <v>Rendah</v>
      </c>
      <c r="T1510" s="2" t="str">
        <f t="shared" si="119"/>
        <v>Sangat Rendah</v>
      </c>
    </row>
    <row r="1511" spans="1:20" ht="15.75" customHeight="1" x14ac:dyDescent="0.3">
      <c r="A1511" s="4" t="s">
        <v>822</v>
      </c>
      <c r="B1511" s="3">
        <v>45643.960775462961</v>
      </c>
      <c r="C1511" s="2" t="s">
        <v>125</v>
      </c>
      <c r="D1511" s="2" t="s">
        <v>126</v>
      </c>
      <c r="E1511" s="2" t="s">
        <v>28</v>
      </c>
      <c r="F1511" s="2">
        <v>5000</v>
      </c>
      <c r="G1511" s="2">
        <v>2</v>
      </c>
      <c r="H1511" s="2">
        <v>0</v>
      </c>
      <c r="I1511">
        <f t="shared" si="115"/>
        <v>10000</v>
      </c>
      <c r="J1511">
        <f t="shared" si="116"/>
        <v>0</v>
      </c>
      <c r="K1511" s="6">
        <f t="shared" si="117"/>
        <v>10000</v>
      </c>
      <c r="L1511" s="2">
        <v>84000</v>
      </c>
      <c r="M1511" s="6">
        <f>Table1[[#This Row],[Total Sales]]+Table1[[#This Row],[Shipping Fee]]</f>
        <v>94000</v>
      </c>
      <c r="N1511" s="2" t="s">
        <v>29</v>
      </c>
      <c r="O1511" t="str">
        <f>VLOOKUP(Table1[[#This Row],[Order ID]],Status!A:B, 2,FALSE)</f>
        <v>Completed</v>
      </c>
      <c r="P1511" s="2" t="s">
        <v>82</v>
      </c>
      <c r="Q1511" s="2">
        <v>4</v>
      </c>
      <c r="R1511" s="2" t="s">
        <v>24</v>
      </c>
      <c r="S1511" s="11" t="str">
        <f t="shared" si="118"/>
        <v>Bagus</v>
      </c>
      <c r="T1511" s="2" t="str">
        <f t="shared" si="119"/>
        <v>Sangat Rendah</v>
      </c>
    </row>
    <row r="1512" spans="1:20" ht="15.75" customHeight="1" x14ac:dyDescent="0.3">
      <c r="A1512" s="4" t="s">
        <v>820</v>
      </c>
      <c r="B1512" s="3">
        <v>45643.807789351849</v>
      </c>
      <c r="C1512" s="2" t="s">
        <v>821</v>
      </c>
      <c r="D1512" s="2" t="s">
        <v>131</v>
      </c>
      <c r="E1512" s="2" t="s">
        <v>136</v>
      </c>
      <c r="F1512" s="2">
        <v>12000</v>
      </c>
      <c r="G1512" s="2">
        <v>4</v>
      </c>
      <c r="H1512" s="2">
        <v>20</v>
      </c>
      <c r="I1512">
        <f t="shared" si="115"/>
        <v>48000</v>
      </c>
      <c r="J1512">
        <f t="shared" si="116"/>
        <v>9600</v>
      </c>
      <c r="K1512" s="6">
        <f t="shared" si="117"/>
        <v>38400</v>
      </c>
      <c r="L1512" s="2">
        <v>59000</v>
      </c>
      <c r="M1512" s="6">
        <f>Table1[[#This Row],[Total Sales]]+Table1[[#This Row],[Shipping Fee]]</f>
        <v>97400</v>
      </c>
      <c r="N1512" s="2" t="s">
        <v>63</v>
      </c>
      <c r="O1512" t="str">
        <f>VLOOKUP(Table1[[#This Row],[Order ID]],Status!A:B, 2,FALSE)</f>
        <v>Completed</v>
      </c>
      <c r="P1512" s="2" t="s">
        <v>23</v>
      </c>
      <c r="Q1512" s="2">
        <v>1</v>
      </c>
      <c r="R1512" s="2" t="s">
        <v>24</v>
      </c>
      <c r="S1512" s="11" t="str">
        <f t="shared" si="118"/>
        <v>Rendah</v>
      </c>
      <c r="T1512" s="2" t="str">
        <f t="shared" si="119"/>
        <v>Rendah</v>
      </c>
    </row>
    <row r="1513" spans="1:20" ht="15.75" customHeight="1" x14ac:dyDescent="0.3">
      <c r="A1513" s="4" t="s">
        <v>818</v>
      </c>
      <c r="B1513" s="3">
        <v>45643.491828703707</v>
      </c>
      <c r="C1513" s="2" t="s">
        <v>819</v>
      </c>
      <c r="D1513" s="2" t="s">
        <v>126</v>
      </c>
      <c r="E1513" s="2" t="s">
        <v>88</v>
      </c>
      <c r="F1513" s="2">
        <v>14000</v>
      </c>
      <c r="G1513" s="2">
        <v>4</v>
      </c>
      <c r="H1513" s="2">
        <v>10</v>
      </c>
      <c r="I1513">
        <f t="shared" si="115"/>
        <v>56000</v>
      </c>
      <c r="J1513">
        <f t="shared" si="116"/>
        <v>5600</v>
      </c>
      <c r="K1513" s="6">
        <f t="shared" si="117"/>
        <v>50400</v>
      </c>
      <c r="L1513" s="2">
        <v>84000</v>
      </c>
      <c r="M1513" s="6">
        <f>Table1[[#This Row],[Total Sales]]+Table1[[#This Row],[Shipping Fee]]</f>
        <v>134400</v>
      </c>
      <c r="N1513" s="2" t="s">
        <v>22</v>
      </c>
      <c r="O1513" t="str">
        <f>VLOOKUP(Table1[[#This Row],[Order ID]],Status!A:B, 2,FALSE)</f>
        <v>Completed</v>
      </c>
      <c r="P1513" s="2" t="s">
        <v>36</v>
      </c>
      <c r="Q1513" s="2">
        <v>5</v>
      </c>
      <c r="R1513" s="2" t="s">
        <v>24</v>
      </c>
      <c r="S1513" s="11" t="str">
        <f t="shared" si="118"/>
        <v>Bagus</v>
      </c>
      <c r="T1513" s="2" t="str">
        <f t="shared" si="119"/>
        <v>Rendah</v>
      </c>
    </row>
    <row r="1514" spans="1:20" ht="15.75" customHeight="1" x14ac:dyDescent="0.3">
      <c r="A1514" s="4" t="s">
        <v>817</v>
      </c>
      <c r="B1514" s="3">
        <v>45643.473877314813</v>
      </c>
      <c r="C1514" s="2" t="s">
        <v>383</v>
      </c>
      <c r="D1514" s="2" t="s">
        <v>122</v>
      </c>
      <c r="E1514" s="2" t="s">
        <v>62</v>
      </c>
      <c r="F1514" s="2">
        <v>50000</v>
      </c>
      <c r="G1514" s="2">
        <v>4</v>
      </c>
      <c r="H1514" s="2">
        <v>15</v>
      </c>
      <c r="I1514">
        <f t="shared" si="115"/>
        <v>200000</v>
      </c>
      <c r="J1514">
        <f t="shared" si="116"/>
        <v>30000</v>
      </c>
      <c r="K1514" s="6">
        <f t="shared" si="117"/>
        <v>170000</v>
      </c>
      <c r="L1514" s="2">
        <v>78000</v>
      </c>
      <c r="M1514" s="6">
        <f>Table1[[#This Row],[Total Sales]]+Table1[[#This Row],[Shipping Fee]]</f>
        <v>248000</v>
      </c>
      <c r="N1514" s="2" t="s">
        <v>63</v>
      </c>
      <c r="O1514" t="str">
        <f>VLOOKUP(Table1[[#This Row],[Order ID]],Status!A:B, 2,FALSE)</f>
        <v>Completed</v>
      </c>
      <c r="P1514" s="2" t="s">
        <v>30</v>
      </c>
      <c r="Q1514" s="2">
        <v>2</v>
      </c>
      <c r="R1514" s="2" t="s">
        <v>24</v>
      </c>
      <c r="S1514" s="11" t="str">
        <f t="shared" si="118"/>
        <v>Rendah</v>
      </c>
      <c r="T1514" s="2" t="str">
        <f t="shared" si="119"/>
        <v>Tinggi</v>
      </c>
    </row>
    <row r="1515" spans="1:20" ht="15.75" customHeight="1" x14ac:dyDescent="0.3">
      <c r="A1515" s="4" t="s">
        <v>816</v>
      </c>
      <c r="B1515" s="3">
        <v>45642.787106481483</v>
      </c>
      <c r="C1515" s="2" t="s">
        <v>557</v>
      </c>
      <c r="D1515" s="2" t="s">
        <v>173</v>
      </c>
      <c r="E1515" s="2" t="s">
        <v>45</v>
      </c>
      <c r="F1515" s="2">
        <v>40000</v>
      </c>
      <c r="G1515" s="2">
        <v>4</v>
      </c>
      <c r="H1515" s="2">
        <v>15</v>
      </c>
      <c r="I1515">
        <f t="shared" si="115"/>
        <v>160000</v>
      </c>
      <c r="J1515">
        <f t="shared" si="116"/>
        <v>24000</v>
      </c>
      <c r="K1515" s="6">
        <f t="shared" si="117"/>
        <v>136000</v>
      </c>
      <c r="L1515" s="2">
        <v>49000</v>
      </c>
      <c r="M1515" s="6">
        <f>Table1[[#This Row],[Total Sales]]+Table1[[#This Row],[Shipping Fee]]</f>
        <v>185000</v>
      </c>
      <c r="N1515" s="2" t="s">
        <v>29</v>
      </c>
      <c r="O1515" t="str">
        <f>VLOOKUP(Table1[[#This Row],[Order ID]],Status!A:B, 2,FALSE)</f>
        <v>Completed</v>
      </c>
      <c r="P1515" s="2" t="s">
        <v>36</v>
      </c>
      <c r="Q1515" s="2">
        <v>2</v>
      </c>
      <c r="R1515" s="2" t="s">
        <v>24</v>
      </c>
      <c r="S1515" s="11" t="str">
        <f t="shared" si="118"/>
        <v>Rendah</v>
      </c>
      <c r="T1515" s="2" t="str">
        <f t="shared" si="119"/>
        <v>Tinggi</v>
      </c>
    </row>
    <row r="1516" spans="1:20" ht="15.75" customHeight="1" x14ac:dyDescent="0.3">
      <c r="A1516" s="4" t="s">
        <v>815</v>
      </c>
      <c r="B1516" s="3">
        <v>45642.536064814813</v>
      </c>
      <c r="C1516" s="2" t="s">
        <v>162</v>
      </c>
      <c r="D1516" s="2" t="s">
        <v>163</v>
      </c>
      <c r="E1516" s="2" t="s">
        <v>50</v>
      </c>
      <c r="F1516" s="2">
        <v>14000</v>
      </c>
      <c r="G1516" s="2">
        <v>4</v>
      </c>
      <c r="H1516" s="2">
        <v>20</v>
      </c>
      <c r="I1516">
        <f t="shared" si="115"/>
        <v>56000</v>
      </c>
      <c r="J1516">
        <f t="shared" si="116"/>
        <v>11200</v>
      </c>
      <c r="K1516" s="6">
        <f t="shared" si="117"/>
        <v>44800</v>
      </c>
      <c r="L1516" s="2">
        <v>50000</v>
      </c>
      <c r="M1516" s="6">
        <f>Table1[[#This Row],[Total Sales]]+Table1[[#This Row],[Shipping Fee]]</f>
        <v>94800</v>
      </c>
      <c r="N1516" s="2" t="s">
        <v>29</v>
      </c>
      <c r="O1516" t="str">
        <f>VLOOKUP(Table1[[#This Row],[Order ID]],Status!A:B, 2,FALSE)</f>
        <v>Completed</v>
      </c>
      <c r="P1516" s="2" t="s">
        <v>82</v>
      </c>
      <c r="Q1516" s="2">
        <v>2</v>
      </c>
      <c r="R1516" s="2" t="s">
        <v>24</v>
      </c>
      <c r="S1516" s="11" t="str">
        <f t="shared" si="118"/>
        <v>Rendah</v>
      </c>
      <c r="T1516" s="2" t="str">
        <f t="shared" si="119"/>
        <v>Normal</v>
      </c>
    </row>
    <row r="1517" spans="1:20" ht="15.75" customHeight="1" x14ac:dyDescent="0.3">
      <c r="A1517" s="4" t="s">
        <v>814</v>
      </c>
      <c r="B1517" s="3">
        <v>45642.491030092591</v>
      </c>
      <c r="C1517" s="2" t="s">
        <v>207</v>
      </c>
      <c r="D1517" s="2" t="s">
        <v>96</v>
      </c>
      <c r="E1517" s="2" t="s">
        <v>62</v>
      </c>
      <c r="F1517" s="2">
        <v>50000</v>
      </c>
      <c r="G1517" s="2">
        <v>3</v>
      </c>
      <c r="H1517" s="2">
        <v>5</v>
      </c>
      <c r="I1517">
        <f t="shared" si="115"/>
        <v>150000</v>
      </c>
      <c r="J1517">
        <f t="shared" si="116"/>
        <v>7500</v>
      </c>
      <c r="K1517" s="6">
        <f t="shared" si="117"/>
        <v>142500</v>
      </c>
      <c r="L1517" s="2">
        <v>49000</v>
      </c>
      <c r="M1517" s="6">
        <f>Table1[[#This Row],[Total Sales]]+Table1[[#This Row],[Shipping Fee]]</f>
        <v>191500</v>
      </c>
      <c r="N1517" s="2" t="s">
        <v>29</v>
      </c>
      <c r="O1517" t="str">
        <f>VLOOKUP(Table1[[#This Row],[Order ID]],Status!A:B, 2,FALSE)</f>
        <v>Completed</v>
      </c>
      <c r="P1517" s="2" t="s">
        <v>36</v>
      </c>
      <c r="Q1517" s="2">
        <v>1</v>
      </c>
      <c r="R1517" s="2" t="s">
        <v>24</v>
      </c>
      <c r="S1517" s="11" t="str">
        <f t="shared" si="118"/>
        <v>Rendah</v>
      </c>
      <c r="T1517" s="2" t="str">
        <f t="shared" si="119"/>
        <v>Rendah</v>
      </c>
    </row>
    <row r="1518" spans="1:20" ht="15.75" customHeight="1" x14ac:dyDescent="0.3">
      <c r="A1518" s="4" t="s">
        <v>813</v>
      </c>
      <c r="B1518" s="3">
        <v>45642.484791666669</v>
      </c>
      <c r="C1518" s="2" t="s">
        <v>311</v>
      </c>
      <c r="D1518" s="2" t="s">
        <v>116</v>
      </c>
      <c r="E1518" s="2" t="s">
        <v>93</v>
      </c>
      <c r="F1518" s="2">
        <v>25000</v>
      </c>
      <c r="G1518" s="2">
        <v>5</v>
      </c>
      <c r="H1518" s="2">
        <v>0</v>
      </c>
      <c r="I1518">
        <f t="shared" si="115"/>
        <v>125000</v>
      </c>
      <c r="J1518">
        <f t="shared" si="116"/>
        <v>0</v>
      </c>
      <c r="K1518" s="6">
        <f t="shared" si="117"/>
        <v>125000</v>
      </c>
      <c r="L1518" s="2">
        <v>72000</v>
      </c>
      <c r="M1518" s="6">
        <f>Table1[[#This Row],[Total Sales]]+Table1[[#This Row],[Shipping Fee]]</f>
        <v>197000</v>
      </c>
      <c r="N1518" s="2" t="s">
        <v>22</v>
      </c>
      <c r="O1518" t="str">
        <f>VLOOKUP(Table1[[#This Row],[Order ID]],Status!A:B, 2,FALSE)</f>
        <v>Completed</v>
      </c>
      <c r="P1518" s="2" t="s">
        <v>23</v>
      </c>
      <c r="Q1518" s="2">
        <v>5</v>
      </c>
      <c r="R1518" s="2" t="s">
        <v>24</v>
      </c>
      <c r="S1518" s="11" t="str">
        <f t="shared" si="118"/>
        <v>Bagus</v>
      </c>
      <c r="T1518" s="2" t="str">
        <f t="shared" si="119"/>
        <v>Sangat Rendah</v>
      </c>
    </row>
    <row r="1519" spans="1:20" ht="15.75" customHeight="1" x14ac:dyDescent="0.3">
      <c r="A1519" s="4" t="s">
        <v>811</v>
      </c>
      <c r="B1519" s="3">
        <v>45642.436053240737</v>
      </c>
      <c r="C1519" s="2" t="s">
        <v>812</v>
      </c>
      <c r="D1519" s="2" t="s">
        <v>33</v>
      </c>
      <c r="E1519" s="2" t="s">
        <v>34</v>
      </c>
      <c r="F1519" s="2">
        <v>16000</v>
      </c>
      <c r="G1519" s="2">
        <v>3</v>
      </c>
      <c r="H1519" s="2">
        <v>0</v>
      </c>
      <c r="I1519">
        <f t="shared" si="115"/>
        <v>48000</v>
      </c>
      <c r="J1519">
        <f t="shared" si="116"/>
        <v>0</v>
      </c>
      <c r="K1519" s="6">
        <f t="shared" si="117"/>
        <v>48000</v>
      </c>
      <c r="L1519" s="2">
        <v>76000</v>
      </c>
      <c r="M1519" s="6">
        <f>Table1[[#This Row],[Total Sales]]+Table1[[#This Row],[Shipping Fee]]</f>
        <v>124000</v>
      </c>
      <c r="N1519" s="2" t="s">
        <v>22</v>
      </c>
      <c r="O1519" t="str">
        <f>VLOOKUP(Table1[[#This Row],[Order ID]],Status!A:B, 2,FALSE)</f>
        <v>Completed</v>
      </c>
      <c r="P1519" s="2" t="s">
        <v>30</v>
      </c>
      <c r="Q1519" s="2">
        <v>3</v>
      </c>
      <c r="R1519" s="2" t="s">
        <v>24</v>
      </c>
      <c r="S1519" s="11" t="str">
        <f t="shared" si="118"/>
        <v>Standar</v>
      </c>
      <c r="T1519" s="2" t="str">
        <f t="shared" si="119"/>
        <v>Sangat Rendah</v>
      </c>
    </row>
    <row r="1520" spans="1:20" ht="15.75" customHeight="1" x14ac:dyDescent="0.3">
      <c r="A1520" s="4" t="s">
        <v>810</v>
      </c>
      <c r="B1520" s="3">
        <v>45641.617743055547</v>
      </c>
      <c r="C1520" s="2" t="s">
        <v>283</v>
      </c>
      <c r="D1520" s="2" t="s">
        <v>92</v>
      </c>
      <c r="E1520" s="2" t="s">
        <v>45</v>
      </c>
      <c r="F1520" s="2">
        <v>40000</v>
      </c>
      <c r="G1520" s="2">
        <v>5</v>
      </c>
      <c r="H1520" s="2">
        <v>10</v>
      </c>
      <c r="I1520">
        <f t="shared" si="115"/>
        <v>200000</v>
      </c>
      <c r="J1520">
        <f t="shared" si="116"/>
        <v>20000</v>
      </c>
      <c r="K1520" s="6">
        <f t="shared" si="117"/>
        <v>180000</v>
      </c>
      <c r="L1520" s="2">
        <v>30000</v>
      </c>
      <c r="M1520" s="6">
        <f>Table1[[#This Row],[Total Sales]]+Table1[[#This Row],[Shipping Fee]]</f>
        <v>210000</v>
      </c>
      <c r="N1520" s="2" t="s">
        <v>29</v>
      </c>
      <c r="O1520" t="str">
        <f>VLOOKUP(Table1[[#This Row],[Order ID]],Status!A:B, 2,FALSE)</f>
        <v>Completed</v>
      </c>
      <c r="P1520" s="2" t="s">
        <v>30</v>
      </c>
      <c r="Q1520" s="2">
        <v>3</v>
      </c>
      <c r="R1520" s="2" t="s">
        <v>24</v>
      </c>
      <c r="S1520" s="11" t="str">
        <f t="shared" si="118"/>
        <v>Standar</v>
      </c>
      <c r="T1520" s="2" t="str">
        <f t="shared" si="119"/>
        <v>Normal</v>
      </c>
    </row>
    <row r="1521" spans="1:20" ht="15.75" customHeight="1" x14ac:dyDescent="0.3">
      <c r="A1521" s="4" t="s">
        <v>809</v>
      </c>
      <c r="B1521" s="3">
        <v>45641.529745370368</v>
      </c>
      <c r="C1521" s="2" t="s">
        <v>379</v>
      </c>
      <c r="D1521" s="2" t="s">
        <v>27</v>
      </c>
      <c r="E1521" s="2" t="s">
        <v>34</v>
      </c>
      <c r="F1521" s="2">
        <v>16000</v>
      </c>
      <c r="G1521" s="2">
        <v>3</v>
      </c>
      <c r="H1521" s="2">
        <v>0</v>
      </c>
      <c r="I1521">
        <f t="shared" si="115"/>
        <v>48000</v>
      </c>
      <c r="J1521">
        <f t="shared" si="116"/>
        <v>0</v>
      </c>
      <c r="K1521" s="6">
        <f t="shared" si="117"/>
        <v>48000</v>
      </c>
      <c r="L1521" s="2">
        <v>17000</v>
      </c>
      <c r="M1521" s="6">
        <f>Table1[[#This Row],[Total Sales]]+Table1[[#This Row],[Shipping Fee]]</f>
        <v>65000</v>
      </c>
      <c r="N1521" s="2" t="s">
        <v>63</v>
      </c>
      <c r="O1521" t="str">
        <f>VLOOKUP(Table1[[#This Row],[Order ID]],Status!A:B, 2,FALSE)</f>
        <v>Completed</v>
      </c>
      <c r="P1521" s="2" t="s">
        <v>82</v>
      </c>
      <c r="Q1521" s="2">
        <v>5</v>
      </c>
      <c r="R1521" s="2" t="s">
        <v>24</v>
      </c>
      <c r="S1521" s="11" t="str">
        <f t="shared" si="118"/>
        <v>Bagus</v>
      </c>
      <c r="T1521" s="2" t="str">
        <f t="shared" si="119"/>
        <v>Sangat Rendah</v>
      </c>
    </row>
    <row r="1522" spans="1:20" ht="15.75" customHeight="1" x14ac:dyDescent="0.3">
      <c r="A1522" s="4" t="s">
        <v>807</v>
      </c>
      <c r="B1522" s="3">
        <v>45641.504328703697</v>
      </c>
      <c r="C1522" s="2" t="s">
        <v>808</v>
      </c>
      <c r="D1522" s="2" t="s">
        <v>61</v>
      </c>
      <c r="E1522" s="2" t="s">
        <v>34</v>
      </c>
      <c r="F1522" s="2">
        <v>16000</v>
      </c>
      <c r="G1522" s="2">
        <v>3</v>
      </c>
      <c r="H1522" s="2">
        <v>10</v>
      </c>
      <c r="I1522">
        <f t="shared" si="115"/>
        <v>48000</v>
      </c>
      <c r="J1522">
        <f t="shared" si="116"/>
        <v>4800</v>
      </c>
      <c r="K1522" s="6">
        <f t="shared" si="117"/>
        <v>43200</v>
      </c>
      <c r="L1522" s="2">
        <v>26000</v>
      </c>
      <c r="M1522" s="6">
        <f>Table1[[#This Row],[Total Sales]]+Table1[[#This Row],[Shipping Fee]]</f>
        <v>69200</v>
      </c>
      <c r="N1522" s="2" t="s">
        <v>29</v>
      </c>
      <c r="O1522" t="str">
        <f>VLOOKUP(Table1[[#This Row],[Order ID]],Status!A:B, 2,FALSE)</f>
        <v>Completed</v>
      </c>
      <c r="P1522" s="2" t="s">
        <v>82</v>
      </c>
      <c r="Q1522" s="2">
        <v>1</v>
      </c>
      <c r="R1522" s="2" t="s">
        <v>24</v>
      </c>
      <c r="S1522" s="11" t="str">
        <f t="shared" si="118"/>
        <v>Rendah</v>
      </c>
      <c r="T1522" s="2" t="str">
        <f t="shared" si="119"/>
        <v>Sangat Rendah</v>
      </c>
    </row>
    <row r="1523" spans="1:20" ht="15.75" customHeight="1" x14ac:dyDescent="0.3">
      <c r="A1523" s="4" t="s">
        <v>806</v>
      </c>
      <c r="B1523" s="3">
        <v>45641.500902777778</v>
      </c>
      <c r="C1523" s="2" t="s">
        <v>649</v>
      </c>
      <c r="D1523" s="2" t="s">
        <v>177</v>
      </c>
      <c r="E1523" s="2" t="s">
        <v>54</v>
      </c>
      <c r="F1523" s="2">
        <v>16000</v>
      </c>
      <c r="G1523" s="2">
        <v>5</v>
      </c>
      <c r="H1523" s="2">
        <v>15</v>
      </c>
      <c r="I1523">
        <f t="shared" si="115"/>
        <v>80000</v>
      </c>
      <c r="J1523">
        <f t="shared" si="116"/>
        <v>12000</v>
      </c>
      <c r="K1523" s="6">
        <f t="shared" si="117"/>
        <v>68000</v>
      </c>
      <c r="L1523" s="2">
        <v>56000</v>
      </c>
      <c r="M1523" s="6">
        <f>Table1[[#This Row],[Total Sales]]+Table1[[#This Row],[Shipping Fee]]</f>
        <v>124000</v>
      </c>
      <c r="N1523" s="2" t="s">
        <v>63</v>
      </c>
      <c r="O1523" t="str">
        <f>VLOOKUP(Table1[[#This Row],[Order ID]],Status!A:B, 2,FALSE)</f>
        <v>Completed</v>
      </c>
      <c r="P1523" s="2" t="s">
        <v>36</v>
      </c>
      <c r="Q1523" s="2">
        <v>5</v>
      </c>
      <c r="R1523" s="2" t="s">
        <v>24</v>
      </c>
      <c r="S1523" s="11" t="str">
        <f t="shared" si="118"/>
        <v>Bagus</v>
      </c>
      <c r="T1523" s="2" t="str">
        <f t="shared" si="119"/>
        <v>Normal</v>
      </c>
    </row>
    <row r="1524" spans="1:20" ht="15.75" customHeight="1" x14ac:dyDescent="0.3">
      <c r="A1524" s="4" t="s">
        <v>805</v>
      </c>
      <c r="B1524" s="3">
        <v>45641.411006944443</v>
      </c>
      <c r="C1524" s="2" t="s">
        <v>295</v>
      </c>
      <c r="D1524" s="2" t="s">
        <v>296</v>
      </c>
      <c r="E1524" s="2" t="s">
        <v>144</v>
      </c>
      <c r="F1524" s="2">
        <v>18000</v>
      </c>
      <c r="G1524" s="2">
        <v>2</v>
      </c>
      <c r="H1524" s="2">
        <v>15</v>
      </c>
      <c r="I1524">
        <f t="shared" si="115"/>
        <v>36000</v>
      </c>
      <c r="J1524">
        <f t="shared" si="116"/>
        <v>5400</v>
      </c>
      <c r="K1524" s="6">
        <f t="shared" si="117"/>
        <v>30600</v>
      </c>
      <c r="L1524" s="2">
        <v>79000</v>
      </c>
      <c r="M1524" s="6">
        <f>Table1[[#This Row],[Total Sales]]+Table1[[#This Row],[Shipping Fee]]</f>
        <v>109600</v>
      </c>
      <c r="N1524" s="2" t="s">
        <v>29</v>
      </c>
      <c r="O1524" t="str">
        <f>VLOOKUP(Table1[[#This Row],[Order ID]],Status!A:B, 2,FALSE)</f>
        <v>Completed</v>
      </c>
      <c r="P1524" s="2" t="s">
        <v>30</v>
      </c>
      <c r="Q1524" s="2">
        <v>5</v>
      </c>
      <c r="R1524" s="2" t="s">
        <v>24</v>
      </c>
      <c r="S1524" s="11" t="str">
        <f t="shared" si="118"/>
        <v>Bagus</v>
      </c>
      <c r="T1524" s="2" t="str">
        <f t="shared" si="119"/>
        <v>Rendah</v>
      </c>
    </row>
    <row r="1525" spans="1:20" ht="15.75" customHeight="1" x14ac:dyDescent="0.3">
      <c r="A1525" s="4" t="s">
        <v>803</v>
      </c>
      <c r="B1525" s="3">
        <v>45641.33452546296</v>
      </c>
      <c r="C1525" s="2" t="s">
        <v>804</v>
      </c>
      <c r="D1525" s="2" t="s">
        <v>49</v>
      </c>
      <c r="E1525" s="2" t="s">
        <v>71</v>
      </c>
      <c r="F1525" s="2">
        <v>40000</v>
      </c>
      <c r="G1525" s="2">
        <v>2</v>
      </c>
      <c r="H1525" s="2">
        <v>5</v>
      </c>
      <c r="I1525">
        <f t="shared" si="115"/>
        <v>80000</v>
      </c>
      <c r="J1525">
        <f t="shared" si="116"/>
        <v>4000</v>
      </c>
      <c r="K1525" s="6">
        <f t="shared" si="117"/>
        <v>76000</v>
      </c>
      <c r="L1525" s="2">
        <v>43000</v>
      </c>
      <c r="M1525" s="6">
        <f>Table1[[#This Row],[Total Sales]]+Table1[[#This Row],[Shipping Fee]]</f>
        <v>119000</v>
      </c>
      <c r="N1525" s="2" t="s">
        <v>29</v>
      </c>
      <c r="O1525" t="str">
        <f>VLOOKUP(Table1[[#This Row],[Order ID]],Status!A:B, 2,FALSE)</f>
        <v>Cancelled</v>
      </c>
      <c r="P1525" s="2" t="s">
        <v>82</v>
      </c>
      <c r="Q1525" s="2">
        <v>5</v>
      </c>
      <c r="R1525" s="2" t="s">
        <v>24</v>
      </c>
      <c r="S1525" s="11" t="str">
        <f t="shared" si="118"/>
        <v>Bagus</v>
      </c>
      <c r="T1525" s="2" t="str">
        <f t="shared" si="119"/>
        <v>Sangat Rendah</v>
      </c>
    </row>
    <row r="1526" spans="1:20" ht="15.75" customHeight="1" x14ac:dyDescent="0.3">
      <c r="A1526" s="4" t="s">
        <v>801</v>
      </c>
      <c r="B1526" s="3">
        <v>45640.598009259258</v>
      </c>
      <c r="C1526" s="2" t="s">
        <v>802</v>
      </c>
      <c r="D1526" s="2" t="s">
        <v>126</v>
      </c>
      <c r="E1526" s="2" t="s">
        <v>28</v>
      </c>
      <c r="F1526" s="2">
        <v>5000</v>
      </c>
      <c r="G1526" s="2">
        <v>3</v>
      </c>
      <c r="H1526" s="2">
        <v>20</v>
      </c>
      <c r="I1526">
        <f t="shared" si="115"/>
        <v>15000</v>
      </c>
      <c r="J1526">
        <f t="shared" si="116"/>
        <v>3000</v>
      </c>
      <c r="K1526" s="6">
        <f t="shared" si="117"/>
        <v>12000</v>
      </c>
      <c r="L1526" s="2">
        <v>84000</v>
      </c>
      <c r="M1526" s="6">
        <f>Table1[[#This Row],[Total Sales]]+Table1[[#This Row],[Shipping Fee]]</f>
        <v>96000</v>
      </c>
      <c r="N1526" s="2" t="s">
        <v>22</v>
      </c>
      <c r="O1526" t="str">
        <f>VLOOKUP(Table1[[#This Row],[Order ID]],Status!A:B, 2,FALSE)</f>
        <v>Completed</v>
      </c>
      <c r="P1526" s="2" t="s">
        <v>46</v>
      </c>
      <c r="Q1526" s="2">
        <v>4</v>
      </c>
      <c r="R1526" s="2" t="s">
        <v>24</v>
      </c>
      <c r="S1526" s="11" t="str">
        <f t="shared" si="118"/>
        <v>Bagus</v>
      </c>
      <c r="T1526" s="2" t="str">
        <f t="shared" si="119"/>
        <v>Sangat Rendah</v>
      </c>
    </row>
    <row r="1527" spans="1:20" ht="15.75" customHeight="1" x14ac:dyDescent="0.3">
      <c r="A1527" s="4" t="s">
        <v>800</v>
      </c>
      <c r="B1527" s="3">
        <v>45640.079641203702</v>
      </c>
      <c r="C1527" s="2" t="s">
        <v>19</v>
      </c>
      <c r="D1527" s="2" t="s">
        <v>20</v>
      </c>
      <c r="E1527" s="2" t="s">
        <v>138</v>
      </c>
      <c r="F1527" s="2">
        <v>17000</v>
      </c>
      <c r="G1527" s="2">
        <v>3</v>
      </c>
      <c r="H1527" s="2">
        <v>20</v>
      </c>
      <c r="I1527">
        <f t="shared" si="115"/>
        <v>51000</v>
      </c>
      <c r="J1527">
        <f t="shared" si="116"/>
        <v>10200</v>
      </c>
      <c r="K1527" s="6">
        <f t="shared" si="117"/>
        <v>40800</v>
      </c>
      <c r="L1527" s="2">
        <v>15000</v>
      </c>
      <c r="M1527" s="6">
        <f>Table1[[#This Row],[Total Sales]]+Table1[[#This Row],[Shipping Fee]]</f>
        <v>55800</v>
      </c>
      <c r="N1527" s="2" t="s">
        <v>35</v>
      </c>
      <c r="O1527" t="str">
        <f>VLOOKUP(Table1[[#This Row],[Order ID]],Status!A:B, 2,FALSE)</f>
        <v>Completed</v>
      </c>
      <c r="P1527" s="2" t="s">
        <v>36</v>
      </c>
      <c r="Q1527" s="2">
        <v>4</v>
      </c>
      <c r="R1527" s="2" t="s">
        <v>24</v>
      </c>
      <c r="S1527" s="11" t="str">
        <f t="shared" si="118"/>
        <v>Bagus</v>
      </c>
      <c r="T1527" s="2" t="str">
        <f t="shared" si="119"/>
        <v>Normal</v>
      </c>
    </row>
    <row r="1528" spans="1:20" ht="15.75" customHeight="1" x14ac:dyDescent="0.3">
      <c r="A1528" s="4" t="s">
        <v>800</v>
      </c>
      <c r="B1528" s="3">
        <v>45640.079641203702</v>
      </c>
      <c r="C1528" s="2" t="s">
        <v>19</v>
      </c>
      <c r="D1528" s="2" t="s">
        <v>20</v>
      </c>
      <c r="E1528" s="2" t="s">
        <v>54</v>
      </c>
      <c r="F1528" s="2">
        <v>16000</v>
      </c>
      <c r="G1528" s="2">
        <v>4</v>
      </c>
      <c r="H1528" s="2">
        <v>5</v>
      </c>
      <c r="I1528">
        <f t="shared" si="115"/>
        <v>64000</v>
      </c>
      <c r="J1528">
        <f t="shared" si="116"/>
        <v>3200</v>
      </c>
      <c r="K1528" s="6">
        <f t="shared" si="117"/>
        <v>60800</v>
      </c>
      <c r="L1528" s="2">
        <v>0</v>
      </c>
      <c r="M1528" s="6">
        <f>Table1[[#This Row],[Total Sales]]+Table1[[#This Row],[Shipping Fee]]</f>
        <v>60800</v>
      </c>
      <c r="N1528" s="2" t="s">
        <v>35</v>
      </c>
      <c r="O1528" t="str">
        <f>VLOOKUP(Table1[[#This Row],[Order ID]],Status!A:B, 2,FALSE)</f>
        <v>Completed</v>
      </c>
      <c r="P1528" s="2" t="s">
        <v>36</v>
      </c>
      <c r="Q1528" s="2">
        <v>4</v>
      </c>
      <c r="R1528" s="2" t="s">
        <v>24</v>
      </c>
      <c r="S1528" s="11" t="str">
        <f t="shared" si="118"/>
        <v>Bagus</v>
      </c>
      <c r="T1528" s="2" t="str">
        <f t="shared" si="119"/>
        <v>Sangat Rendah</v>
      </c>
    </row>
    <row r="1529" spans="1:20" ht="15.75" customHeight="1" x14ac:dyDescent="0.3">
      <c r="A1529" s="4" t="s">
        <v>799</v>
      </c>
      <c r="B1529" s="3">
        <v>45639.711747685193</v>
      </c>
      <c r="C1529" s="2" t="s">
        <v>557</v>
      </c>
      <c r="D1529" s="2" t="s">
        <v>173</v>
      </c>
      <c r="E1529" s="2" t="s">
        <v>50</v>
      </c>
      <c r="F1529" s="2">
        <v>14000</v>
      </c>
      <c r="G1529" s="2">
        <v>5</v>
      </c>
      <c r="H1529" s="2">
        <v>15</v>
      </c>
      <c r="I1529">
        <f t="shared" si="115"/>
        <v>70000</v>
      </c>
      <c r="J1529">
        <f t="shared" si="116"/>
        <v>10500</v>
      </c>
      <c r="K1529" s="6">
        <f t="shared" si="117"/>
        <v>59500</v>
      </c>
      <c r="L1529" s="2">
        <v>49000</v>
      </c>
      <c r="M1529" s="6">
        <f>Table1[[#This Row],[Total Sales]]+Table1[[#This Row],[Shipping Fee]]</f>
        <v>108500</v>
      </c>
      <c r="N1529" s="2" t="s">
        <v>22</v>
      </c>
      <c r="O1529" t="str">
        <f>VLOOKUP(Table1[[#This Row],[Order ID]],Status!A:B, 2,FALSE)</f>
        <v>Completed</v>
      </c>
      <c r="P1529" s="2" t="s">
        <v>30</v>
      </c>
      <c r="Q1529" s="2">
        <v>4</v>
      </c>
      <c r="R1529" s="2" t="s">
        <v>24</v>
      </c>
      <c r="S1529" s="11" t="str">
        <f t="shared" si="118"/>
        <v>Bagus</v>
      </c>
      <c r="T1529" s="2" t="str">
        <f t="shared" si="119"/>
        <v>Normal</v>
      </c>
    </row>
    <row r="1530" spans="1:20" ht="15.75" customHeight="1" x14ac:dyDescent="0.3">
      <c r="A1530" s="4" t="s">
        <v>798</v>
      </c>
      <c r="B1530" s="3">
        <v>45639.444768518522</v>
      </c>
      <c r="C1530" s="2" t="s">
        <v>446</v>
      </c>
      <c r="D1530" s="2" t="s">
        <v>296</v>
      </c>
      <c r="E1530" s="2" t="s">
        <v>62</v>
      </c>
      <c r="F1530" s="2">
        <v>50000</v>
      </c>
      <c r="G1530" s="2">
        <v>2</v>
      </c>
      <c r="H1530" s="2">
        <v>15</v>
      </c>
      <c r="I1530">
        <f t="shared" si="115"/>
        <v>100000</v>
      </c>
      <c r="J1530">
        <f t="shared" si="116"/>
        <v>15000</v>
      </c>
      <c r="K1530" s="6">
        <f t="shared" si="117"/>
        <v>85000</v>
      </c>
      <c r="L1530" s="2">
        <v>79000</v>
      </c>
      <c r="M1530" s="6">
        <f>Table1[[#This Row],[Total Sales]]+Table1[[#This Row],[Shipping Fee]]</f>
        <v>164000</v>
      </c>
      <c r="N1530" s="2" t="s">
        <v>63</v>
      </c>
      <c r="O1530" t="str">
        <f>VLOOKUP(Table1[[#This Row],[Order ID]],Status!A:B, 2,FALSE)</f>
        <v>Completed</v>
      </c>
      <c r="P1530" s="2" t="s">
        <v>82</v>
      </c>
      <c r="Q1530" s="2">
        <v>1</v>
      </c>
      <c r="R1530" s="2" t="s">
        <v>37</v>
      </c>
      <c r="S1530" s="11" t="str">
        <f t="shared" si="118"/>
        <v>Rendah</v>
      </c>
      <c r="T1530" s="2" t="str">
        <f t="shared" si="119"/>
        <v>Normal</v>
      </c>
    </row>
    <row r="1531" spans="1:20" ht="15.75" customHeight="1" x14ac:dyDescent="0.3">
      <c r="A1531" s="4" t="s">
        <v>797</v>
      </c>
      <c r="B1531" s="3">
        <v>45639.31113425926</v>
      </c>
      <c r="C1531" s="2" t="s">
        <v>412</v>
      </c>
      <c r="D1531" s="2" t="s">
        <v>70</v>
      </c>
      <c r="E1531" s="2" t="s">
        <v>136</v>
      </c>
      <c r="F1531" s="2">
        <v>12000</v>
      </c>
      <c r="G1531" s="2">
        <v>2</v>
      </c>
      <c r="H1531" s="2">
        <v>10</v>
      </c>
      <c r="I1531">
        <f t="shared" si="115"/>
        <v>24000</v>
      </c>
      <c r="J1531">
        <f t="shared" si="116"/>
        <v>2400</v>
      </c>
      <c r="K1531" s="6">
        <f t="shared" si="117"/>
        <v>21600</v>
      </c>
      <c r="L1531" s="2">
        <v>89000</v>
      </c>
      <c r="M1531" s="6">
        <f>Table1[[#This Row],[Total Sales]]+Table1[[#This Row],[Shipping Fee]]</f>
        <v>110600</v>
      </c>
      <c r="N1531" s="2" t="s">
        <v>63</v>
      </c>
      <c r="O1531" t="str">
        <f>VLOOKUP(Table1[[#This Row],[Order ID]],Status!A:B, 2,FALSE)</f>
        <v>Completed</v>
      </c>
      <c r="P1531" s="2" t="s">
        <v>46</v>
      </c>
      <c r="Q1531" s="2">
        <v>5</v>
      </c>
      <c r="R1531" s="2" t="s">
        <v>24</v>
      </c>
      <c r="S1531" s="11" t="str">
        <f t="shared" si="118"/>
        <v>Bagus</v>
      </c>
      <c r="T1531" s="2" t="str">
        <f t="shared" si="119"/>
        <v>Sangat Rendah</v>
      </c>
    </row>
    <row r="1532" spans="1:20" ht="15.75" customHeight="1" x14ac:dyDescent="0.3">
      <c r="A1532" s="4" t="s">
        <v>795</v>
      </c>
      <c r="B1532" s="3">
        <v>45639.284942129627</v>
      </c>
      <c r="C1532" s="2" t="s">
        <v>796</v>
      </c>
      <c r="D1532" s="2" t="s">
        <v>119</v>
      </c>
      <c r="E1532" s="2" t="s">
        <v>28</v>
      </c>
      <c r="F1532" s="2">
        <v>5000</v>
      </c>
      <c r="G1532" s="2">
        <v>4</v>
      </c>
      <c r="H1532" s="2">
        <v>0</v>
      </c>
      <c r="I1532">
        <f t="shared" si="115"/>
        <v>20000</v>
      </c>
      <c r="J1532">
        <f t="shared" si="116"/>
        <v>0</v>
      </c>
      <c r="K1532" s="6">
        <f t="shared" si="117"/>
        <v>20000</v>
      </c>
      <c r="L1532" s="2">
        <v>0</v>
      </c>
      <c r="M1532" s="6">
        <f>Table1[[#This Row],[Total Sales]]+Table1[[#This Row],[Shipping Fee]]</f>
        <v>20000</v>
      </c>
      <c r="N1532" s="2" t="s">
        <v>22</v>
      </c>
      <c r="O1532" t="str">
        <f>VLOOKUP(Table1[[#This Row],[Order ID]],Status!A:B, 2,FALSE)</f>
        <v>Completed</v>
      </c>
      <c r="P1532" s="2" t="s">
        <v>82</v>
      </c>
      <c r="Q1532" s="2">
        <v>4</v>
      </c>
      <c r="R1532" s="2" t="s">
        <v>24</v>
      </c>
      <c r="S1532" s="11" t="str">
        <f t="shared" si="118"/>
        <v>Bagus</v>
      </c>
      <c r="T1532" s="2" t="str">
        <f t="shared" si="119"/>
        <v>Sangat Rendah</v>
      </c>
    </row>
    <row r="1533" spans="1:20" ht="15.75" customHeight="1" x14ac:dyDescent="0.3">
      <c r="A1533" s="4" t="s">
        <v>793</v>
      </c>
      <c r="B1533" s="3">
        <v>45639.236122685194</v>
      </c>
      <c r="C1533" s="2" t="s">
        <v>794</v>
      </c>
      <c r="D1533" s="2" t="s">
        <v>61</v>
      </c>
      <c r="E1533" s="2" t="s">
        <v>75</v>
      </c>
      <c r="F1533" s="2">
        <v>55000</v>
      </c>
      <c r="G1533" s="2">
        <v>2</v>
      </c>
      <c r="H1533" s="2">
        <v>5</v>
      </c>
      <c r="I1533">
        <f t="shared" si="115"/>
        <v>110000</v>
      </c>
      <c r="J1533">
        <f t="shared" si="116"/>
        <v>5500</v>
      </c>
      <c r="K1533" s="6">
        <f t="shared" si="117"/>
        <v>104500</v>
      </c>
      <c r="L1533" s="2">
        <v>26000</v>
      </c>
      <c r="M1533" s="6">
        <f>Table1[[#This Row],[Total Sales]]+Table1[[#This Row],[Shipping Fee]]</f>
        <v>130500</v>
      </c>
      <c r="N1533" s="2" t="s">
        <v>29</v>
      </c>
      <c r="O1533" t="str">
        <f>VLOOKUP(Table1[[#This Row],[Order ID]],Status!A:B, 2,FALSE)</f>
        <v>Completed</v>
      </c>
      <c r="P1533" s="2" t="s">
        <v>46</v>
      </c>
      <c r="Q1533" s="2">
        <v>4</v>
      </c>
      <c r="R1533" s="2" t="s">
        <v>37</v>
      </c>
      <c r="S1533" s="11" t="str">
        <f t="shared" si="118"/>
        <v>Bagus</v>
      </c>
      <c r="T1533" s="2" t="str">
        <f t="shared" si="119"/>
        <v>Rendah</v>
      </c>
    </row>
    <row r="1534" spans="1:20" ht="15.75" customHeight="1" x14ac:dyDescent="0.3">
      <c r="A1534" s="4" t="s">
        <v>792</v>
      </c>
      <c r="B1534" s="3">
        <v>45638.972013888888</v>
      </c>
      <c r="C1534" s="2" t="s">
        <v>361</v>
      </c>
      <c r="D1534" s="2" t="s">
        <v>70</v>
      </c>
      <c r="E1534" s="2" t="s">
        <v>88</v>
      </c>
      <c r="F1534" s="2">
        <v>14000</v>
      </c>
      <c r="G1534" s="2">
        <v>4</v>
      </c>
      <c r="H1534" s="2">
        <v>20</v>
      </c>
      <c r="I1534">
        <f t="shared" si="115"/>
        <v>56000</v>
      </c>
      <c r="J1534">
        <f t="shared" si="116"/>
        <v>11200</v>
      </c>
      <c r="K1534" s="6">
        <f t="shared" si="117"/>
        <v>44800</v>
      </c>
      <c r="L1534" s="2">
        <v>89000</v>
      </c>
      <c r="M1534" s="6">
        <f>Table1[[#This Row],[Total Sales]]+Table1[[#This Row],[Shipping Fee]]</f>
        <v>133800</v>
      </c>
      <c r="N1534" s="2" t="s">
        <v>22</v>
      </c>
      <c r="O1534" t="str">
        <f>VLOOKUP(Table1[[#This Row],[Order ID]],Status!A:B, 2,FALSE)</f>
        <v>Completed</v>
      </c>
      <c r="P1534" s="2" t="s">
        <v>36</v>
      </c>
      <c r="Q1534" s="2">
        <v>2</v>
      </c>
      <c r="R1534" s="2" t="s">
        <v>37</v>
      </c>
      <c r="S1534" s="11" t="str">
        <f t="shared" si="118"/>
        <v>Rendah</v>
      </c>
      <c r="T1534" s="2" t="str">
        <f t="shared" si="119"/>
        <v>Normal</v>
      </c>
    </row>
    <row r="1535" spans="1:20" ht="15.75" customHeight="1" x14ac:dyDescent="0.3">
      <c r="A1535" s="4" t="s">
        <v>791</v>
      </c>
      <c r="B1535" s="3">
        <v>45638.838831018518</v>
      </c>
      <c r="C1535" s="2" t="s">
        <v>227</v>
      </c>
      <c r="D1535" s="2" t="s">
        <v>70</v>
      </c>
      <c r="E1535" s="2" t="s">
        <v>123</v>
      </c>
      <c r="F1535" s="2">
        <v>22000</v>
      </c>
      <c r="G1535" s="2">
        <v>1</v>
      </c>
      <c r="H1535" s="2">
        <v>20</v>
      </c>
      <c r="I1535">
        <f t="shared" si="115"/>
        <v>22000</v>
      </c>
      <c r="J1535">
        <f t="shared" si="116"/>
        <v>4400</v>
      </c>
      <c r="K1535" s="6">
        <f t="shared" si="117"/>
        <v>17600</v>
      </c>
      <c r="L1535" s="2">
        <v>89000</v>
      </c>
      <c r="M1535" s="6">
        <f>Table1[[#This Row],[Total Sales]]+Table1[[#This Row],[Shipping Fee]]</f>
        <v>106600</v>
      </c>
      <c r="N1535" s="2" t="s">
        <v>35</v>
      </c>
      <c r="O1535" t="str">
        <f>VLOOKUP(Table1[[#This Row],[Order ID]],Status!A:B, 2,FALSE)</f>
        <v>Completed</v>
      </c>
      <c r="P1535" s="2" t="s">
        <v>46</v>
      </c>
      <c r="Q1535" s="2">
        <v>2</v>
      </c>
      <c r="R1535" s="2" t="s">
        <v>24</v>
      </c>
      <c r="S1535" s="11" t="str">
        <f t="shared" si="118"/>
        <v>Rendah</v>
      </c>
      <c r="T1535" s="2" t="str">
        <f t="shared" si="119"/>
        <v>Sangat Rendah</v>
      </c>
    </row>
    <row r="1536" spans="1:20" ht="15.75" customHeight="1" x14ac:dyDescent="0.3">
      <c r="A1536" s="4" t="s">
        <v>790</v>
      </c>
      <c r="B1536" s="3">
        <v>45638.803784722222</v>
      </c>
      <c r="C1536" s="2" t="s">
        <v>118</v>
      </c>
      <c r="D1536" s="2" t="s">
        <v>119</v>
      </c>
      <c r="E1536" s="2" t="s">
        <v>104</v>
      </c>
      <c r="F1536" s="2">
        <v>30000</v>
      </c>
      <c r="G1536" s="2">
        <v>1</v>
      </c>
      <c r="H1536" s="2">
        <v>15</v>
      </c>
      <c r="I1536">
        <f t="shared" si="115"/>
        <v>30000</v>
      </c>
      <c r="J1536">
        <f t="shared" si="116"/>
        <v>4500</v>
      </c>
      <c r="K1536" s="6">
        <f t="shared" si="117"/>
        <v>25500</v>
      </c>
      <c r="L1536" s="2">
        <v>0</v>
      </c>
      <c r="M1536" s="6">
        <f>Table1[[#This Row],[Total Sales]]+Table1[[#This Row],[Shipping Fee]]</f>
        <v>25500</v>
      </c>
      <c r="N1536" s="2" t="s">
        <v>35</v>
      </c>
      <c r="O1536" t="str">
        <f>VLOOKUP(Table1[[#This Row],[Order ID]],Status!A:B, 2,FALSE)</f>
        <v>Completed</v>
      </c>
      <c r="P1536" s="2" t="s">
        <v>46</v>
      </c>
      <c r="Q1536" s="2">
        <v>4</v>
      </c>
      <c r="R1536" s="2" t="s">
        <v>24</v>
      </c>
      <c r="S1536" s="11" t="str">
        <f t="shared" si="118"/>
        <v>Bagus</v>
      </c>
      <c r="T1536" s="2" t="str">
        <f t="shared" si="119"/>
        <v>Sangat Rendah</v>
      </c>
    </row>
    <row r="1537" spans="1:20" ht="15.75" customHeight="1" x14ac:dyDescent="0.3">
      <c r="A1537" s="4" t="s">
        <v>789</v>
      </c>
      <c r="B1537" s="3">
        <v>45638.577847222223</v>
      </c>
      <c r="C1537" s="2" t="s">
        <v>115</v>
      </c>
      <c r="D1537" s="2" t="s">
        <v>116</v>
      </c>
      <c r="E1537" s="2" t="s">
        <v>54</v>
      </c>
      <c r="F1537" s="2">
        <v>16000</v>
      </c>
      <c r="G1537" s="2">
        <v>1</v>
      </c>
      <c r="H1537" s="2">
        <v>5</v>
      </c>
      <c r="I1537">
        <f t="shared" si="115"/>
        <v>16000</v>
      </c>
      <c r="J1537">
        <f t="shared" si="116"/>
        <v>800</v>
      </c>
      <c r="K1537" s="6">
        <f t="shared" si="117"/>
        <v>15200</v>
      </c>
      <c r="L1537" s="2">
        <v>72000</v>
      </c>
      <c r="M1537" s="6">
        <f>Table1[[#This Row],[Total Sales]]+Table1[[#This Row],[Shipping Fee]]</f>
        <v>87200</v>
      </c>
      <c r="N1537" s="2" t="s">
        <v>29</v>
      </c>
      <c r="O1537" t="str">
        <f>VLOOKUP(Table1[[#This Row],[Order ID]],Status!A:B, 2,FALSE)</f>
        <v>Completed</v>
      </c>
      <c r="P1537" s="2" t="s">
        <v>30</v>
      </c>
      <c r="Q1537" s="2">
        <v>3</v>
      </c>
      <c r="R1537" s="2" t="s">
        <v>24</v>
      </c>
      <c r="S1537" s="11" t="str">
        <f t="shared" si="118"/>
        <v>Standar</v>
      </c>
      <c r="T1537" s="2" t="str">
        <f t="shared" si="119"/>
        <v>Sangat Rendah</v>
      </c>
    </row>
    <row r="1538" spans="1:20" ht="15.75" customHeight="1" x14ac:dyDescent="0.3">
      <c r="A1538" s="4" t="s">
        <v>788</v>
      </c>
      <c r="B1538" s="3">
        <v>45638.383379629631</v>
      </c>
      <c r="C1538" s="2" t="s">
        <v>318</v>
      </c>
      <c r="D1538" s="2" t="s">
        <v>244</v>
      </c>
      <c r="E1538" s="2" t="s">
        <v>50</v>
      </c>
      <c r="F1538" s="2">
        <v>14000</v>
      </c>
      <c r="G1538" s="2">
        <v>5</v>
      </c>
      <c r="H1538" s="2">
        <v>20</v>
      </c>
      <c r="I1538">
        <f t="shared" ref="I1538:I1601" si="120">F1538*G1538</f>
        <v>70000</v>
      </c>
      <c r="J1538">
        <f t="shared" ref="J1538:J1601" si="121">I1538*H1538/100</f>
        <v>14000</v>
      </c>
      <c r="K1538" s="6">
        <f t="shared" ref="K1538:K1601" si="122">I1538-J1538</f>
        <v>56000</v>
      </c>
      <c r="L1538" s="2">
        <v>80000</v>
      </c>
      <c r="M1538" s="6">
        <f>Table1[[#This Row],[Total Sales]]+Table1[[#This Row],[Shipping Fee]]</f>
        <v>136000</v>
      </c>
      <c r="N1538" s="2" t="s">
        <v>22</v>
      </c>
      <c r="O1538" t="str">
        <f>VLOOKUP(Table1[[#This Row],[Order ID]],Status!A:B, 2,FALSE)</f>
        <v>Returned</v>
      </c>
      <c r="P1538" s="2" t="s">
        <v>46</v>
      </c>
      <c r="Q1538" s="2">
        <v>5</v>
      </c>
      <c r="R1538" s="2" t="s">
        <v>37</v>
      </c>
      <c r="S1538" s="11" t="str">
        <f t="shared" ref="S1538:S1601" si="123">_xlfn.IFS(Q1538&gt;3,"Bagus",Q1538=3,"Standar",Q1538&lt;3,"Rendah")</f>
        <v>Bagus</v>
      </c>
      <c r="T1538" s="2" t="str">
        <f t="shared" ref="T1538:T1601" si="124">_xlfn.IFS(J1538&lt;=5000,"Sangat Rendah", J1538&lt;=10000,"Rendah", J1538&lt;=20000, "Normal", J1538&lt;=35000, "Tinggi", J1538&lt;= 50000, "Sangat Tinggi", J1538&gt;50000, "Clearance")</f>
        <v>Normal</v>
      </c>
    </row>
    <row r="1539" spans="1:20" ht="15.75" customHeight="1" x14ac:dyDescent="0.3">
      <c r="A1539" s="4" t="s">
        <v>787</v>
      </c>
      <c r="B1539" s="3">
        <v>45638.342916666668</v>
      </c>
      <c r="C1539" s="2" t="s">
        <v>412</v>
      </c>
      <c r="D1539" s="2" t="s">
        <v>70</v>
      </c>
      <c r="E1539" s="2" t="s">
        <v>38</v>
      </c>
      <c r="F1539" s="2">
        <v>28000</v>
      </c>
      <c r="G1539" s="2">
        <v>3</v>
      </c>
      <c r="H1539" s="2">
        <v>20</v>
      </c>
      <c r="I1539">
        <f t="shared" si="120"/>
        <v>84000</v>
      </c>
      <c r="J1539">
        <f t="shared" si="121"/>
        <v>16800</v>
      </c>
      <c r="K1539" s="6">
        <f t="shared" si="122"/>
        <v>67200</v>
      </c>
      <c r="L1539" s="2">
        <v>89000</v>
      </c>
      <c r="M1539" s="6">
        <f>Table1[[#This Row],[Total Sales]]+Table1[[#This Row],[Shipping Fee]]</f>
        <v>156200</v>
      </c>
      <c r="N1539" s="2" t="s">
        <v>63</v>
      </c>
      <c r="O1539" t="str">
        <f>VLOOKUP(Table1[[#This Row],[Order ID]],Status!A:B, 2,FALSE)</f>
        <v>Cancelled</v>
      </c>
      <c r="P1539" s="2" t="s">
        <v>23</v>
      </c>
      <c r="Q1539" s="2">
        <v>2</v>
      </c>
      <c r="R1539" s="2" t="s">
        <v>24</v>
      </c>
      <c r="S1539" s="11" t="str">
        <f t="shared" si="123"/>
        <v>Rendah</v>
      </c>
      <c r="T1539" s="2" t="str">
        <f t="shared" si="124"/>
        <v>Normal</v>
      </c>
    </row>
    <row r="1540" spans="1:20" ht="15.75" customHeight="1" x14ac:dyDescent="0.3">
      <c r="A1540" s="4" t="s">
        <v>785</v>
      </c>
      <c r="B1540" s="3">
        <v>45638.296215277784</v>
      </c>
      <c r="C1540" s="2" t="s">
        <v>786</v>
      </c>
      <c r="D1540" s="2" t="s">
        <v>107</v>
      </c>
      <c r="E1540" s="2" t="s">
        <v>54</v>
      </c>
      <c r="F1540" s="2">
        <v>16000</v>
      </c>
      <c r="G1540" s="2">
        <v>2</v>
      </c>
      <c r="H1540" s="2">
        <v>5</v>
      </c>
      <c r="I1540">
        <f t="shared" si="120"/>
        <v>32000</v>
      </c>
      <c r="J1540">
        <f t="shared" si="121"/>
        <v>1600</v>
      </c>
      <c r="K1540" s="6">
        <f t="shared" si="122"/>
        <v>30400</v>
      </c>
      <c r="L1540" s="2">
        <v>97000</v>
      </c>
      <c r="M1540" s="6">
        <f>Table1[[#This Row],[Total Sales]]+Table1[[#This Row],[Shipping Fee]]</f>
        <v>127400</v>
      </c>
      <c r="N1540" s="2" t="s">
        <v>22</v>
      </c>
      <c r="O1540" t="str">
        <f>VLOOKUP(Table1[[#This Row],[Order ID]],Status!A:B, 2,FALSE)</f>
        <v>Completed</v>
      </c>
      <c r="P1540" s="2" t="s">
        <v>82</v>
      </c>
      <c r="Q1540" s="2">
        <v>5</v>
      </c>
      <c r="R1540" s="2" t="s">
        <v>24</v>
      </c>
      <c r="S1540" s="11" t="str">
        <f t="shared" si="123"/>
        <v>Bagus</v>
      </c>
      <c r="T1540" s="2" t="str">
        <f t="shared" si="124"/>
        <v>Sangat Rendah</v>
      </c>
    </row>
    <row r="1541" spans="1:20" ht="15.75" customHeight="1" x14ac:dyDescent="0.3">
      <c r="A1541" s="4" t="s">
        <v>783</v>
      </c>
      <c r="B1541" s="3">
        <v>45638.143275462957</v>
      </c>
      <c r="C1541" s="2" t="s">
        <v>784</v>
      </c>
      <c r="D1541" s="2" t="s">
        <v>116</v>
      </c>
      <c r="E1541" s="2" t="s">
        <v>21</v>
      </c>
      <c r="F1541" s="2">
        <v>45000</v>
      </c>
      <c r="G1541" s="2">
        <v>2</v>
      </c>
      <c r="H1541" s="2">
        <v>10</v>
      </c>
      <c r="I1541">
        <f t="shared" si="120"/>
        <v>90000</v>
      </c>
      <c r="J1541">
        <f t="shared" si="121"/>
        <v>9000</v>
      </c>
      <c r="K1541" s="6">
        <f t="shared" si="122"/>
        <v>81000</v>
      </c>
      <c r="L1541" s="2">
        <v>72000</v>
      </c>
      <c r="M1541" s="6">
        <f>Table1[[#This Row],[Total Sales]]+Table1[[#This Row],[Shipping Fee]]</f>
        <v>153000</v>
      </c>
      <c r="N1541" s="2" t="s">
        <v>35</v>
      </c>
      <c r="O1541" t="str">
        <f>VLOOKUP(Table1[[#This Row],[Order ID]],Status!A:B, 2,FALSE)</f>
        <v>Returned</v>
      </c>
      <c r="P1541" s="2" t="s">
        <v>46</v>
      </c>
      <c r="Q1541" s="2">
        <v>1</v>
      </c>
      <c r="R1541" s="2" t="s">
        <v>24</v>
      </c>
      <c r="S1541" s="11" t="str">
        <f t="shared" si="123"/>
        <v>Rendah</v>
      </c>
      <c r="T1541" s="2" t="str">
        <f t="shared" si="124"/>
        <v>Rendah</v>
      </c>
    </row>
    <row r="1542" spans="1:20" ht="15.75" customHeight="1" x14ac:dyDescent="0.3">
      <c r="A1542" s="4" t="s">
        <v>781</v>
      </c>
      <c r="B1542" s="3">
        <v>45637.589143518519</v>
      </c>
      <c r="C1542" s="2" t="s">
        <v>782</v>
      </c>
      <c r="D1542" s="2" t="s">
        <v>177</v>
      </c>
      <c r="E1542" s="2" t="s">
        <v>88</v>
      </c>
      <c r="F1542" s="2">
        <v>14000</v>
      </c>
      <c r="G1542" s="2">
        <v>1</v>
      </c>
      <c r="H1542" s="2">
        <v>5</v>
      </c>
      <c r="I1542">
        <f t="shared" si="120"/>
        <v>14000</v>
      </c>
      <c r="J1542">
        <f t="shared" si="121"/>
        <v>700</v>
      </c>
      <c r="K1542" s="6">
        <f t="shared" si="122"/>
        <v>13300</v>
      </c>
      <c r="L1542" s="2">
        <v>56000</v>
      </c>
      <c r="M1542" s="6">
        <f>Table1[[#This Row],[Total Sales]]+Table1[[#This Row],[Shipping Fee]]</f>
        <v>69300</v>
      </c>
      <c r="N1542" s="2" t="s">
        <v>35</v>
      </c>
      <c r="O1542" t="str">
        <f>VLOOKUP(Table1[[#This Row],[Order ID]],Status!A:B, 2,FALSE)</f>
        <v>Completed</v>
      </c>
      <c r="P1542" s="2" t="s">
        <v>23</v>
      </c>
      <c r="Q1542" s="2">
        <v>1</v>
      </c>
      <c r="R1542" s="2" t="s">
        <v>24</v>
      </c>
      <c r="S1542" s="11" t="str">
        <f t="shared" si="123"/>
        <v>Rendah</v>
      </c>
      <c r="T1542" s="2" t="str">
        <f t="shared" si="124"/>
        <v>Sangat Rendah</v>
      </c>
    </row>
    <row r="1543" spans="1:20" ht="15.75" customHeight="1" x14ac:dyDescent="0.3">
      <c r="A1543" s="4" t="s">
        <v>779</v>
      </c>
      <c r="B1543" s="3">
        <v>45637.073472222219</v>
      </c>
      <c r="C1543" s="2" t="s">
        <v>780</v>
      </c>
      <c r="D1543" s="2" t="s">
        <v>113</v>
      </c>
      <c r="E1543" s="2" t="s">
        <v>50</v>
      </c>
      <c r="F1543" s="2">
        <v>14000</v>
      </c>
      <c r="G1543" s="2">
        <v>1</v>
      </c>
      <c r="H1543" s="2">
        <v>20</v>
      </c>
      <c r="I1543">
        <f t="shared" si="120"/>
        <v>14000</v>
      </c>
      <c r="J1543">
        <f t="shared" si="121"/>
        <v>2800</v>
      </c>
      <c r="K1543" s="6">
        <f t="shared" si="122"/>
        <v>11200</v>
      </c>
      <c r="L1543" s="2">
        <v>18000</v>
      </c>
      <c r="M1543" s="6">
        <f>Table1[[#This Row],[Total Sales]]+Table1[[#This Row],[Shipping Fee]]</f>
        <v>29200</v>
      </c>
      <c r="N1543" s="2" t="s">
        <v>63</v>
      </c>
      <c r="O1543" t="str">
        <f>VLOOKUP(Table1[[#This Row],[Order ID]],Status!A:B, 2,FALSE)</f>
        <v>Completed</v>
      </c>
      <c r="P1543" s="2" t="s">
        <v>46</v>
      </c>
      <c r="Q1543" s="2">
        <v>2</v>
      </c>
      <c r="R1543" s="2" t="s">
        <v>24</v>
      </c>
      <c r="S1543" s="11" t="str">
        <f t="shared" si="123"/>
        <v>Rendah</v>
      </c>
      <c r="T1543" s="2" t="str">
        <f t="shared" si="124"/>
        <v>Sangat Rendah</v>
      </c>
    </row>
    <row r="1544" spans="1:20" ht="15.75" customHeight="1" x14ac:dyDescent="0.3">
      <c r="A1544" s="4" t="s">
        <v>778</v>
      </c>
      <c r="B1544" s="3">
        <v>45636.710740740738</v>
      </c>
      <c r="C1544" s="2" t="s">
        <v>739</v>
      </c>
      <c r="D1544" s="2" t="s">
        <v>177</v>
      </c>
      <c r="E1544" s="2" t="s">
        <v>45</v>
      </c>
      <c r="F1544" s="2">
        <v>40000</v>
      </c>
      <c r="G1544" s="2">
        <v>5</v>
      </c>
      <c r="H1544" s="2">
        <v>15</v>
      </c>
      <c r="I1544">
        <f t="shared" si="120"/>
        <v>200000</v>
      </c>
      <c r="J1544">
        <f t="shared" si="121"/>
        <v>30000</v>
      </c>
      <c r="K1544" s="6">
        <f t="shared" si="122"/>
        <v>170000</v>
      </c>
      <c r="L1544" s="2">
        <v>56000</v>
      </c>
      <c r="M1544" s="6">
        <f>Table1[[#This Row],[Total Sales]]+Table1[[#This Row],[Shipping Fee]]</f>
        <v>226000</v>
      </c>
      <c r="N1544" s="2" t="s">
        <v>63</v>
      </c>
      <c r="O1544" t="str">
        <f>VLOOKUP(Table1[[#This Row],[Order ID]],Status!A:B, 2,FALSE)</f>
        <v>Completed</v>
      </c>
      <c r="P1544" s="2" t="s">
        <v>82</v>
      </c>
      <c r="Q1544" s="2">
        <v>4</v>
      </c>
      <c r="R1544" s="2" t="s">
        <v>24</v>
      </c>
      <c r="S1544" s="11" t="str">
        <f t="shared" si="123"/>
        <v>Bagus</v>
      </c>
      <c r="T1544" s="2" t="str">
        <f t="shared" si="124"/>
        <v>Tinggi</v>
      </c>
    </row>
    <row r="1545" spans="1:20" ht="15.75" customHeight="1" x14ac:dyDescent="0.3">
      <c r="A1545" s="4" t="s">
        <v>777</v>
      </c>
      <c r="B1545" s="3">
        <v>45636.340405092589</v>
      </c>
      <c r="C1545" s="2" t="s">
        <v>277</v>
      </c>
      <c r="D1545" s="2" t="s">
        <v>119</v>
      </c>
      <c r="E1545" s="2" t="s">
        <v>250</v>
      </c>
      <c r="F1545" s="2">
        <v>18000</v>
      </c>
      <c r="G1545" s="2">
        <v>2</v>
      </c>
      <c r="H1545" s="2">
        <v>10</v>
      </c>
      <c r="I1545">
        <f t="shared" si="120"/>
        <v>36000</v>
      </c>
      <c r="J1545">
        <f t="shared" si="121"/>
        <v>3600</v>
      </c>
      <c r="K1545" s="6">
        <f t="shared" si="122"/>
        <v>32400</v>
      </c>
      <c r="L1545" s="2">
        <v>0</v>
      </c>
      <c r="M1545" s="6">
        <f>Table1[[#This Row],[Total Sales]]+Table1[[#This Row],[Shipping Fee]]</f>
        <v>32400</v>
      </c>
      <c r="N1545" s="2" t="s">
        <v>35</v>
      </c>
      <c r="O1545" t="str">
        <f>VLOOKUP(Table1[[#This Row],[Order ID]],Status!A:B, 2,FALSE)</f>
        <v>Completed</v>
      </c>
      <c r="P1545" s="2" t="s">
        <v>46</v>
      </c>
      <c r="Q1545" s="2">
        <v>2</v>
      </c>
      <c r="R1545" s="2" t="s">
        <v>24</v>
      </c>
      <c r="S1545" s="11" t="str">
        <f t="shared" si="123"/>
        <v>Rendah</v>
      </c>
      <c r="T1545" s="2" t="str">
        <f t="shared" si="124"/>
        <v>Sangat Rendah</v>
      </c>
    </row>
    <row r="1546" spans="1:20" ht="15.75" customHeight="1" x14ac:dyDescent="0.3">
      <c r="A1546" s="4" t="s">
        <v>775</v>
      </c>
      <c r="B1546" s="3">
        <v>45636.287418981483</v>
      </c>
      <c r="C1546" s="2" t="s">
        <v>776</v>
      </c>
      <c r="D1546" s="2" t="s">
        <v>103</v>
      </c>
      <c r="E1546" s="2" t="s">
        <v>75</v>
      </c>
      <c r="F1546" s="2">
        <v>55000</v>
      </c>
      <c r="G1546" s="2">
        <v>4</v>
      </c>
      <c r="H1546" s="2">
        <v>10</v>
      </c>
      <c r="I1546">
        <f t="shared" si="120"/>
        <v>220000</v>
      </c>
      <c r="J1546">
        <f t="shared" si="121"/>
        <v>22000</v>
      </c>
      <c r="K1546" s="6">
        <f t="shared" si="122"/>
        <v>198000</v>
      </c>
      <c r="L1546" s="2">
        <v>85000</v>
      </c>
      <c r="M1546" s="6">
        <f>Table1[[#This Row],[Total Sales]]+Table1[[#This Row],[Shipping Fee]]</f>
        <v>283000</v>
      </c>
      <c r="N1546" s="2" t="s">
        <v>63</v>
      </c>
      <c r="O1546" t="str">
        <f>VLOOKUP(Table1[[#This Row],[Order ID]],Status!A:B, 2,FALSE)</f>
        <v>Completed</v>
      </c>
      <c r="P1546" s="2" t="s">
        <v>30</v>
      </c>
      <c r="Q1546" s="2">
        <v>2</v>
      </c>
      <c r="R1546" s="2" t="s">
        <v>24</v>
      </c>
      <c r="S1546" s="11" t="str">
        <f t="shared" si="123"/>
        <v>Rendah</v>
      </c>
      <c r="T1546" s="2" t="str">
        <f t="shared" si="124"/>
        <v>Tinggi</v>
      </c>
    </row>
    <row r="1547" spans="1:20" ht="15.75" customHeight="1" x14ac:dyDescent="0.3">
      <c r="A1547" s="4" t="s">
        <v>773</v>
      </c>
      <c r="B1547" s="3">
        <v>45635.762002314812</v>
      </c>
      <c r="C1547" s="2" t="s">
        <v>774</v>
      </c>
      <c r="D1547" s="2" t="s">
        <v>262</v>
      </c>
      <c r="E1547" s="2" t="s">
        <v>144</v>
      </c>
      <c r="F1547" s="2">
        <v>18000</v>
      </c>
      <c r="G1547" s="2">
        <v>1</v>
      </c>
      <c r="H1547" s="2">
        <v>5</v>
      </c>
      <c r="I1547">
        <f t="shared" si="120"/>
        <v>18000</v>
      </c>
      <c r="J1547">
        <f t="shared" si="121"/>
        <v>900</v>
      </c>
      <c r="K1547" s="6">
        <f t="shared" si="122"/>
        <v>17100</v>
      </c>
      <c r="L1547" s="2">
        <v>18000</v>
      </c>
      <c r="M1547" s="6">
        <f>Table1[[#This Row],[Total Sales]]+Table1[[#This Row],[Shipping Fee]]</f>
        <v>35100</v>
      </c>
      <c r="N1547" s="2" t="s">
        <v>22</v>
      </c>
      <c r="O1547" t="str">
        <f>VLOOKUP(Table1[[#This Row],[Order ID]],Status!A:B, 2,FALSE)</f>
        <v>Completed</v>
      </c>
      <c r="P1547" s="2" t="s">
        <v>82</v>
      </c>
      <c r="Q1547" s="2">
        <v>3</v>
      </c>
      <c r="R1547" s="2" t="s">
        <v>24</v>
      </c>
      <c r="S1547" s="11" t="str">
        <f t="shared" si="123"/>
        <v>Standar</v>
      </c>
      <c r="T1547" s="2" t="str">
        <f t="shared" si="124"/>
        <v>Sangat Rendah</v>
      </c>
    </row>
    <row r="1548" spans="1:20" ht="15.75" customHeight="1" x14ac:dyDescent="0.3">
      <c r="A1548" s="4" t="s">
        <v>771</v>
      </c>
      <c r="B1548" s="3">
        <v>45635.641793981478</v>
      </c>
      <c r="C1548" s="2" t="s">
        <v>772</v>
      </c>
      <c r="D1548" s="2" t="s">
        <v>113</v>
      </c>
      <c r="E1548" s="2" t="s">
        <v>81</v>
      </c>
      <c r="F1548" s="2">
        <v>17000</v>
      </c>
      <c r="G1548" s="2">
        <v>5</v>
      </c>
      <c r="H1548" s="2">
        <v>20</v>
      </c>
      <c r="I1548">
        <f t="shared" si="120"/>
        <v>85000</v>
      </c>
      <c r="J1548">
        <f t="shared" si="121"/>
        <v>17000</v>
      </c>
      <c r="K1548" s="6">
        <f t="shared" si="122"/>
        <v>68000</v>
      </c>
      <c r="L1548" s="2">
        <v>18000</v>
      </c>
      <c r="M1548" s="6">
        <f>Table1[[#This Row],[Total Sales]]+Table1[[#This Row],[Shipping Fee]]</f>
        <v>86000</v>
      </c>
      <c r="N1548" s="2" t="s">
        <v>29</v>
      </c>
      <c r="O1548" t="str">
        <f>VLOOKUP(Table1[[#This Row],[Order ID]],Status!A:B, 2,FALSE)</f>
        <v>Completed</v>
      </c>
      <c r="P1548" s="2" t="s">
        <v>23</v>
      </c>
      <c r="Q1548" s="2">
        <v>1</v>
      </c>
      <c r="R1548" s="2" t="s">
        <v>24</v>
      </c>
      <c r="S1548" s="11" t="str">
        <f t="shared" si="123"/>
        <v>Rendah</v>
      </c>
      <c r="T1548" s="2" t="str">
        <f t="shared" si="124"/>
        <v>Normal</v>
      </c>
    </row>
    <row r="1549" spans="1:20" ht="15.75" customHeight="1" x14ac:dyDescent="0.3">
      <c r="A1549" s="4" t="s">
        <v>770</v>
      </c>
      <c r="B1549" s="3">
        <v>45635.575624999998</v>
      </c>
      <c r="C1549" s="2" t="s">
        <v>565</v>
      </c>
      <c r="D1549" s="2" t="s">
        <v>163</v>
      </c>
      <c r="E1549" s="2" t="s">
        <v>123</v>
      </c>
      <c r="F1549" s="2">
        <v>22000</v>
      </c>
      <c r="G1549" s="2">
        <v>3</v>
      </c>
      <c r="H1549" s="2">
        <v>10</v>
      </c>
      <c r="I1549">
        <f t="shared" si="120"/>
        <v>66000</v>
      </c>
      <c r="J1549">
        <f t="shared" si="121"/>
        <v>6600</v>
      </c>
      <c r="K1549" s="6">
        <f t="shared" si="122"/>
        <v>59400</v>
      </c>
      <c r="L1549" s="2">
        <v>50000</v>
      </c>
      <c r="M1549" s="6">
        <f>Table1[[#This Row],[Total Sales]]+Table1[[#This Row],[Shipping Fee]]</f>
        <v>109400</v>
      </c>
      <c r="N1549" s="2" t="s">
        <v>22</v>
      </c>
      <c r="O1549" t="str">
        <f>VLOOKUP(Table1[[#This Row],[Order ID]],Status!A:B, 2,FALSE)</f>
        <v>Completed</v>
      </c>
      <c r="P1549" s="2" t="s">
        <v>23</v>
      </c>
      <c r="Q1549" s="2">
        <v>5</v>
      </c>
      <c r="R1549" s="2" t="s">
        <v>24</v>
      </c>
      <c r="S1549" s="11" t="str">
        <f t="shared" si="123"/>
        <v>Bagus</v>
      </c>
      <c r="T1549" s="2" t="str">
        <f t="shared" si="124"/>
        <v>Rendah</v>
      </c>
    </row>
    <row r="1550" spans="1:20" ht="15.75" customHeight="1" x14ac:dyDescent="0.3">
      <c r="A1550" s="4" t="s">
        <v>769</v>
      </c>
      <c r="B1550" s="3">
        <v>45635.399953703702</v>
      </c>
      <c r="C1550" s="2" t="s">
        <v>355</v>
      </c>
      <c r="D1550" s="2" t="s">
        <v>116</v>
      </c>
      <c r="E1550" s="2" t="s">
        <v>54</v>
      </c>
      <c r="F1550" s="2">
        <v>16000</v>
      </c>
      <c r="G1550" s="2">
        <v>4</v>
      </c>
      <c r="H1550" s="2">
        <v>15</v>
      </c>
      <c r="I1550">
        <f t="shared" si="120"/>
        <v>64000</v>
      </c>
      <c r="J1550">
        <f t="shared" si="121"/>
        <v>9600</v>
      </c>
      <c r="K1550" s="6">
        <f t="shared" si="122"/>
        <v>54400</v>
      </c>
      <c r="L1550" s="2">
        <v>72000</v>
      </c>
      <c r="M1550" s="6">
        <f>Table1[[#This Row],[Total Sales]]+Table1[[#This Row],[Shipping Fee]]</f>
        <v>126400</v>
      </c>
      <c r="N1550" s="2" t="s">
        <v>22</v>
      </c>
      <c r="O1550" t="str">
        <f>VLOOKUP(Table1[[#This Row],[Order ID]],Status!A:B, 2,FALSE)</f>
        <v>Returned</v>
      </c>
      <c r="P1550" s="2" t="s">
        <v>46</v>
      </c>
      <c r="Q1550" s="2">
        <v>5</v>
      </c>
      <c r="R1550" s="2" t="s">
        <v>24</v>
      </c>
      <c r="S1550" s="11" t="str">
        <f t="shared" si="123"/>
        <v>Bagus</v>
      </c>
      <c r="T1550" s="2" t="str">
        <f t="shared" si="124"/>
        <v>Rendah</v>
      </c>
    </row>
    <row r="1551" spans="1:20" ht="15.75" customHeight="1" x14ac:dyDescent="0.3">
      <c r="A1551" s="4" t="s">
        <v>768</v>
      </c>
      <c r="B1551" s="3">
        <v>45635.087650462963</v>
      </c>
      <c r="C1551" s="2" t="s">
        <v>410</v>
      </c>
      <c r="D1551" s="2" t="s">
        <v>151</v>
      </c>
      <c r="E1551" s="2" t="s">
        <v>88</v>
      </c>
      <c r="F1551" s="2">
        <v>14000</v>
      </c>
      <c r="G1551" s="2">
        <v>5</v>
      </c>
      <c r="H1551" s="2">
        <v>10</v>
      </c>
      <c r="I1551">
        <f t="shared" si="120"/>
        <v>70000</v>
      </c>
      <c r="J1551">
        <f t="shared" si="121"/>
        <v>7000</v>
      </c>
      <c r="K1551" s="6">
        <f t="shared" si="122"/>
        <v>63000</v>
      </c>
      <c r="L1551" s="2">
        <v>55000</v>
      </c>
      <c r="M1551" s="6">
        <f>Table1[[#This Row],[Total Sales]]+Table1[[#This Row],[Shipping Fee]]</f>
        <v>118000</v>
      </c>
      <c r="N1551" s="2" t="s">
        <v>35</v>
      </c>
      <c r="O1551" t="str">
        <f>VLOOKUP(Table1[[#This Row],[Order ID]],Status!A:B, 2,FALSE)</f>
        <v>Completed</v>
      </c>
      <c r="P1551" s="2" t="s">
        <v>36</v>
      </c>
      <c r="Q1551" s="2">
        <v>2</v>
      </c>
      <c r="R1551" s="2" t="s">
        <v>24</v>
      </c>
      <c r="S1551" s="11" t="str">
        <f t="shared" si="123"/>
        <v>Rendah</v>
      </c>
      <c r="T1551" s="2" t="str">
        <f t="shared" si="124"/>
        <v>Rendah</v>
      </c>
    </row>
    <row r="1552" spans="1:20" ht="15.75" customHeight="1" x14ac:dyDescent="0.3">
      <c r="A1552" s="4" t="s">
        <v>767</v>
      </c>
      <c r="B1552" s="3">
        <v>45634.884618055563</v>
      </c>
      <c r="C1552" s="2" t="s">
        <v>91</v>
      </c>
      <c r="D1552" s="2" t="s">
        <v>92</v>
      </c>
      <c r="E1552" s="2" t="s">
        <v>110</v>
      </c>
      <c r="F1552" s="2">
        <v>6000</v>
      </c>
      <c r="G1552" s="2">
        <v>4</v>
      </c>
      <c r="H1552" s="2">
        <v>10</v>
      </c>
      <c r="I1552">
        <f t="shared" si="120"/>
        <v>24000</v>
      </c>
      <c r="J1552">
        <f t="shared" si="121"/>
        <v>2400</v>
      </c>
      <c r="K1552" s="6">
        <f t="shared" si="122"/>
        <v>21600</v>
      </c>
      <c r="L1552" s="2">
        <v>30000</v>
      </c>
      <c r="M1552" s="6">
        <f>Table1[[#This Row],[Total Sales]]+Table1[[#This Row],[Shipping Fee]]</f>
        <v>51600</v>
      </c>
      <c r="N1552" s="2" t="s">
        <v>35</v>
      </c>
      <c r="O1552" t="str">
        <f>VLOOKUP(Table1[[#This Row],[Order ID]],Status!A:B, 2,FALSE)</f>
        <v>Returned</v>
      </c>
      <c r="P1552" s="2" t="s">
        <v>23</v>
      </c>
      <c r="Q1552" s="2">
        <v>2</v>
      </c>
      <c r="R1552" s="2" t="s">
        <v>24</v>
      </c>
      <c r="S1552" s="11" t="str">
        <f t="shared" si="123"/>
        <v>Rendah</v>
      </c>
      <c r="T1552" s="2" t="str">
        <f t="shared" si="124"/>
        <v>Sangat Rendah</v>
      </c>
    </row>
    <row r="1553" spans="1:20" ht="15.75" customHeight="1" x14ac:dyDescent="0.3">
      <c r="A1553" s="4" t="s">
        <v>766</v>
      </c>
      <c r="B1553" s="3">
        <v>45634.066932870373</v>
      </c>
      <c r="C1553" s="2" t="s">
        <v>626</v>
      </c>
      <c r="D1553" s="2" t="s">
        <v>296</v>
      </c>
      <c r="E1553" s="2" t="s">
        <v>21</v>
      </c>
      <c r="F1553" s="2">
        <v>45000</v>
      </c>
      <c r="G1553" s="2">
        <v>3</v>
      </c>
      <c r="H1553" s="2">
        <v>20</v>
      </c>
      <c r="I1553">
        <f t="shared" si="120"/>
        <v>135000</v>
      </c>
      <c r="J1553">
        <f t="shared" si="121"/>
        <v>27000</v>
      </c>
      <c r="K1553" s="6">
        <f t="shared" si="122"/>
        <v>108000</v>
      </c>
      <c r="L1553" s="2">
        <v>79000</v>
      </c>
      <c r="M1553" s="6">
        <f>Table1[[#This Row],[Total Sales]]+Table1[[#This Row],[Shipping Fee]]</f>
        <v>187000</v>
      </c>
      <c r="N1553" s="2" t="s">
        <v>35</v>
      </c>
      <c r="O1553" t="str">
        <f>VLOOKUP(Table1[[#This Row],[Order ID]],Status!A:B, 2,FALSE)</f>
        <v>Returned</v>
      </c>
      <c r="P1553" s="2" t="s">
        <v>46</v>
      </c>
      <c r="Q1553" s="2">
        <v>5</v>
      </c>
      <c r="R1553" s="2" t="s">
        <v>24</v>
      </c>
      <c r="S1553" s="11" t="str">
        <f t="shared" si="123"/>
        <v>Bagus</v>
      </c>
      <c r="T1553" s="2" t="str">
        <f t="shared" si="124"/>
        <v>Tinggi</v>
      </c>
    </row>
    <row r="1554" spans="1:20" ht="15.75" customHeight="1" x14ac:dyDescent="0.3">
      <c r="A1554" s="4" t="s">
        <v>765</v>
      </c>
      <c r="B1554" s="3">
        <v>45633.724930555552</v>
      </c>
      <c r="C1554" s="2" t="s">
        <v>368</v>
      </c>
      <c r="D1554" s="2" t="s">
        <v>113</v>
      </c>
      <c r="E1554" s="2" t="s">
        <v>28</v>
      </c>
      <c r="F1554" s="2">
        <v>5000</v>
      </c>
      <c r="G1554" s="2">
        <v>3</v>
      </c>
      <c r="H1554" s="2">
        <v>20</v>
      </c>
      <c r="I1554">
        <f t="shared" si="120"/>
        <v>15000</v>
      </c>
      <c r="J1554">
        <f t="shared" si="121"/>
        <v>3000</v>
      </c>
      <c r="K1554" s="6">
        <f t="shared" si="122"/>
        <v>12000</v>
      </c>
      <c r="L1554" s="2">
        <v>18000</v>
      </c>
      <c r="M1554" s="6">
        <f>Table1[[#This Row],[Total Sales]]+Table1[[#This Row],[Shipping Fee]]</f>
        <v>30000</v>
      </c>
      <c r="N1554" s="2" t="s">
        <v>35</v>
      </c>
      <c r="O1554" t="str">
        <f>VLOOKUP(Table1[[#This Row],[Order ID]],Status!A:B, 2,FALSE)</f>
        <v>Cancelled</v>
      </c>
      <c r="P1554" s="2" t="s">
        <v>82</v>
      </c>
      <c r="Q1554" s="2">
        <v>4</v>
      </c>
      <c r="R1554" s="2" t="s">
        <v>37</v>
      </c>
      <c r="S1554" s="11" t="str">
        <f t="shared" si="123"/>
        <v>Bagus</v>
      </c>
      <c r="T1554" s="2" t="str">
        <f t="shared" si="124"/>
        <v>Sangat Rendah</v>
      </c>
    </row>
    <row r="1555" spans="1:20" ht="15.75" customHeight="1" x14ac:dyDescent="0.3">
      <c r="A1555" s="4" t="s">
        <v>764</v>
      </c>
      <c r="B1555" s="3">
        <v>45633.470682870371</v>
      </c>
      <c r="C1555" s="2" t="s">
        <v>613</v>
      </c>
      <c r="D1555" s="2" t="s">
        <v>375</v>
      </c>
      <c r="E1555" s="2" t="s">
        <v>93</v>
      </c>
      <c r="F1555" s="2">
        <v>25000</v>
      </c>
      <c r="G1555" s="2">
        <v>2</v>
      </c>
      <c r="H1555" s="2">
        <v>5</v>
      </c>
      <c r="I1555">
        <f t="shared" si="120"/>
        <v>50000</v>
      </c>
      <c r="J1555">
        <f t="shared" si="121"/>
        <v>2500</v>
      </c>
      <c r="K1555" s="6">
        <f t="shared" si="122"/>
        <v>47500</v>
      </c>
      <c r="L1555" s="2">
        <v>21000</v>
      </c>
      <c r="M1555" s="6">
        <f>Table1[[#This Row],[Total Sales]]+Table1[[#This Row],[Shipping Fee]]</f>
        <v>68500</v>
      </c>
      <c r="N1555" s="2" t="s">
        <v>63</v>
      </c>
      <c r="O1555" t="str">
        <f>VLOOKUP(Table1[[#This Row],[Order ID]],Status!A:B, 2,FALSE)</f>
        <v>Completed</v>
      </c>
      <c r="P1555" s="2" t="s">
        <v>82</v>
      </c>
      <c r="Q1555" s="2">
        <v>5</v>
      </c>
      <c r="R1555" s="2" t="s">
        <v>24</v>
      </c>
      <c r="S1555" s="11" t="str">
        <f t="shared" si="123"/>
        <v>Bagus</v>
      </c>
      <c r="T1555" s="2" t="str">
        <f t="shared" si="124"/>
        <v>Sangat Rendah</v>
      </c>
    </row>
    <row r="1556" spans="1:20" ht="15.75" customHeight="1" x14ac:dyDescent="0.3">
      <c r="A1556" s="4" t="s">
        <v>762</v>
      </c>
      <c r="B1556" s="3">
        <v>45633.321956018517</v>
      </c>
      <c r="C1556" s="2" t="s">
        <v>763</v>
      </c>
      <c r="D1556" s="2" t="s">
        <v>74</v>
      </c>
      <c r="E1556" s="2" t="s">
        <v>138</v>
      </c>
      <c r="F1556" s="2">
        <v>17000</v>
      </c>
      <c r="G1556" s="2">
        <v>4</v>
      </c>
      <c r="H1556" s="2">
        <v>5</v>
      </c>
      <c r="I1556">
        <f t="shared" si="120"/>
        <v>68000</v>
      </c>
      <c r="J1556">
        <f t="shared" si="121"/>
        <v>3400</v>
      </c>
      <c r="K1556" s="6">
        <f t="shared" si="122"/>
        <v>64600</v>
      </c>
      <c r="L1556" s="2">
        <v>87000</v>
      </c>
      <c r="M1556" s="6">
        <f>Table1[[#This Row],[Total Sales]]+Table1[[#This Row],[Shipping Fee]]</f>
        <v>151600</v>
      </c>
      <c r="N1556" s="2" t="s">
        <v>22</v>
      </c>
      <c r="O1556" t="str">
        <f>VLOOKUP(Table1[[#This Row],[Order ID]],Status!A:B, 2,FALSE)</f>
        <v>Completed</v>
      </c>
      <c r="P1556" s="2" t="s">
        <v>46</v>
      </c>
      <c r="Q1556" s="2">
        <v>1</v>
      </c>
      <c r="R1556" s="2" t="s">
        <v>24</v>
      </c>
      <c r="S1556" s="11" t="str">
        <f t="shared" si="123"/>
        <v>Rendah</v>
      </c>
      <c r="T1556" s="2" t="str">
        <f t="shared" si="124"/>
        <v>Sangat Rendah</v>
      </c>
    </row>
    <row r="1557" spans="1:20" ht="15.75" customHeight="1" x14ac:dyDescent="0.3">
      <c r="A1557" s="4" t="s">
        <v>761</v>
      </c>
      <c r="B1557" s="3">
        <v>45633.222604166673</v>
      </c>
      <c r="C1557" s="2" t="s">
        <v>488</v>
      </c>
      <c r="D1557" s="2" t="s">
        <v>49</v>
      </c>
      <c r="E1557" s="2" t="s">
        <v>28</v>
      </c>
      <c r="F1557" s="2">
        <v>5000</v>
      </c>
      <c r="G1557" s="2">
        <v>4</v>
      </c>
      <c r="H1557" s="2">
        <v>5</v>
      </c>
      <c r="I1557">
        <f t="shared" si="120"/>
        <v>20000</v>
      </c>
      <c r="J1557">
        <f t="shared" si="121"/>
        <v>1000</v>
      </c>
      <c r="K1557" s="6">
        <f t="shared" si="122"/>
        <v>19000</v>
      </c>
      <c r="L1557" s="2">
        <v>43000</v>
      </c>
      <c r="M1557" s="6">
        <f>Table1[[#This Row],[Total Sales]]+Table1[[#This Row],[Shipping Fee]]</f>
        <v>62000</v>
      </c>
      <c r="N1557" s="2" t="s">
        <v>63</v>
      </c>
      <c r="O1557" t="str">
        <f>VLOOKUP(Table1[[#This Row],[Order ID]],Status!A:B, 2,FALSE)</f>
        <v>Completed</v>
      </c>
      <c r="P1557" s="2" t="s">
        <v>36</v>
      </c>
      <c r="Q1557" s="2">
        <v>3</v>
      </c>
      <c r="R1557" s="2" t="s">
        <v>24</v>
      </c>
      <c r="S1557" s="11" t="str">
        <f t="shared" si="123"/>
        <v>Standar</v>
      </c>
      <c r="T1557" s="2" t="str">
        <f t="shared" si="124"/>
        <v>Sangat Rendah</v>
      </c>
    </row>
    <row r="1558" spans="1:20" ht="15.75" customHeight="1" x14ac:dyDescent="0.3">
      <c r="A1558" s="4" t="s">
        <v>760</v>
      </c>
      <c r="B1558" s="3">
        <v>45632.448240740741</v>
      </c>
      <c r="C1558" s="2" t="s">
        <v>32</v>
      </c>
      <c r="D1558" s="2" t="s">
        <v>33</v>
      </c>
      <c r="E1558" s="2" t="s">
        <v>45</v>
      </c>
      <c r="F1558" s="2">
        <v>40000</v>
      </c>
      <c r="G1558" s="2">
        <v>2</v>
      </c>
      <c r="H1558" s="2">
        <v>20</v>
      </c>
      <c r="I1558">
        <f t="shared" si="120"/>
        <v>80000</v>
      </c>
      <c r="J1558">
        <f t="shared" si="121"/>
        <v>16000</v>
      </c>
      <c r="K1558" s="6">
        <f t="shared" si="122"/>
        <v>64000</v>
      </c>
      <c r="L1558" s="2">
        <v>76000</v>
      </c>
      <c r="M1558" s="6">
        <f>Table1[[#This Row],[Total Sales]]+Table1[[#This Row],[Shipping Fee]]</f>
        <v>140000</v>
      </c>
      <c r="N1558" s="2" t="s">
        <v>29</v>
      </c>
      <c r="O1558" t="str">
        <f>VLOOKUP(Table1[[#This Row],[Order ID]],Status!A:B, 2,FALSE)</f>
        <v>Completed</v>
      </c>
      <c r="P1558" s="2" t="s">
        <v>30</v>
      </c>
      <c r="Q1558" s="2">
        <v>5</v>
      </c>
      <c r="R1558" s="2" t="s">
        <v>37</v>
      </c>
      <c r="S1558" s="11" t="str">
        <f t="shared" si="123"/>
        <v>Bagus</v>
      </c>
      <c r="T1558" s="2" t="str">
        <f t="shared" si="124"/>
        <v>Normal</v>
      </c>
    </row>
    <row r="1559" spans="1:20" ht="15.75" customHeight="1" x14ac:dyDescent="0.3">
      <c r="A1559" s="4" t="s">
        <v>759</v>
      </c>
      <c r="B1559" s="3">
        <v>45632.22550925926</v>
      </c>
      <c r="C1559" s="2" t="s">
        <v>699</v>
      </c>
      <c r="D1559" s="2" t="s">
        <v>238</v>
      </c>
      <c r="E1559" s="2" t="s">
        <v>85</v>
      </c>
      <c r="F1559" s="2">
        <v>35000</v>
      </c>
      <c r="G1559" s="2">
        <v>4</v>
      </c>
      <c r="H1559" s="2">
        <v>5</v>
      </c>
      <c r="I1559">
        <f t="shared" si="120"/>
        <v>140000</v>
      </c>
      <c r="J1559">
        <f t="shared" si="121"/>
        <v>7000</v>
      </c>
      <c r="K1559" s="6">
        <f t="shared" si="122"/>
        <v>133000</v>
      </c>
      <c r="L1559" s="2">
        <v>28000</v>
      </c>
      <c r="M1559" s="6">
        <f>Table1[[#This Row],[Total Sales]]+Table1[[#This Row],[Shipping Fee]]</f>
        <v>161000</v>
      </c>
      <c r="N1559" s="2" t="s">
        <v>22</v>
      </c>
      <c r="O1559" t="str">
        <f>VLOOKUP(Table1[[#This Row],[Order ID]],Status!A:B, 2,FALSE)</f>
        <v>Completed</v>
      </c>
      <c r="P1559" s="2" t="s">
        <v>23</v>
      </c>
      <c r="Q1559" s="2">
        <v>1</v>
      </c>
      <c r="R1559" s="2" t="s">
        <v>37</v>
      </c>
      <c r="S1559" s="11" t="str">
        <f t="shared" si="123"/>
        <v>Rendah</v>
      </c>
      <c r="T1559" s="2" t="str">
        <f t="shared" si="124"/>
        <v>Rendah</v>
      </c>
    </row>
    <row r="1560" spans="1:20" ht="15.75" customHeight="1" x14ac:dyDescent="0.3">
      <c r="A1560" s="4" t="s">
        <v>757</v>
      </c>
      <c r="B1560" s="3">
        <v>45631.862500000003</v>
      </c>
      <c r="C1560" s="2" t="s">
        <v>758</v>
      </c>
      <c r="D1560" s="2" t="s">
        <v>238</v>
      </c>
      <c r="E1560" s="2" t="s">
        <v>75</v>
      </c>
      <c r="F1560" s="2">
        <v>55000</v>
      </c>
      <c r="G1560" s="2">
        <v>1</v>
      </c>
      <c r="H1560" s="2">
        <v>15</v>
      </c>
      <c r="I1560">
        <f t="shared" si="120"/>
        <v>55000</v>
      </c>
      <c r="J1560">
        <f t="shared" si="121"/>
        <v>8250</v>
      </c>
      <c r="K1560" s="6">
        <f t="shared" si="122"/>
        <v>46750</v>
      </c>
      <c r="L1560" s="2">
        <v>28000</v>
      </c>
      <c r="M1560" s="6">
        <f>Table1[[#This Row],[Total Sales]]+Table1[[#This Row],[Shipping Fee]]</f>
        <v>74750</v>
      </c>
      <c r="N1560" s="2" t="s">
        <v>63</v>
      </c>
      <c r="O1560" t="str">
        <f>VLOOKUP(Table1[[#This Row],[Order ID]],Status!A:B, 2,FALSE)</f>
        <v>Cancelled</v>
      </c>
      <c r="P1560" s="2" t="s">
        <v>30</v>
      </c>
      <c r="Q1560" s="2">
        <v>5</v>
      </c>
      <c r="R1560" s="2" t="s">
        <v>24</v>
      </c>
      <c r="S1560" s="11" t="str">
        <f t="shared" si="123"/>
        <v>Bagus</v>
      </c>
      <c r="T1560" s="2" t="str">
        <f t="shared" si="124"/>
        <v>Rendah</v>
      </c>
    </row>
    <row r="1561" spans="1:20" ht="15.75" customHeight="1" x14ac:dyDescent="0.3">
      <c r="A1561" s="4" t="s">
        <v>756</v>
      </c>
      <c r="B1561" s="3">
        <v>45631.768067129633</v>
      </c>
      <c r="C1561" s="2" t="s">
        <v>570</v>
      </c>
      <c r="D1561" s="2" t="s">
        <v>80</v>
      </c>
      <c r="E1561" s="2" t="s">
        <v>136</v>
      </c>
      <c r="F1561" s="2">
        <v>12000</v>
      </c>
      <c r="G1561" s="2">
        <v>4</v>
      </c>
      <c r="H1561" s="2">
        <v>20</v>
      </c>
      <c r="I1561">
        <f t="shared" si="120"/>
        <v>48000</v>
      </c>
      <c r="J1561">
        <f t="shared" si="121"/>
        <v>9600</v>
      </c>
      <c r="K1561" s="6">
        <f t="shared" si="122"/>
        <v>38400</v>
      </c>
      <c r="L1561" s="2">
        <v>74000</v>
      </c>
      <c r="M1561" s="6">
        <f>Table1[[#This Row],[Total Sales]]+Table1[[#This Row],[Shipping Fee]]</f>
        <v>112400</v>
      </c>
      <c r="N1561" s="2" t="s">
        <v>29</v>
      </c>
      <c r="O1561" t="str">
        <f>VLOOKUP(Table1[[#This Row],[Order ID]],Status!A:B, 2,FALSE)</f>
        <v>Completed</v>
      </c>
      <c r="P1561" s="2" t="s">
        <v>46</v>
      </c>
      <c r="Q1561" s="2">
        <v>2</v>
      </c>
      <c r="R1561" s="2" t="s">
        <v>24</v>
      </c>
      <c r="S1561" s="11" t="str">
        <f t="shared" si="123"/>
        <v>Rendah</v>
      </c>
      <c r="T1561" s="2" t="str">
        <f t="shared" si="124"/>
        <v>Rendah</v>
      </c>
    </row>
    <row r="1562" spans="1:20" ht="15.75" customHeight="1" x14ac:dyDescent="0.3">
      <c r="A1562" s="4" t="s">
        <v>755</v>
      </c>
      <c r="B1562" s="3">
        <v>45631.572511574072</v>
      </c>
      <c r="C1562" s="2" t="s">
        <v>439</v>
      </c>
      <c r="D1562" s="2" t="s">
        <v>119</v>
      </c>
      <c r="E1562" s="2" t="s">
        <v>138</v>
      </c>
      <c r="F1562" s="2">
        <v>17000</v>
      </c>
      <c r="G1562" s="2">
        <v>3</v>
      </c>
      <c r="H1562" s="2">
        <v>20</v>
      </c>
      <c r="I1562">
        <f t="shared" si="120"/>
        <v>51000</v>
      </c>
      <c r="J1562">
        <f t="shared" si="121"/>
        <v>10200</v>
      </c>
      <c r="K1562" s="6">
        <f t="shared" si="122"/>
        <v>40800</v>
      </c>
      <c r="L1562" s="2">
        <v>0</v>
      </c>
      <c r="M1562" s="6">
        <f>Table1[[#This Row],[Total Sales]]+Table1[[#This Row],[Shipping Fee]]</f>
        <v>40800</v>
      </c>
      <c r="N1562" s="2" t="s">
        <v>35</v>
      </c>
      <c r="O1562" t="str">
        <f>VLOOKUP(Table1[[#This Row],[Order ID]],Status!A:B, 2,FALSE)</f>
        <v>Completed</v>
      </c>
      <c r="P1562" s="2" t="s">
        <v>46</v>
      </c>
      <c r="Q1562" s="2">
        <v>4</v>
      </c>
      <c r="R1562" s="2" t="s">
        <v>37</v>
      </c>
      <c r="S1562" s="11" t="str">
        <f t="shared" si="123"/>
        <v>Bagus</v>
      </c>
      <c r="T1562" s="2" t="str">
        <f t="shared" si="124"/>
        <v>Normal</v>
      </c>
    </row>
    <row r="1563" spans="1:20" ht="15.75" customHeight="1" x14ac:dyDescent="0.3">
      <c r="A1563" s="4" t="s">
        <v>753</v>
      </c>
      <c r="B1563" s="3">
        <v>45631.402430555558</v>
      </c>
      <c r="C1563" s="2" t="s">
        <v>754</v>
      </c>
      <c r="D1563" s="2" t="s">
        <v>238</v>
      </c>
      <c r="E1563" s="2" t="s">
        <v>250</v>
      </c>
      <c r="F1563" s="2">
        <v>18000</v>
      </c>
      <c r="G1563" s="2">
        <v>2</v>
      </c>
      <c r="H1563" s="2">
        <v>5</v>
      </c>
      <c r="I1563">
        <f t="shared" si="120"/>
        <v>36000</v>
      </c>
      <c r="J1563">
        <f t="shared" si="121"/>
        <v>1800</v>
      </c>
      <c r="K1563" s="6">
        <f t="shared" si="122"/>
        <v>34200</v>
      </c>
      <c r="L1563" s="2">
        <v>28000</v>
      </c>
      <c r="M1563" s="6">
        <f>Table1[[#This Row],[Total Sales]]+Table1[[#This Row],[Shipping Fee]]</f>
        <v>62200</v>
      </c>
      <c r="N1563" s="2" t="s">
        <v>63</v>
      </c>
      <c r="O1563" t="str">
        <f>VLOOKUP(Table1[[#This Row],[Order ID]],Status!A:B, 2,FALSE)</f>
        <v>Completed</v>
      </c>
      <c r="P1563" s="2" t="s">
        <v>82</v>
      </c>
      <c r="Q1563" s="2">
        <v>3</v>
      </c>
      <c r="R1563" s="2" t="s">
        <v>37</v>
      </c>
      <c r="S1563" s="11" t="str">
        <f t="shared" si="123"/>
        <v>Standar</v>
      </c>
      <c r="T1563" s="2" t="str">
        <f t="shared" si="124"/>
        <v>Sangat Rendah</v>
      </c>
    </row>
    <row r="1564" spans="1:20" ht="15.75" customHeight="1" x14ac:dyDescent="0.3">
      <c r="A1564" s="4" t="s">
        <v>753</v>
      </c>
      <c r="B1564" s="3">
        <v>45631.402430555558</v>
      </c>
      <c r="C1564" s="2" t="s">
        <v>754</v>
      </c>
      <c r="D1564" s="2" t="s">
        <v>238</v>
      </c>
      <c r="E1564" s="2" t="s">
        <v>144</v>
      </c>
      <c r="F1564" s="2">
        <v>18000</v>
      </c>
      <c r="G1564" s="2">
        <v>2</v>
      </c>
      <c r="H1564" s="2">
        <v>20</v>
      </c>
      <c r="I1564">
        <f t="shared" si="120"/>
        <v>36000</v>
      </c>
      <c r="J1564">
        <f t="shared" si="121"/>
        <v>7200</v>
      </c>
      <c r="K1564" s="6">
        <f t="shared" si="122"/>
        <v>28800</v>
      </c>
      <c r="L1564" s="2">
        <v>0</v>
      </c>
      <c r="M1564" s="6">
        <f>Table1[[#This Row],[Total Sales]]+Table1[[#This Row],[Shipping Fee]]</f>
        <v>28800</v>
      </c>
      <c r="N1564" s="2" t="s">
        <v>63</v>
      </c>
      <c r="O1564" t="str">
        <f>VLOOKUP(Table1[[#This Row],[Order ID]],Status!A:B, 2,FALSE)</f>
        <v>Completed</v>
      </c>
      <c r="P1564" s="2" t="s">
        <v>82</v>
      </c>
      <c r="Q1564" s="2">
        <v>3</v>
      </c>
      <c r="R1564" s="2" t="s">
        <v>37</v>
      </c>
      <c r="S1564" s="11" t="str">
        <f t="shared" si="123"/>
        <v>Standar</v>
      </c>
      <c r="T1564" s="2" t="str">
        <f t="shared" si="124"/>
        <v>Rendah</v>
      </c>
    </row>
    <row r="1565" spans="1:20" ht="15.75" customHeight="1" x14ac:dyDescent="0.3">
      <c r="A1565" s="4" t="s">
        <v>752</v>
      </c>
      <c r="B1565" s="3">
        <v>45631.320868055547</v>
      </c>
      <c r="C1565" s="2" t="s">
        <v>459</v>
      </c>
      <c r="D1565" s="2" t="s">
        <v>61</v>
      </c>
      <c r="E1565" s="2" t="s">
        <v>110</v>
      </c>
      <c r="F1565" s="2">
        <v>6000</v>
      </c>
      <c r="G1565" s="2">
        <v>2</v>
      </c>
      <c r="H1565" s="2">
        <v>0</v>
      </c>
      <c r="I1565">
        <f t="shared" si="120"/>
        <v>12000</v>
      </c>
      <c r="J1565">
        <f t="shared" si="121"/>
        <v>0</v>
      </c>
      <c r="K1565" s="6">
        <f t="shared" si="122"/>
        <v>12000</v>
      </c>
      <c r="L1565" s="2">
        <v>26000</v>
      </c>
      <c r="M1565" s="6">
        <f>Table1[[#This Row],[Total Sales]]+Table1[[#This Row],[Shipping Fee]]</f>
        <v>38000</v>
      </c>
      <c r="N1565" s="2" t="s">
        <v>29</v>
      </c>
      <c r="O1565" t="str">
        <f>VLOOKUP(Table1[[#This Row],[Order ID]],Status!A:B, 2,FALSE)</f>
        <v>Completed</v>
      </c>
      <c r="P1565" s="2" t="s">
        <v>46</v>
      </c>
      <c r="Q1565" s="2">
        <v>1</v>
      </c>
      <c r="R1565" s="2" t="s">
        <v>24</v>
      </c>
      <c r="S1565" s="11" t="str">
        <f t="shared" si="123"/>
        <v>Rendah</v>
      </c>
      <c r="T1565" s="2" t="str">
        <f t="shared" si="124"/>
        <v>Sangat Rendah</v>
      </c>
    </row>
    <row r="1566" spans="1:20" ht="15.75" customHeight="1" x14ac:dyDescent="0.3">
      <c r="A1566" s="4" t="s">
        <v>750</v>
      </c>
      <c r="B1566" s="3">
        <v>45631.069363425922</v>
      </c>
      <c r="C1566" s="2" t="s">
        <v>751</v>
      </c>
      <c r="D1566" s="2" t="s">
        <v>80</v>
      </c>
      <c r="E1566" s="2" t="s">
        <v>123</v>
      </c>
      <c r="F1566" s="2">
        <v>22000</v>
      </c>
      <c r="G1566" s="2">
        <v>5</v>
      </c>
      <c r="H1566" s="2">
        <v>20</v>
      </c>
      <c r="I1566">
        <f t="shared" si="120"/>
        <v>110000</v>
      </c>
      <c r="J1566">
        <f t="shared" si="121"/>
        <v>22000</v>
      </c>
      <c r="K1566" s="6">
        <f t="shared" si="122"/>
        <v>88000</v>
      </c>
      <c r="L1566" s="2">
        <v>74000</v>
      </c>
      <c r="M1566" s="6">
        <f>Table1[[#This Row],[Total Sales]]+Table1[[#This Row],[Shipping Fee]]</f>
        <v>162000</v>
      </c>
      <c r="N1566" s="2" t="s">
        <v>63</v>
      </c>
      <c r="O1566" t="str">
        <f>VLOOKUP(Table1[[#This Row],[Order ID]],Status!A:B, 2,FALSE)</f>
        <v>Completed</v>
      </c>
      <c r="P1566" s="2" t="s">
        <v>82</v>
      </c>
      <c r="Q1566" s="2">
        <v>4</v>
      </c>
      <c r="R1566" s="2" t="s">
        <v>24</v>
      </c>
      <c r="S1566" s="11" t="str">
        <f t="shared" si="123"/>
        <v>Bagus</v>
      </c>
      <c r="T1566" s="2" t="str">
        <f t="shared" si="124"/>
        <v>Tinggi</v>
      </c>
    </row>
    <row r="1567" spans="1:20" ht="15.75" customHeight="1" x14ac:dyDescent="0.3">
      <c r="A1567" s="4" t="s">
        <v>749</v>
      </c>
      <c r="B1567" s="3">
        <v>45630.617152777777</v>
      </c>
      <c r="C1567" s="2" t="s">
        <v>133</v>
      </c>
      <c r="D1567" s="2" t="s">
        <v>33</v>
      </c>
      <c r="E1567" s="2" t="s">
        <v>186</v>
      </c>
      <c r="F1567" s="2">
        <v>45000</v>
      </c>
      <c r="G1567" s="2">
        <v>2</v>
      </c>
      <c r="H1567" s="2">
        <v>15</v>
      </c>
      <c r="I1567">
        <f t="shared" si="120"/>
        <v>90000</v>
      </c>
      <c r="J1567">
        <f t="shared" si="121"/>
        <v>13500</v>
      </c>
      <c r="K1567" s="6">
        <f t="shared" si="122"/>
        <v>76500</v>
      </c>
      <c r="L1567" s="2">
        <v>76000</v>
      </c>
      <c r="M1567" s="6">
        <f>Table1[[#This Row],[Total Sales]]+Table1[[#This Row],[Shipping Fee]]</f>
        <v>152500</v>
      </c>
      <c r="N1567" s="2" t="s">
        <v>63</v>
      </c>
      <c r="O1567" t="str">
        <f>VLOOKUP(Table1[[#This Row],[Order ID]],Status!A:B, 2,FALSE)</f>
        <v>Returned</v>
      </c>
      <c r="P1567" s="2" t="s">
        <v>36</v>
      </c>
      <c r="Q1567" s="2">
        <v>4</v>
      </c>
      <c r="R1567" s="2" t="s">
        <v>24</v>
      </c>
      <c r="S1567" s="11" t="str">
        <f t="shared" si="123"/>
        <v>Bagus</v>
      </c>
      <c r="T1567" s="2" t="str">
        <f t="shared" si="124"/>
        <v>Normal</v>
      </c>
    </row>
    <row r="1568" spans="1:20" ht="15.75" customHeight="1" x14ac:dyDescent="0.3">
      <c r="A1568" s="4" t="s">
        <v>747</v>
      </c>
      <c r="B1568" s="3">
        <v>45629.953587962962</v>
      </c>
      <c r="C1568" s="2" t="s">
        <v>748</v>
      </c>
      <c r="D1568" s="2" t="s">
        <v>160</v>
      </c>
      <c r="E1568" s="2" t="s">
        <v>50</v>
      </c>
      <c r="F1568" s="2">
        <v>14000</v>
      </c>
      <c r="G1568" s="2">
        <v>4</v>
      </c>
      <c r="H1568" s="2">
        <v>0</v>
      </c>
      <c r="I1568">
        <f t="shared" si="120"/>
        <v>56000</v>
      </c>
      <c r="J1568">
        <f t="shared" si="121"/>
        <v>0</v>
      </c>
      <c r="K1568" s="6">
        <f t="shared" si="122"/>
        <v>56000</v>
      </c>
      <c r="L1568" s="2">
        <v>68000</v>
      </c>
      <c r="M1568" s="6">
        <f>Table1[[#This Row],[Total Sales]]+Table1[[#This Row],[Shipping Fee]]</f>
        <v>124000</v>
      </c>
      <c r="N1568" s="2" t="s">
        <v>63</v>
      </c>
      <c r="O1568" t="str">
        <f>VLOOKUP(Table1[[#This Row],[Order ID]],Status!A:B, 2,FALSE)</f>
        <v>Completed</v>
      </c>
      <c r="P1568" s="2" t="s">
        <v>82</v>
      </c>
      <c r="Q1568" s="2">
        <v>1</v>
      </c>
      <c r="R1568" s="2" t="s">
        <v>24</v>
      </c>
      <c r="S1568" s="11" t="str">
        <f t="shared" si="123"/>
        <v>Rendah</v>
      </c>
      <c r="T1568" s="2" t="str">
        <f t="shared" si="124"/>
        <v>Sangat Rendah</v>
      </c>
    </row>
    <row r="1569" spans="1:20" ht="15.75" customHeight="1" x14ac:dyDescent="0.3">
      <c r="A1569" s="4" t="s">
        <v>746</v>
      </c>
      <c r="B1569" s="3">
        <v>45629.528148148151</v>
      </c>
      <c r="C1569" s="2" t="s">
        <v>56</v>
      </c>
      <c r="D1569" s="2" t="s">
        <v>57</v>
      </c>
      <c r="E1569" s="2" t="s">
        <v>50</v>
      </c>
      <c r="F1569" s="2">
        <v>14000</v>
      </c>
      <c r="G1569" s="2">
        <v>1</v>
      </c>
      <c r="H1569" s="2">
        <v>5</v>
      </c>
      <c r="I1569">
        <f t="shared" si="120"/>
        <v>14000</v>
      </c>
      <c r="J1569">
        <f t="shared" si="121"/>
        <v>700</v>
      </c>
      <c r="K1569" s="6">
        <f t="shared" si="122"/>
        <v>13300</v>
      </c>
      <c r="L1569" s="2">
        <v>80000</v>
      </c>
      <c r="M1569" s="6">
        <f>Table1[[#This Row],[Total Sales]]+Table1[[#This Row],[Shipping Fee]]</f>
        <v>93300</v>
      </c>
      <c r="N1569" s="2" t="s">
        <v>63</v>
      </c>
      <c r="O1569" t="str">
        <f>VLOOKUP(Table1[[#This Row],[Order ID]],Status!A:B, 2,FALSE)</f>
        <v>Completed</v>
      </c>
      <c r="P1569" s="2" t="s">
        <v>82</v>
      </c>
      <c r="Q1569" s="2">
        <v>4</v>
      </c>
      <c r="R1569" s="2" t="s">
        <v>24</v>
      </c>
      <c r="S1569" s="11" t="str">
        <f t="shared" si="123"/>
        <v>Bagus</v>
      </c>
      <c r="T1569" s="2" t="str">
        <f t="shared" si="124"/>
        <v>Sangat Rendah</v>
      </c>
    </row>
    <row r="1570" spans="1:20" ht="15.75" customHeight="1" x14ac:dyDescent="0.3">
      <c r="A1570" s="4" t="s">
        <v>745</v>
      </c>
      <c r="B1570" s="3">
        <v>45629.426365740743</v>
      </c>
      <c r="C1570" s="2" t="s">
        <v>549</v>
      </c>
      <c r="D1570" s="2" t="s">
        <v>107</v>
      </c>
      <c r="E1570" s="2" t="s">
        <v>71</v>
      </c>
      <c r="F1570" s="2">
        <v>40000</v>
      </c>
      <c r="G1570" s="2">
        <v>3</v>
      </c>
      <c r="H1570" s="2">
        <v>0</v>
      </c>
      <c r="I1570">
        <f t="shared" si="120"/>
        <v>120000</v>
      </c>
      <c r="J1570">
        <f t="shared" si="121"/>
        <v>0</v>
      </c>
      <c r="K1570" s="6">
        <f t="shared" si="122"/>
        <v>120000</v>
      </c>
      <c r="L1570" s="2">
        <v>97000</v>
      </c>
      <c r="M1570" s="6">
        <f>Table1[[#This Row],[Total Sales]]+Table1[[#This Row],[Shipping Fee]]</f>
        <v>217000</v>
      </c>
      <c r="N1570" s="2" t="s">
        <v>22</v>
      </c>
      <c r="O1570" t="str">
        <f>VLOOKUP(Table1[[#This Row],[Order ID]],Status!A:B, 2,FALSE)</f>
        <v>Completed</v>
      </c>
      <c r="P1570" s="2" t="s">
        <v>82</v>
      </c>
      <c r="Q1570" s="2">
        <v>5</v>
      </c>
      <c r="R1570" s="2" t="s">
        <v>24</v>
      </c>
      <c r="S1570" s="11" t="str">
        <f t="shared" si="123"/>
        <v>Bagus</v>
      </c>
      <c r="T1570" s="2" t="str">
        <f t="shared" si="124"/>
        <v>Sangat Rendah</v>
      </c>
    </row>
    <row r="1571" spans="1:20" ht="15.75" customHeight="1" x14ac:dyDescent="0.3">
      <c r="A1571" s="4" t="s">
        <v>743</v>
      </c>
      <c r="B1571" s="3">
        <v>45629.390451388892</v>
      </c>
      <c r="C1571" s="2" t="s">
        <v>744</v>
      </c>
      <c r="D1571" s="2" t="s">
        <v>375</v>
      </c>
      <c r="E1571" s="2" t="s">
        <v>85</v>
      </c>
      <c r="F1571" s="2">
        <v>35000</v>
      </c>
      <c r="G1571" s="2">
        <v>2</v>
      </c>
      <c r="H1571" s="2">
        <v>0</v>
      </c>
      <c r="I1571">
        <f t="shared" si="120"/>
        <v>70000</v>
      </c>
      <c r="J1571">
        <f t="shared" si="121"/>
        <v>0</v>
      </c>
      <c r="K1571" s="6">
        <f t="shared" si="122"/>
        <v>70000</v>
      </c>
      <c r="L1571" s="2">
        <v>21000</v>
      </c>
      <c r="M1571" s="6">
        <f>Table1[[#This Row],[Total Sales]]+Table1[[#This Row],[Shipping Fee]]</f>
        <v>91000</v>
      </c>
      <c r="N1571" s="2" t="s">
        <v>35</v>
      </c>
      <c r="O1571" t="str">
        <f>VLOOKUP(Table1[[#This Row],[Order ID]],Status!A:B, 2,FALSE)</f>
        <v>Completed</v>
      </c>
      <c r="P1571" s="2" t="s">
        <v>30</v>
      </c>
      <c r="Q1571" s="2">
        <v>1</v>
      </c>
      <c r="R1571" s="2" t="s">
        <v>24</v>
      </c>
      <c r="S1571" s="11" t="str">
        <f t="shared" si="123"/>
        <v>Rendah</v>
      </c>
      <c r="T1571" s="2" t="str">
        <f t="shared" si="124"/>
        <v>Sangat Rendah</v>
      </c>
    </row>
    <row r="1572" spans="1:20" ht="15.75" customHeight="1" x14ac:dyDescent="0.3">
      <c r="A1572" s="4" t="s">
        <v>742</v>
      </c>
      <c r="B1572" s="3">
        <v>45629.321921296287</v>
      </c>
      <c r="C1572" s="2" t="s">
        <v>323</v>
      </c>
      <c r="D1572" s="2" t="s">
        <v>103</v>
      </c>
      <c r="E1572" s="2" t="s">
        <v>123</v>
      </c>
      <c r="F1572" s="2">
        <v>22000</v>
      </c>
      <c r="G1572" s="2">
        <v>2</v>
      </c>
      <c r="H1572" s="2">
        <v>0</v>
      </c>
      <c r="I1572">
        <f t="shared" si="120"/>
        <v>44000</v>
      </c>
      <c r="J1572">
        <f t="shared" si="121"/>
        <v>0</v>
      </c>
      <c r="K1572" s="6">
        <f t="shared" si="122"/>
        <v>44000</v>
      </c>
      <c r="L1572" s="2">
        <v>85000</v>
      </c>
      <c r="M1572" s="6">
        <f>Table1[[#This Row],[Total Sales]]+Table1[[#This Row],[Shipping Fee]]</f>
        <v>129000</v>
      </c>
      <c r="N1572" s="2" t="s">
        <v>29</v>
      </c>
      <c r="O1572" t="str">
        <f>VLOOKUP(Table1[[#This Row],[Order ID]],Status!A:B, 2,FALSE)</f>
        <v>Completed</v>
      </c>
      <c r="P1572" s="2" t="s">
        <v>23</v>
      </c>
      <c r="Q1572" s="2">
        <v>4</v>
      </c>
      <c r="R1572" s="2" t="s">
        <v>24</v>
      </c>
      <c r="S1572" s="11" t="str">
        <f t="shared" si="123"/>
        <v>Bagus</v>
      </c>
      <c r="T1572" s="2" t="str">
        <f t="shared" si="124"/>
        <v>Sangat Rendah</v>
      </c>
    </row>
    <row r="1573" spans="1:20" ht="15.75" customHeight="1" x14ac:dyDescent="0.3">
      <c r="A1573" s="4" t="s">
        <v>742</v>
      </c>
      <c r="B1573" s="3">
        <v>45629.321921296287</v>
      </c>
      <c r="C1573" s="2" t="s">
        <v>323</v>
      </c>
      <c r="D1573" s="2" t="s">
        <v>103</v>
      </c>
      <c r="E1573" s="2" t="s">
        <v>136</v>
      </c>
      <c r="F1573" s="2">
        <v>12000</v>
      </c>
      <c r="G1573" s="2">
        <v>3</v>
      </c>
      <c r="H1573" s="2">
        <v>20</v>
      </c>
      <c r="I1573">
        <f t="shared" si="120"/>
        <v>36000</v>
      </c>
      <c r="J1573">
        <f t="shared" si="121"/>
        <v>7200</v>
      </c>
      <c r="K1573" s="6">
        <f t="shared" si="122"/>
        <v>28800</v>
      </c>
      <c r="L1573" s="2">
        <v>0</v>
      </c>
      <c r="M1573" s="6">
        <f>Table1[[#This Row],[Total Sales]]+Table1[[#This Row],[Shipping Fee]]</f>
        <v>28800</v>
      </c>
      <c r="N1573" s="2" t="s">
        <v>29</v>
      </c>
      <c r="O1573" t="str">
        <f>VLOOKUP(Table1[[#This Row],[Order ID]],Status!A:B, 2,FALSE)</f>
        <v>Completed</v>
      </c>
      <c r="P1573" s="2" t="s">
        <v>23</v>
      </c>
      <c r="Q1573" s="2">
        <v>4</v>
      </c>
      <c r="R1573" s="2" t="s">
        <v>24</v>
      </c>
      <c r="S1573" s="11" t="str">
        <f t="shared" si="123"/>
        <v>Bagus</v>
      </c>
      <c r="T1573" s="2" t="str">
        <f t="shared" si="124"/>
        <v>Rendah</v>
      </c>
    </row>
    <row r="1574" spans="1:20" ht="15.75" customHeight="1" x14ac:dyDescent="0.3">
      <c r="A1574" s="4" t="s">
        <v>740</v>
      </c>
      <c r="B1574" s="3">
        <v>45629.167129629634</v>
      </c>
      <c r="C1574" s="2" t="s">
        <v>741</v>
      </c>
      <c r="D1574" s="2" t="s">
        <v>189</v>
      </c>
      <c r="E1574" s="2" t="s">
        <v>71</v>
      </c>
      <c r="F1574" s="2">
        <v>40000</v>
      </c>
      <c r="G1574" s="2">
        <v>5</v>
      </c>
      <c r="H1574" s="2">
        <v>15</v>
      </c>
      <c r="I1574">
        <f t="shared" si="120"/>
        <v>200000</v>
      </c>
      <c r="J1574">
        <f t="shared" si="121"/>
        <v>30000</v>
      </c>
      <c r="K1574" s="6">
        <f t="shared" si="122"/>
        <v>170000</v>
      </c>
      <c r="L1574" s="2">
        <v>57000</v>
      </c>
      <c r="M1574" s="6">
        <f>Table1[[#This Row],[Total Sales]]+Table1[[#This Row],[Shipping Fee]]</f>
        <v>227000</v>
      </c>
      <c r="N1574" s="2" t="s">
        <v>22</v>
      </c>
      <c r="O1574" t="str">
        <f>VLOOKUP(Table1[[#This Row],[Order ID]],Status!A:B, 2,FALSE)</f>
        <v>Returned</v>
      </c>
      <c r="P1574" s="2" t="s">
        <v>36</v>
      </c>
      <c r="Q1574" s="2">
        <v>4</v>
      </c>
      <c r="R1574" s="2" t="s">
        <v>24</v>
      </c>
      <c r="S1574" s="11" t="str">
        <f t="shared" si="123"/>
        <v>Bagus</v>
      </c>
      <c r="T1574" s="2" t="str">
        <f t="shared" si="124"/>
        <v>Tinggi</v>
      </c>
    </row>
    <row r="1575" spans="1:20" ht="15.75" customHeight="1" x14ac:dyDescent="0.3">
      <c r="A1575" s="4" t="s">
        <v>738</v>
      </c>
      <c r="B1575" s="3">
        <v>45629.14199074074</v>
      </c>
      <c r="C1575" s="2" t="s">
        <v>739</v>
      </c>
      <c r="D1575" s="2" t="s">
        <v>177</v>
      </c>
      <c r="E1575" s="2" t="s">
        <v>34</v>
      </c>
      <c r="F1575" s="2">
        <v>16000</v>
      </c>
      <c r="G1575" s="2">
        <v>1</v>
      </c>
      <c r="H1575" s="2">
        <v>0</v>
      </c>
      <c r="I1575">
        <f t="shared" si="120"/>
        <v>16000</v>
      </c>
      <c r="J1575">
        <f t="shared" si="121"/>
        <v>0</v>
      </c>
      <c r="K1575" s="6">
        <f t="shared" si="122"/>
        <v>16000</v>
      </c>
      <c r="L1575" s="2">
        <v>56000</v>
      </c>
      <c r="M1575" s="6">
        <f>Table1[[#This Row],[Total Sales]]+Table1[[#This Row],[Shipping Fee]]</f>
        <v>72000</v>
      </c>
      <c r="N1575" s="2" t="s">
        <v>29</v>
      </c>
      <c r="O1575" t="str">
        <f>VLOOKUP(Table1[[#This Row],[Order ID]],Status!A:B, 2,FALSE)</f>
        <v>Returned</v>
      </c>
      <c r="P1575" s="2" t="s">
        <v>30</v>
      </c>
      <c r="Q1575" s="2">
        <v>5</v>
      </c>
      <c r="R1575" s="2" t="s">
        <v>24</v>
      </c>
      <c r="S1575" s="11" t="str">
        <f t="shared" si="123"/>
        <v>Bagus</v>
      </c>
      <c r="T1575" s="2" t="str">
        <f t="shared" si="124"/>
        <v>Sangat Rendah</v>
      </c>
    </row>
    <row r="1576" spans="1:20" ht="15.75" customHeight="1" x14ac:dyDescent="0.3">
      <c r="A1576" s="4" t="s">
        <v>737</v>
      </c>
      <c r="B1576" s="3">
        <v>45628.596377314818</v>
      </c>
      <c r="C1576" s="2" t="s">
        <v>570</v>
      </c>
      <c r="D1576" s="2" t="s">
        <v>80</v>
      </c>
      <c r="E1576" s="2" t="s">
        <v>54</v>
      </c>
      <c r="F1576" s="2">
        <v>16000</v>
      </c>
      <c r="G1576" s="2">
        <v>3</v>
      </c>
      <c r="H1576" s="2">
        <v>20</v>
      </c>
      <c r="I1576">
        <f t="shared" si="120"/>
        <v>48000</v>
      </c>
      <c r="J1576">
        <f t="shared" si="121"/>
        <v>9600</v>
      </c>
      <c r="K1576" s="6">
        <f t="shared" si="122"/>
        <v>38400</v>
      </c>
      <c r="L1576" s="2">
        <v>74000</v>
      </c>
      <c r="M1576" s="6">
        <f>Table1[[#This Row],[Total Sales]]+Table1[[#This Row],[Shipping Fee]]</f>
        <v>112400</v>
      </c>
      <c r="N1576" s="2" t="s">
        <v>35</v>
      </c>
      <c r="O1576" t="str">
        <f>VLOOKUP(Table1[[#This Row],[Order ID]],Status!A:B, 2,FALSE)</f>
        <v>Cancelled</v>
      </c>
      <c r="P1576" s="2" t="s">
        <v>36</v>
      </c>
      <c r="Q1576" s="2">
        <v>5</v>
      </c>
      <c r="R1576" s="2" t="s">
        <v>24</v>
      </c>
      <c r="S1576" s="11" t="str">
        <f t="shared" si="123"/>
        <v>Bagus</v>
      </c>
      <c r="T1576" s="2" t="str">
        <f t="shared" si="124"/>
        <v>Rendah</v>
      </c>
    </row>
    <row r="1577" spans="1:20" ht="15.75" customHeight="1" x14ac:dyDescent="0.3">
      <c r="A1577" s="4" t="s">
        <v>736</v>
      </c>
      <c r="B1577" s="3">
        <v>45628.564050925917</v>
      </c>
      <c r="C1577" s="2" t="s">
        <v>254</v>
      </c>
      <c r="D1577" s="2" t="s">
        <v>61</v>
      </c>
      <c r="E1577" s="2" t="s">
        <v>50</v>
      </c>
      <c r="F1577" s="2">
        <v>14000</v>
      </c>
      <c r="G1577" s="2">
        <v>5</v>
      </c>
      <c r="H1577" s="2">
        <v>0</v>
      </c>
      <c r="I1577">
        <f t="shared" si="120"/>
        <v>70000</v>
      </c>
      <c r="J1577">
        <f t="shared" si="121"/>
        <v>0</v>
      </c>
      <c r="K1577" s="6">
        <f t="shared" si="122"/>
        <v>70000</v>
      </c>
      <c r="L1577" s="2">
        <v>26000</v>
      </c>
      <c r="M1577" s="6">
        <f>Table1[[#This Row],[Total Sales]]+Table1[[#This Row],[Shipping Fee]]</f>
        <v>96000</v>
      </c>
      <c r="N1577" s="2" t="s">
        <v>63</v>
      </c>
      <c r="O1577" t="str">
        <f>VLOOKUP(Table1[[#This Row],[Order ID]],Status!A:B, 2,FALSE)</f>
        <v>Completed</v>
      </c>
      <c r="P1577" s="2" t="s">
        <v>46</v>
      </c>
      <c r="Q1577" s="2">
        <v>5</v>
      </c>
      <c r="R1577" s="2" t="s">
        <v>24</v>
      </c>
      <c r="S1577" s="11" t="str">
        <f t="shared" si="123"/>
        <v>Bagus</v>
      </c>
      <c r="T1577" s="2" t="str">
        <f t="shared" si="124"/>
        <v>Sangat Rendah</v>
      </c>
    </row>
    <row r="1578" spans="1:20" ht="15.75" customHeight="1" x14ac:dyDescent="0.3">
      <c r="A1578" s="4" t="s">
        <v>735</v>
      </c>
      <c r="B1578" s="3">
        <v>45628.526504629634</v>
      </c>
      <c r="C1578" s="2" t="s">
        <v>229</v>
      </c>
      <c r="D1578" s="2" t="s">
        <v>195</v>
      </c>
      <c r="E1578" s="2" t="s">
        <v>186</v>
      </c>
      <c r="F1578" s="2">
        <v>45000</v>
      </c>
      <c r="G1578" s="2">
        <v>2</v>
      </c>
      <c r="H1578" s="2">
        <v>10</v>
      </c>
      <c r="I1578">
        <f t="shared" si="120"/>
        <v>90000</v>
      </c>
      <c r="J1578">
        <f t="shared" si="121"/>
        <v>9000</v>
      </c>
      <c r="K1578" s="6">
        <f t="shared" si="122"/>
        <v>81000</v>
      </c>
      <c r="L1578" s="2">
        <v>87000</v>
      </c>
      <c r="M1578" s="6">
        <f>Table1[[#This Row],[Total Sales]]+Table1[[#This Row],[Shipping Fee]]</f>
        <v>168000</v>
      </c>
      <c r="N1578" s="2" t="s">
        <v>29</v>
      </c>
      <c r="O1578" t="str">
        <f>VLOOKUP(Table1[[#This Row],[Order ID]],Status!A:B, 2,FALSE)</f>
        <v>Completed</v>
      </c>
      <c r="P1578" s="2" t="s">
        <v>36</v>
      </c>
      <c r="Q1578" s="2">
        <v>5</v>
      </c>
      <c r="R1578" s="2" t="s">
        <v>24</v>
      </c>
      <c r="S1578" s="11" t="str">
        <f t="shared" si="123"/>
        <v>Bagus</v>
      </c>
      <c r="T1578" s="2" t="str">
        <f t="shared" si="124"/>
        <v>Rendah</v>
      </c>
    </row>
    <row r="1579" spans="1:20" ht="15.75" customHeight="1" x14ac:dyDescent="0.3">
      <c r="A1579" s="4" t="s">
        <v>734</v>
      </c>
      <c r="B1579" s="3">
        <v>45628.478425925918</v>
      </c>
      <c r="C1579" s="2" t="s">
        <v>644</v>
      </c>
      <c r="D1579" s="2" t="s">
        <v>244</v>
      </c>
      <c r="E1579" s="2" t="s">
        <v>93</v>
      </c>
      <c r="F1579" s="2">
        <v>25000</v>
      </c>
      <c r="G1579" s="2">
        <v>1</v>
      </c>
      <c r="H1579" s="2">
        <v>10</v>
      </c>
      <c r="I1579">
        <f t="shared" si="120"/>
        <v>25000</v>
      </c>
      <c r="J1579">
        <f t="shared" si="121"/>
        <v>2500</v>
      </c>
      <c r="K1579" s="6">
        <f t="shared" si="122"/>
        <v>22500</v>
      </c>
      <c r="L1579" s="2">
        <v>80000</v>
      </c>
      <c r="M1579" s="6">
        <f>Table1[[#This Row],[Total Sales]]+Table1[[#This Row],[Shipping Fee]]</f>
        <v>102500</v>
      </c>
      <c r="N1579" s="2" t="s">
        <v>35</v>
      </c>
      <c r="O1579" t="str">
        <f>VLOOKUP(Table1[[#This Row],[Order ID]],Status!A:B, 2,FALSE)</f>
        <v>Cancelled</v>
      </c>
      <c r="P1579" s="2" t="s">
        <v>46</v>
      </c>
      <c r="Q1579" s="2">
        <v>4</v>
      </c>
      <c r="R1579" s="2" t="s">
        <v>24</v>
      </c>
      <c r="S1579" s="11" t="str">
        <f t="shared" si="123"/>
        <v>Bagus</v>
      </c>
      <c r="T1579" s="2" t="str">
        <f t="shared" si="124"/>
        <v>Sangat Rendah</v>
      </c>
    </row>
    <row r="1580" spans="1:20" ht="15.75" customHeight="1" x14ac:dyDescent="0.3">
      <c r="A1580" s="4" t="s">
        <v>733</v>
      </c>
      <c r="B1580" s="3">
        <v>45628.472118055557</v>
      </c>
      <c r="C1580" s="2" t="s">
        <v>77</v>
      </c>
      <c r="D1580" s="2" t="s">
        <v>61</v>
      </c>
      <c r="E1580" s="2" t="s">
        <v>28</v>
      </c>
      <c r="F1580" s="2">
        <v>5000</v>
      </c>
      <c r="G1580" s="2">
        <v>1</v>
      </c>
      <c r="H1580" s="2">
        <v>0</v>
      </c>
      <c r="I1580">
        <f t="shared" si="120"/>
        <v>5000</v>
      </c>
      <c r="J1580">
        <f t="shared" si="121"/>
        <v>0</v>
      </c>
      <c r="K1580" s="6">
        <f t="shared" si="122"/>
        <v>5000</v>
      </c>
      <c r="L1580" s="2">
        <v>26000</v>
      </c>
      <c r="M1580" s="6">
        <f>Table1[[#This Row],[Total Sales]]+Table1[[#This Row],[Shipping Fee]]</f>
        <v>31000</v>
      </c>
      <c r="N1580" s="2" t="s">
        <v>35</v>
      </c>
      <c r="O1580" t="str">
        <f>VLOOKUP(Table1[[#This Row],[Order ID]],Status!A:B, 2,FALSE)</f>
        <v>Completed</v>
      </c>
      <c r="P1580" s="2" t="s">
        <v>36</v>
      </c>
      <c r="Q1580" s="2">
        <v>4</v>
      </c>
      <c r="R1580" s="2" t="s">
        <v>24</v>
      </c>
      <c r="S1580" s="11" t="str">
        <f t="shared" si="123"/>
        <v>Bagus</v>
      </c>
      <c r="T1580" s="2" t="str">
        <f t="shared" si="124"/>
        <v>Sangat Rendah</v>
      </c>
    </row>
    <row r="1581" spans="1:20" ht="15.75" customHeight="1" x14ac:dyDescent="0.3">
      <c r="A1581" s="4" t="s">
        <v>731</v>
      </c>
      <c r="B1581" s="3">
        <v>45628.253842592603</v>
      </c>
      <c r="C1581" s="2" t="s">
        <v>732</v>
      </c>
      <c r="D1581" s="2" t="s">
        <v>170</v>
      </c>
      <c r="E1581" s="2" t="s">
        <v>54</v>
      </c>
      <c r="F1581" s="2">
        <v>16000</v>
      </c>
      <c r="G1581" s="2">
        <v>4</v>
      </c>
      <c r="H1581" s="2">
        <v>5</v>
      </c>
      <c r="I1581">
        <f t="shared" si="120"/>
        <v>64000</v>
      </c>
      <c r="J1581">
        <f t="shared" si="121"/>
        <v>3200</v>
      </c>
      <c r="K1581" s="6">
        <f t="shared" si="122"/>
        <v>60800</v>
      </c>
      <c r="L1581" s="2">
        <v>46000</v>
      </c>
      <c r="M1581" s="6">
        <f>Table1[[#This Row],[Total Sales]]+Table1[[#This Row],[Shipping Fee]]</f>
        <v>106800</v>
      </c>
      <c r="N1581" s="2" t="s">
        <v>35</v>
      </c>
      <c r="O1581" t="str">
        <f>VLOOKUP(Table1[[#This Row],[Order ID]],Status!A:B, 2,FALSE)</f>
        <v>Completed</v>
      </c>
      <c r="P1581" s="2" t="s">
        <v>82</v>
      </c>
      <c r="Q1581" s="2">
        <v>1</v>
      </c>
      <c r="R1581" s="2" t="s">
        <v>24</v>
      </c>
      <c r="S1581" s="11" t="str">
        <f t="shared" si="123"/>
        <v>Rendah</v>
      </c>
      <c r="T1581" s="2" t="str">
        <f t="shared" si="124"/>
        <v>Sangat Rendah</v>
      </c>
    </row>
    <row r="1582" spans="1:20" ht="15.75" customHeight="1" x14ac:dyDescent="0.3">
      <c r="A1582" s="4" t="s">
        <v>730</v>
      </c>
      <c r="B1582" s="3">
        <v>45628.098298611112</v>
      </c>
      <c r="C1582" s="2" t="s">
        <v>455</v>
      </c>
      <c r="D1582" s="2" t="s">
        <v>33</v>
      </c>
      <c r="E1582" s="2" t="s">
        <v>174</v>
      </c>
      <c r="F1582" s="2">
        <v>10000</v>
      </c>
      <c r="G1582" s="2">
        <v>5</v>
      </c>
      <c r="H1582" s="2">
        <v>0</v>
      </c>
      <c r="I1582">
        <f t="shared" si="120"/>
        <v>50000</v>
      </c>
      <c r="J1582">
        <f t="shared" si="121"/>
        <v>0</v>
      </c>
      <c r="K1582" s="6">
        <f t="shared" si="122"/>
        <v>50000</v>
      </c>
      <c r="L1582" s="2">
        <v>76000</v>
      </c>
      <c r="M1582" s="6">
        <f>Table1[[#This Row],[Total Sales]]+Table1[[#This Row],[Shipping Fee]]</f>
        <v>126000</v>
      </c>
      <c r="N1582" s="2" t="s">
        <v>35</v>
      </c>
      <c r="O1582" t="str">
        <f>VLOOKUP(Table1[[#This Row],[Order ID]],Status!A:B, 2,FALSE)</f>
        <v>Completed</v>
      </c>
      <c r="P1582" s="2" t="s">
        <v>46</v>
      </c>
      <c r="Q1582" s="2">
        <v>1</v>
      </c>
      <c r="R1582" s="2" t="s">
        <v>24</v>
      </c>
      <c r="S1582" s="11" t="str">
        <f t="shared" si="123"/>
        <v>Rendah</v>
      </c>
      <c r="T1582" s="2" t="str">
        <f t="shared" si="124"/>
        <v>Sangat Rendah</v>
      </c>
    </row>
    <row r="1583" spans="1:20" ht="15.75" customHeight="1" x14ac:dyDescent="0.3">
      <c r="A1583" s="4" t="s">
        <v>728</v>
      </c>
      <c r="B1583" s="3">
        <v>45628.068935185183</v>
      </c>
      <c r="C1583" s="2" t="s">
        <v>729</v>
      </c>
      <c r="D1583" s="2" t="s">
        <v>74</v>
      </c>
      <c r="E1583" s="2" t="s">
        <v>58</v>
      </c>
      <c r="F1583" s="2">
        <v>16000</v>
      </c>
      <c r="G1583" s="2">
        <v>3</v>
      </c>
      <c r="H1583" s="2">
        <v>10</v>
      </c>
      <c r="I1583">
        <f t="shared" si="120"/>
        <v>48000</v>
      </c>
      <c r="J1583">
        <f t="shared" si="121"/>
        <v>4800</v>
      </c>
      <c r="K1583" s="6">
        <f t="shared" si="122"/>
        <v>43200</v>
      </c>
      <c r="L1583" s="2">
        <v>87000</v>
      </c>
      <c r="M1583" s="6">
        <f>Table1[[#This Row],[Total Sales]]+Table1[[#This Row],[Shipping Fee]]</f>
        <v>130200</v>
      </c>
      <c r="N1583" s="2" t="s">
        <v>63</v>
      </c>
      <c r="O1583" t="str">
        <f>VLOOKUP(Table1[[#This Row],[Order ID]],Status!A:B, 2,FALSE)</f>
        <v>Completed</v>
      </c>
      <c r="P1583" s="2" t="s">
        <v>30</v>
      </c>
      <c r="Q1583" s="2">
        <v>5</v>
      </c>
      <c r="R1583" s="2" t="s">
        <v>24</v>
      </c>
      <c r="S1583" s="11" t="str">
        <f t="shared" si="123"/>
        <v>Bagus</v>
      </c>
      <c r="T1583" s="2" t="str">
        <f t="shared" si="124"/>
        <v>Sangat Rendah</v>
      </c>
    </row>
    <row r="1584" spans="1:20" ht="15.75" customHeight="1" x14ac:dyDescent="0.3">
      <c r="A1584" s="4" t="s">
        <v>727</v>
      </c>
      <c r="B1584" s="3">
        <v>45627.976539351846</v>
      </c>
      <c r="C1584" s="2" t="s">
        <v>410</v>
      </c>
      <c r="D1584" s="2" t="s">
        <v>151</v>
      </c>
      <c r="E1584" s="2" t="s">
        <v>38</v>
      </c>
      <c r="F1584" s="2">
        <v>28000</v>
      </c>
      <c r="G1584" s="2">
        <v>3</v>
      </c>
      <c r="H1584" s="2">
        <v>10</v>
      </c>
      <c r="I1584">
        <f t="shared" si="120"/>
        <v>84000</v>
      </c>
      <c r="J1584">
        <f t="shared" si="121"/>
        <v>8400</v>
      </c>
      <c r="K1584" s="6">
        <f t="shared" si="122"/>
        <v>75600</v>
      </c>
      <c r="L1584" s="2">
        <v>55000</v>
      </c>
      <c r="M1584" s="6">
        <f>Table1[[#This Row],[Total Sales]]+Table1[[#This Row],[Shipping Fee]]</f>
        <v>130600</v>
      </c>
      <c r="N1584" s="2" t="s">
        <v>22</v>
      </c>
      <c r="O1584" t="str">
        <f>VLOOKUP(Table1[[#This Row],[Order ID]],Status!A:B, 2,FALSE)</f>
        <v>Completed</v>
      </c>
      <c r="P1584" s="2" t="s">
        <v>82</v>
      </c>
      <c r="Q1584" s="2">
        <v>5</v>
      </c>
      <c r="R1584" s="2" t="s">
        <v>24</v>
      </c>
      <c r="S1584" s="11" t="str">
        <f t="shared" si="123"/>
        <v>Bagus</v>
      </c>
      <c r="T1584" s="2" t="str">
        <f t="shared" si="124"/>
        <v>Rendah</v>
      </c>
    </row>
    <row r="1585" spans="1:20" ht="15.75" customHeight="1" x14ac:dyDescent="0.3">
      <c r="A1585" s="4" t="s">
        <v>725</v>
      </c>
      <c r="B1585" s="3">
        <v>45627.638541666667</v>
      </c>
      <c r="C1585" s="2" t="s">
        <v>726</v>
      </c>
      <c r="D1585" s="2" t="s">
        <v>53</v>
      </c>
      <c r="E1585" s="2" t="s">
        <v>75</v>
      </c>
      <c r="F1585" s="2">
        <v>55000</v>
      </c>
      <c r="G1585" s="2">
        <v>1</v>
      </c>
      <c r="H1585" s="2">
        <v>0</v>
      </c>
      <c r="I1585">
        <f t="shared" si="120"/>
        <v>55000</v>
      </c>
      <c r="J1585">
        <f t="shared" si="121"/>
        <v>0</v>
      </c>
      <c r="K1585" s="6">
        <f t="shared" si="122"/>
        <v>55000</v>
      </c>
      <c r="L1585" s="2">
        <v>18000</v>
      </c>
      <c r="M1585" s="6">
        <f>Table1[[#This Row],[Total Sales]]+Table1[[#This Row],[Shipping Fee]]</f>
        <v>73000</v>
      </c>
      <c r="N1585" s="2" t="s">
        <v>63</v>
      </c>
      <c r="O1585" t="str">
        <f>VLOOKUP(Table1[[#This Row],[Order ID]],Status!A:B, 2,FALSE)</f>
        <v>Completed</v>
      </c>
      <c r="P1585" s="2" t="s">
        <v>36</v>
      </c>
      <c r="Q1585" s="2">
        <v>4</v>
      </c>
      <c r="R1585" s="2" t="s">
        <v>37</v>
      </c>
      <c r="S1585" s="11" t="str">
        <f t="shared" si="123"/>
        <v>Bagus</v>
      </c>
      <c r="T1585" s="2" t="str">
        <f t="shared" si="124"/>
        <v>Sangat Rendah</v>
      </c>
    </row>
    <row r="1586" spans="1:20" ht="15.75" customHeight="1" x14ac:dyDescent="0.3">
      <c r="A1586" s="4" t="s">
        <v>723</v>
      </c>
      <c r="B1586" s="3">
        <v>45627.61445601852</v>
      </c>
      <c r="C1586" s="2" t="s">
        <v>724</v>
      </c>
      <c r="D1586" s="2" t="s">
        <v>53</v>
      </c>
      <c r="E1586" s="2" t="s">
        <v>75</v>
      </c>
      <c r="F1586" s="2">
        <v>55000</v>
      </c>
      <c r="G1586" s="2">
        <v>3</v>
      </c>
      <c r="H1586" s="2">
        <v>0</v>
      </c>
      <c r="I1586">
        <f t="shared" si="120"/>
        <v>165000</v>
      </c>
      <c r="J1586">
        <f t="shared" si="121"/>
        <v>0</v>
      </c>
      <c r="K1586" s="6">
        <f t="shared" si="122"/>
        <v>165000</v>
      </c>
      <c r="L1586" s="2">
        <v>18000</v>
      </c>
      <c r="M1586" s="6">
        <f>Table1[[#This Row],[Total Sales]]+Table1[[#This Row],[Shipping Fee]]</f>
        <v>183000</v>
      </c>
      <c r="N1586" s="2" t="s">
        <v>22</v>
      </c>
      <c r="O1586" t="str">
        <f>VLOOKUP(Table1[[#This Row],[Order ID]],Status!A:B, 2,FALSE)</f>
        <v>Returned</v>
      </c>
      <c r="P1586" s="2" t="s">
        <v>36</v>
      </c>
      <c r="Q1586" s="2">
        <v>3</v>
      </c>
      <c r="R1586" s="2" t="s">
        <v>24</v>
      </c>
      <c r="S1586" s="11" t="str">
        <f t="shared" si="123"/>
        <v>Standar</v>
      </c>
      <c r="T1586" s="2" t="str">
        <f t="shared" si="124"/>
        <v>Sangat Rendah</v>
      </c>
    </row>
    <row r="1587" spans="1:20" ht="15.75" customHeight="1" x14ac:dyDescent="0.3">
      <c r="A1587" s="4" t="s">
        <v>721</v>
      </c>
      <c r="B1587" s="3">
        <v>45627.554027777784</v>
      </c>
      <c r="C1587" s="2" t="s">
        <v>722</v>
      </c>
      <c r="D1587" s="2" t="s">
        <v>57</v>
      </c>
      <c r="E1587" s="2" t="s">
        <v>138</v>
      </c>
      <c r="F1587" s="2">
        <v>17000</v>
      </c>
      <c r="G1587" s="2">
        <v>1</v>
      </c>
      <c r="H1587" s="2">
        <v>0</v>
      </c>
      <c r="I1587">
        <f t="shared" si="120"/>
        <v>17000</v>
      </c>
      <c r="J1587">
        <f t="shared" si="121"/>
        <v>0</v>
      </c>
      <c r="K1587" s="6">
        <f t="shared" si="122"/>
        <v>17000</v>
      </c>
      <c r="L1587" s="2">
        <v>80000</v>
      </c>
      <c r="M1587" s="6">
        <f>Table1[[#This Row],[Total Sales]]+Table1[[#This Row],[Shipping Fee]]</f>
        <v>97000</v>
      </c>
      <c r="N1587" s="2" t="s">
        <v>35</v>
      </c>
      <c r="O1587" t="str">
        <f>VLOOKUP(Table1[[#This Row],[Order ID]],Status!A:B, 2,FALSE)</f>
        <v>Completed</v>
      </c>
      <c r="P1587" s="2" t="s">
        <v>82</v>
      </c>
      <c r="Q1587" s="2">
        <v>1</v>
      </c>
      <c r="R1587" s="2" t="s">
        <v>24</v>
      </c>
      <c r="S1587" s="11" t="str">
        <f t="shared" si="123"/>
        <v>Rendah</v>
      </c>
      <c r="T1587" s="2" t="str">
        <f t="shared" si="124"/>
        <v>Sangat Rendah</v>
      </c>
    </row>
    <row r="1588" spans="1:20" ht="15.75" customHeight="1" x14ac:dyDescent="0.3">
      <c r="A1588" s="4" t="s">
        <v>720</v>
      </c>
      <c r="B1588" s="3">
        <v>45627.266261574077</v>
      </c>
      <c r="C1588" s="2" t="s">
        <v>269</v>
      </c>
      <c r="D1588" s="2" t="s">
        <v>173</v>
      </c>
      <c r="E1588" s="2" t="s">
        <v>28</v>
      </c>
      <c r="F1588" s="2">
        <v>5000</v>
      </c>
      <c r="G1588" s="2">
        <v>2</v>
      </c>
      <c r="H1588" s="2">
        <v>15</v>
      </c>
      <c r="I1588">
        <f t="shared" si="120"/>
        <v>10000</v>
      </c>
      <c r="J1588">
        <f t="shared" si="121"/>
        <v>1500</v>
      </c>
      <c r="K1588" s="6">
        <f t="shared" si="122"/>
        <v>8500</v>
      </c>
      <c r="L1588" s="2">
        <v>49000</v>
      </c>
      <c r="M1588" s="6">
        <f>Table1[[#This Row],[Total Sales]]+Table1[[#This Row],[Shipping Fee]]</f>
        <v>57500</v>
      </c>
      <c r="N1588" s="2" t="s">
        <v>29</v>
      </c>
      <c r="O1588" t="str">
        <f>VLOOKUP(Table1[[#This Row],[Order ID]],Status!A:B, 2,FALSE)</f>
        <v>Completed</v>
      </c>
      <c r="P1588" s="2" t="s">
        <v>46</v>
      </c>
      <c r="Q1588" s="2">
        <v>4</v>
      </c>
      <c r="R1588" s="2" t="s">
        <v>37</v>
      </c>
      <c r="S1588" s="11" t="str">
        <f t="shared" si="123"/>
        <v>Bagus</v>
      </c>
      <c r="T1588" s="2" t="str">
        <f t="shared" si="124"/>
        <v>Sangat Rendah</v>
      </c>
    </row>
    <row r="1589" spans="1:20" ht="15.75" customHeight="1" x14ac:dyDescent="0.3">
      <c r="A1589" s="4" t="s">
        <v>719</v>
      </c>
      <c r="B1589" s="3">
        <v>45627.091238425928</v>
      </c>
      <c r="C1589" s="2" t="s">
        <v>355</v>
      </c>
      <c r="D1589" s="2" t="s">
        <v>116</v>
      </c>
      <c r="E1589" s="2" t="s">
        <v>136</v>
      </c>
      <c r="F1589" s="2">
        <v>12000</v>
      </c>
      <c r="G1589" s="2">
        <v>3</v>
      </c>
      <c r="H1589" s="2">
        <v>20</v>
      </c>
      <c r="I1589">
        <f t="shared" si="120"/>
        <v>36000</v>
      </c>
      <c r="J1589">
        <f t="shared" si="121"/>
        <v>7200</v>
      </c>
      <c r="K1589" s="6">
        <f t="shared" si="122"/>
        <v>28800</v>
      </c>
      <c r="L1589" s="2">
        <v>72000</v>
      </c>
      <c r="M1589" s="6">
        <f>Table1[[#This Row],[Total Sales]]+Table1[[#This Row],[Shipping Fee]]</f>
        <v>100800</v>
      </c>
      <c r="N1589" s="2" t="s">
        <v>29</v>
      </c>
      <c r="O1589" t="str">
        <f>VLOOKUP(Table1[[#This Row],[Order ID]],Status!A:B, 2,FALSE)</f>
        <v>Completed</v>
      </c>
      <c r="P1589" s="2" t="s">
        <v>46</v>
      </c>
      <c r="Q1589" s="2">
        <v>2</v>
      </c>
      <c r="R1589" s="2" t="s">
        <v>24</v>
      </c>
      <c r="S1589" s="11" t="str">
        <f t="shared" si="123"/>
        <v>Rendah</v>
      </c>
      <c r="T1589" s="2" t="str">
        <f t="shared" si="124"/>
        <v>Rendah</v>
      </c>
    </row>
    <row r="1590" spans="1:20" ht="15.75" customHeight="1" x14ac:dyDescent="0.3">
      <c r="A1590" s="4" t="s">
        <v>718</v>
      </c>
      <c r="B1590" s="3">
        <v>45626.795601851853</v>
      </c>
      <c r="C1590" s="2" t="s">
        <v>416</v>
      </c>
      <c r="D1590" s="2" t="s">
        <v>131</v>
      </c>
      <c r="E1590" s="2" t="s">
        <v>190</v>
      </c>
      <c r="F1590" s="2">
        <v>35000</v>
      </c>
      <c r="G1590" s="2">
        <v>3</v>
      </c>
      <c r="H1590" s="2">
        <v>15</v>
      </c>
      <c r="I1590">
        <f t="shared" si="120"/>
        <v>105000</v>
      </c>
      <c r="J1590">
        <f t="shared" si="121"/>
        <v>15750</v>
      </c>
      <c r="K1590" s="6">
        <f t="shared" si="122"/>
        <v>89250</v>
      </c>
      <c r="L1590" s="2">
        <v>59000</v>
      </c>
      <c r="M1590" s="6">
        <f>Table1[[#This Row],[Total Sales]]+Table1[[#This Row],[Shipping Fee]]</f>
        <v>148250</v>
      </c>
      <c r="N1590" s="2" t="s">
        <v>63</v>
      </c>
      <c r="O1590" t="str">
        <f>VLOOKUP(Table1[[#This Row],[Order ID]],Status!A:B, 2,FALSE)</f>
        <v>Cancelled</v>
      </c>
      <c r="P1590" s="2" t="s">
        <v>46</v>
      </c>
      <c r="Q1590" s="2">
        <v>5</v>
      </c>
      <c r="R1590" s="2" t="s">
        <v>24</v>
      </c>
      <c r="S1590" s="11" t="str">
        <f t="shared" si="123"/>
        <v>Bagus</v>
      </c>
      <c r="T1590" s="2" t="str">
        <f t="shared" si="124"/>
        <v>Normal</v>
      </c>
    </row>
    <row r="1591" spans="1:20" ht="15.75" customHeight="1" x14ac:dyDescent="0.3">
      <c r="A1591" s="4" t="s">
        <v>717</v>
      </c>
      <c r="B1591" s="3">
        <v>45626.606817129628</v>
      </c>
      <c r="C1591" s="2" t="s">
        <v>461</v>
      </c>
      <c r="D1591" s="2" t="s">
        <v>92</v>
      </c>
      <c r="E1591" s="2" t="s">
        <v>34</v>
      </c>
      <c r="F1591" s="2">
        <v>16000</v>
      </c>
      <c r="G1591" s="2">
        <v>3</v>
      </c>
      <c r="H1591" s="2">
        <v>0</v>
      </c>
      <c r="I1591">
        <f t="shared" si="120"/>
        <v>48000</v>
      </c>
      <c r="J1591">
        <f t="shared" si="121"/>
        <v>0</v>
      </c>
      <c r="K1591" s="6">
        <f t="shared" si="122"/>
        <v>48000</v>
      </c>
      <c r="L1591" s="2">
        <v>30000</v>
      </c>
      <c r="M1591" s="6">
        <f>Table1[[#This Row],[Total Sales]]+Table1[[#This Row],[Shipping Fee]]</f>
        <v>78000</v>
      </c>
      <c r="N1591" s="2" t="s">
        <v>35</v>
      </c>
      <c r="O1591" t="str">
        <f>VLOOKUP(Table1[[#This Row],[Order ID]],Status!A:B, 2,FALSE)</f>
        <v>Completed</v>
      </c>
      <c r="P1591" s="2" t="s">
        <v>82</v>
      </c>
      <c r="Q1591" s="2">
        <v>4</v>
      </c>
      <c r="R1591" s="2" t="s">
        <v>37</v>
      </c>
      <c r="S1591" s="11" t="str">
        <f t="shared" si="123"/>
        <v>Bagus</v>
      </c>
      <c r="T1591" s="2" t="str">
        <f t="shared" si="124"/>
        <v>Sangat Rendah</v>
      </c>
    </row>
    <row r="1592" spans="1:20" ht="15.75" customHeight="1" x14ac:dyDescent="0.3">
      <c r="A1592" s="4" t="s">
        <v>715</v>
      </c>
      <c r="B1592" s="3">
        <v>45626.525057870371</v>
      </c>
      <c r="C1592" s="2" t="s">
        <v>716</v>
      </c>
      <c r="D1592" s="2" t="s">
        <v>66</v>
      </c>
      <c r="E1592" s="2" t="s">
        <v>71</v>
      </c>
      <c r="F1592" s="2">
        <v>40000</v>
      </c>
      <c r="G1592" s="2">
        <v>2</v>
      </c>
      <c r="H1592" s="2">
        <v>10</v>
      </c>
      <c r="I1592">
        <f t="shared" si="120"/>
        <v>80000</v>
      </c>
      <c r="J1592">
        <f t="shared" si="121"/>
        <v>8000</v>
      </c>
      <c r="K1592" s="6">
        <f t="shared" si="122"/>
        <v>72000</v>
      </c>
      <c r="L1592" s="2">
        <v>59000</v>
      </c>
      <c r="M1592" s="6">
        <f>Table1[[#This Row],[Total Sales]]+Table1[[#This Row],[Shipping Fee]]</f>
        <v>131000</v>
      </c>
      <c r="N1592" s="2" t="s">
        <v>29</v>
      </c>
      <c r="O1592" t="str">
        <f>VLOOKUP(Table1[[#This Row],[Order ID]],Status!A:B, 2,FALSE)</f>
        <v>Completed</v>
      </c>
      <c r="P1592" s="2" t="s">
        <v>82</v>
      </c>
      <c r="Q1592" s="2">
        <v>4</v>
      </c>
      <c r="R1592" s="2" t="s">
        <v>24</v>
      </c>
      <c r="S1592" s="11" t="str">
        <f t="shared" si="123"/>
        <v>Bagus</v>
      </c>
      <c r="T1592" s="2" t="str">
        <f t="shared" si="124"/>
        <v>Rendah</v>
      </c>
    </row>
    <row r="1593" spans="1:20" ht="15.75" customHeight="1" x14ac:dyDescent="0.3">
      <c r="A1593" s="4" t="s">
        <v>713</v>
      </c>
      <c r="B1593" s="3">
        <v>45626.462916666656</v>
      </c>
      <c r="C1593" s="2" t="s">
        <v>714</v>
      </c>
      <c r="D1593" s="2" t="s">
        <v>262</v>
      </c>
      <c r="E1593" s="2" t="s">
        <v>62</v>
      </c>
      <c r="F1593" s="2">
        <v>50000</v>
      </c>
      <c r="G1593" s="2">
        <v>4</v>
      </c>
      <c r="H1593" s="2">
        <v>10</v>
      </c>
      <c r="I1593">
        <f t="shared" si="120"/>
        <v>200000</v>
      </c>
      <c r="J1593">
        <f t="shared" si="121"/>
        <v>20000</v>
      </c>
      <c r="K1593" s="6">
        <f t="shared" si="122"/>
        <v>180000</v>
      </c>
      <c r="L1593" s="2">
        <v>18000</v>
      </c>
      <c r="M1593" s="6">
        <f>Table1[[#This Row],[Total Sales]]+Table1[[#This Row],[Shipping Fee]]</f>
        <v>198000</v>
      </c>
      <c r="N1593" s="2" t="s">
        <v>29</v>
      </c>
      <c r="O1593" t="str">
        <f>VLOOKUP(Table1[[#This Row],[Order ID]],Status!A:B, 2,FALSE)</f>
        <v>Completed</v>
      </c>
      <c r="P1593" s="2" t="s">
        <v>46</v>
      </c>
      <c r="Q1593" s="2">
        <v>4</v>
      </c>
      <c r="R1593" s="2" t="s">
        <v>24</v>
      </c>
      <c r="S1593" s="11" t="str">
        <f t="shared" si="123"/>
        <v>Bagus</v>
      </c>
      <c r="T1593" s="2" t="str">
        <f t="shared" si="124"/>
        <v>Normal</v>
      </c>
    </row>
    <row r="1594" spans="1:20" ht="15.75" customHeight="1" x14ac:dyDescent="0.3">
      <c r="A1594" s="4" t="s">
        <v>713</v>
      </c>
      <c r="B1594" s="3">
        <v>45626.462916666656</v>
      </c>
      <c r="C1594" s="2" t="s">
        <v>714</v>
      </c>
      <c r="D1594" s="2" t="s">
        <v>262</v>
      </c>
      <c r="E1594" s="2" t="s">
        <v>144</v>
      </c>
      <c r="F1594" s="2">
        <v>18000</v>
      </c>
      <c r="G1594" s="2">
        <v>1</v>
      </c>
      <c r="H1594" s="2">
        <v>0</v>
      </c>
      <c r="I1594">
        <f t="shared" si="120"/>
        <v>18000</v>
      </c>
      <c r="J1594">
        <f t="shared" si="121"/>
        <v>0</v>
      </c>
      <c r="K1594" s="6">
        <f t="shared" si="122"/>
        <v>18000</v>
      </c>
      <c r="L1594" s="2">
        <v>0</v>
      </c>
      <c r="M1594" s="6">
        <f>Table1[[#This Row],[Total Sales]]+Table1[[#This Row],[Shipping Fee]]</f>
        <v>18000</v>
      </c>
      <c r="N1594" s="2" t="s">
        <v>29</v>
      </c>
      <c r="O1594" t="str">
        <f>VLOOKUP(Table1[[#This Row],[Order ID]],Status!A:B, 2,FALSE)</f>
        <v>Completed</v>
      </c>
      <c r="P1594" s="2" t="s">
        <v>46</v>
      </c>
      <c r="Q1594" s="2">
        <v>4</v>
      </c>
      <c r="R1594" s="2" t="s">
        <v>24</v>
      </c>
      <c r="S1594" s="11" t="str">
        <f t="shared" si="123"/>
        <v>Bagus</v>
      </c>
      <c r="T1594" s="2" t="str">
        <f t="shared" si="124"/>
        <v>Sangat Rendah</v>
      </c>
    </row>
    <row r="1595" spans="1:20" ht="15.75" customHeight="1" x14ac:dyDescent="0.3">
      <c r="A1595" s="4" t="s">
        <v>712</v>
      </c>
      <c r="B1595" s="3">
        <v>45625.893275462957</v>
      </c>
      <c r="C1595" s="2" t="s">
        <v>323</v>
      </c>
      <c r="D1595" s="2" t="s">
        <v>103</v>
      </c>
      <c r="E1595" s="2" t="s">
        <v>250</v>
      </c>
      <c r="F1595" s="2">
        <v>18000</v>
      </c>
      <c r="G1595" s="2">
        <v>1</v>
      </c>
      <c r="H1595" s="2">
        <v>0</v>
      </c>
      <c r="I1595">
        <f t="shared" si="120"/>
        <v>18000</v>
      </c>
      <c r="J1595">
        <f t="shared" si="121"/>
        <v>0</v>
      </c>
      <c r="K1595" s="6">
        <f t="shared" si="122"/>
        <v>18000</v>
      </c>
      <c r="L1595" s="2">
        <v>85000</v>
      </c>
      <c r="M1595" s="6">
        <f>Table1[[#This Row],[Total Sales]]+Table1[[#This Row],[Shipping Fee]]</f>
        <v>103000</v>
      </c>
      <c r="N1595" s="2" t="s">
        <v>22</v>
      </c>
      <c r="O1595" t="str">
        <f>VLOOKUP(Table1[[#This Row],[Order ID]],Status!A:B, 2,FALSE)</f>
        <v>Returned</v>
      </c>
      <c r="P1595" s="2" t="s">
        <v>30</v>
      </c>
      <c r="Q1595" s="2">
        <v>3</v>
      </c>
      <c r="R1595" s="2" t="s">
        <v>24</v>
      </c>
      <c r="S1595" s="11" t="str">
        <f t="shared" si="123"/>
        <v>Standar</v>
      </c>
      <c r="T1595" s="2" t="str">
        <f t="shared" si="124"/>
        <v>Sangat Rendah</v>
      </c>
    </row>
    <row r="1596" spans="1:20" ht="15.75" customHeight="1" x14ac:dyDescent="0.3">
      <c r="A1596" s="4" t="s">
        <v>710</v>
      </c>
      <c r="B1596" s="3">
        <v>45625.796550925923</v>
      </c>
      <c r="C1596" s="2" t="s">
        <v>711</v>
      </c>
      <c r="D1596" s="2" t="s">
        <v>177</v>
      </c>
      <c r="E1596" s="2" t="s">
        <v>21</v>
      </c>
      <c r="F1596" s="2">
        <v>45000</v>
      </c>
      <c r="G1596" s="2">
        <v>4</v>
      </c>
      <c r="H1596" s="2">
        <v>10</v>
      </c>
      <c r="I1596">
        <f t="shared" si="120"/>
        <v>180000</v>
      </c>
      <c r="J1596">
        <f t="shared" si="121"/>
        <v>18000</v>
      </c>
      <c r="K1596" s="6">
        <f t="shared" si="122"/>
        <v>162000</v>
      </c>
      <c r="L1596" s="2">
        <v>56000</v>
      </c>
      <c r="M1596" s="6">
        <f>Table1[[#This Row],[Total Sales]]+Table1[[#This Row],[Shipping Fee]]</f>
        <v>218000</v>
      </c>
      <c r="N1596" s="2" t="s">
        <v>22</v>
      </c>
      <c r="O1596" t="str">
        <f>VLOOKUP(Table1[[#This Row],[Order ID]],Status!A:B, 2,FALSE)</f>
        <v>Completed</v>
      </c>
      <c r="P1596" s="2" t="s">
        <v>23</v>
      </c>
      <c r="Q1596" s="2">
        <v>5</v>
      </c>
      <c r="R1596" s="2" t="s">
        <v>24</v>
      </c>
      <c r="S1596" s="11" t="str">
        <f t="shared" si="123"/>
        <v>Bagus</v>
      </c>
      <c r="T1596" s="2" t="str">
        <f t="shared" si="124"/>
        <v>Normal</v>
      </c>
    </row>
    <row r="1597" spans="1:20" ht="15.75" customHeight="1" x14ac:dyDescent="0.3">
      <c r="A1597" s="4" t="s">
        <v>709</v>
      </c>
      <c r="B1597" s="3">
        <v>45625.605902777781</v>
      </c>
      <c r="C1597" s="2" t="s">
        <v>100</v>
      </c>
      <c r="D1597" s="2" t="s">
        <v>66</v>
      </c>
      <c r="E1597" s="2" t="s">
        <v>190</v>
      </c>
      <c r="F1597" s="2">
        <v>35000</v>
      </c>
      <c r="G1597" s="2">
        <v>2</v>
      </c>
      <c r="H1597" s="2">
        <v>20</v>
      </c>
      <c r="I1597">
        <f t="shared" si="120"/>
        <v>70000</v>
      </c>
      <c r="J1597">
        <f t="shared" si="121"/>
        <v>14000</v>
      </c>
      <c r="K1597" s="6">
        <f t="shared" si="122"/>
        <v>56000</v>
      </c>
      <c r="L1597" s="2">
        <v>59000</v>
      </c>
      <c r="M1597" s="6">
        <f>Table1[[#This Row],[Total Sales]]+Table1[[#This Row],[Shipping Fee]]</f>
        <v>115000</v>
      </c>
      <c r="N1597" s="2" t="s">
        <v>35</v>
      </c>
      <c r="O1597" t="str">
        <f>VLOOKUP(Table1[[#This Row],[Order ID]],Status!A:B, 2,FALSE)</f>
        <v>Completed</v>
      </c>
      <c r="P1597" s="2" t="s">
        <v>30</v>
      </c>
      <c r="Q1597" s="2">
        <v>3</v>
      </c>
      <c r="R1597" s="2" t="s">
        <v>24</v>
      </c>
      <c r="S1597" s="11" t="str">
        <f t="shared" si="123"/>
        <v>Standar</v>
      </c>
      <c r="T1597" s="2" t="str">
        <f t="shared" si="124"/>
        <v>Normal</v>
      </c>
    </row>
    <row r="1598" spans="1:20" ht="15.75" customHeight="1" x14ac:dyDescent="0.3">
      <c r="A1598" s="4" t="s">
        <v>707</v>
      </c>
      <c r="B1598" s="3">
        <v>45625.140717592592</v>
      </c>
      <c r="C1598" s="2" t="s">
        <v>708</v>
      </c>
      <c r="D1598" s="2" t="s">
        <v>116</v>
      </c>
      <c r="E1598" s="2" t="s">
        <v>104</v>
      </c>
      <c r="F1598" s="2">
        <v>30000</v>
      </c>
      <c r="G1598" s="2">
        <v>4</v>
      </c>
      <c r="H1598" s="2">
        <v>20</v>
      </c>
      <c r="I1598">
        <f t="shared" si="120"/>
        <v>120000</v>
      </c>
      <c r="J1598">
        <f t="shared" si="121"/>
        <v>24000</v>
      </c>
      <c r="K1598" s="6">
        <f t="shared" si="122"/>
        <v>96000</v>
      </c>
      <c r="L1598" s="2">
        <v>72000</v>
      </c>
      <c r="M1598" s="6">
        <f>Table1[[#This Row],[Total Sales]]+Table1[[#This Row],[Shipping Fee]]</f>
        <v>168000</v>
      </c>
      <c r="N1598" s="2" t="s">
        <v>63</v>
      </c>
      <c r="O1598" t="str">
        <f>VLOOKUP(Table1[[#This Row],[Order ID]],Status!A:B, 2,FALSE)</f>
        <v>Completed</v>
      </c>
      <c r="P1598" s="2" t="s">
        <v>23</v>
      </c>
      <c r="Q1598" s="2">
        <v>4</v>
      </c>
      <c r="R1598" s="2" t="s">
        <v>24</v>
      </c>
      <c r="S1598" s="11" t="str">
        <f t="shared" si="123"/>
        <v>Bagus</v>
      </c>
      <c r="T1598" s="2" t="str">
        <f t="shared" si="124"/>
        <v>Tinggi</v>
      </c>
    </row>
    <row r="1599" spans="1:20" ht="15.75" customHeight="1" x14ac:dyDescent="0.3">
      <c r="A1599" s="4" t="s">
        <v>706</v>
      </c>
      <c r="B1599" s="3">
        <v>45625.092488425929</v>
      </c>
      <c r="C1599" s="2" t="s">
        <v>100</v>
      </c>
      <c r="D1599" s="2" t="s">
        <v>66</v>
      </c>
      <c r="E1599" s="2" t="s">
        <v>250</v>
      </c>
      <c r="F1599" s="2">
        <v>18000</v>
      </c>
      <c r="G1599" s="2">
        <v>4</v>
      </c>
      <c r="H1599" s="2">
        <v>0</v>
      </c>
      <c r="I1599">
        <f t="shared" si="120"/>
        <v>72000</v>
      </c>
      <c r="J1599">
        <f t="shared" si="121"/>
        <v>0</v>
      </c>
      <c r="K1599" s="6">
        <f t="shared" si="122"/>
        <v>72000</v>
      </c>
      <c r="L1599" s="2">
        <v>59000</v>
      </c>
      <c r="M1599" s="6">
        <f>Table1[[#This Row],[Total Sales]]+Table1[[#This Row],[Shipping Fee]]</f>
        <v>131000</v>
      </c>
      <c r="N1599" s="2" t="s">
        <v>22</v>
      </c>
      <c r="O1599" t="str">
        <f>VLOOKUP(Table1[[#This Row],[Order ID]],Status!A:B, 2,FALSE)</f>
        <v>Completed</v>
      </c>
      <c r="P1599" s="2" t="s">
        <v>46</v>
      </c>
      <c r="Q1599" s="2">
        <v>5</v>
      </c>
      <c r="R1599" s="2" t="s">
        <v>24</v>
      </c>
      <c r="S1599" s="11" t="str">
        <f t="shared" si="123"/>
        <v>Bagus</v>
      </c>
      <c r="T1599" s="2" t="str">
        <f t="shared" si="124"/>
        <v>Sangat Rendah</v>
      </c>
    </row>
    <row r="1600" spans="1:20" ht="15.75" customHeight="1" x14ac:dyDescent="0.3">
      <c r="A1600" s="4" t="s">
        <v>704</v>
      </c>
      <c r="B1600" s="3">
        <v>45625.054560185177</v>
      </c>
      <c r="C1600" s="2" t="s">
        <v>705</v>
      </c>
      <c r="D1600" s="2" t="s">
        <v>189</v>
      </c>
      <c r="E1600" s="2" t="s">
        <v>67</v>
      </c>
      <c r="F1600" s="2">
        <v>15000</v>
      </c>
      <c r="G1600" s="2">
        <v>2</v>
      </c>
      <c r="H1600" s="2">
        <v>10</v>
      </c>
      <c r="I1600">
        <f t="shared" si="120"/>
        <v>30000</v>
      </c>
      <c r="J1600">
        <f t="shared" si="121"/>
        <v>3000</v>
      </c>
      <c r="K1600" s="6">
        <f t="shared" si="122"/>
        <v>27000</v>
      </c>
      <c r="L1600" s="2">
        <v>57000</v>
      </c>
      <c r="M1600" s="6">
        <f>Table1[[#This Row],[Total Sales]]+Table1[[#This Row],[Shipping Fee]]</f>
        <v>84000</v>
      </c>
      <c r="N1600" s="2" t="s">
        <v>35</v>
      </c>
      <c r="O1600" t="str">
        <f>VLOOKUP(Table1[[#This Row],[Order ID]],Status!A:B, 2,FALSE)</f>
        <v>Completed</v>
      </c>
      <c r="P1600" s="2" t="s">
        <v>23</v>
      </c>
      <c r="Q1600" s="2">
        <v>4</v>
      </c>
      <c r="R1600" s="2" t="s">
        <v>24</v>
      </c>
      <c r="S1600" s="11" t="str">
        <f t="shared" si="123"/>
        <v>Bagus</v>
      </c>
      <c r="T1600" s="2" t="str">
        <f t="shared" si="124"/>
        <v>Sangat Rendah</v>
      </c>
    </row>
    <row r="1601" spans="1:20" ht="15.75" customHeight="1" x14ac:dyDescent="0.3">
      <c r="A1601" s="4" t="s">
        <v>702</v>
      </c>
      <c r="B1601" s="3">
        <v>45625.054247685177</v>
      </c>
      <c r="C1601" s="2" t="s">
        <v>703</v>
      </c>
      <c r="D1601" s="2" t="s">
        <v>122</v>
      </c>
      <c r="E1601" s="2" t="s">
        <v>41</v>
      </c>
      <c r="F1601" s="2">
        <v>4000</v>
      </c>
      <c r="G1601" s="2">
        <v>2</v>
      </c>
      <c r="H1601" s="2">
        <v>5</v>
      </c>
      <c r="I1601">
        <f t="shared" si="120"/>
        <v>8000</v>
      </c>
      <c r="J1601">
        <f t="shared" si="121"/>
        <v>400</v>
      </c>
      <c r="K1601" s="6">
        <f t="shared" si="122"/>
        <v>7600</v>
      </c>
      <c r="L1601" s="2">
        <v>78000</v>
      </c>
      <c r="M1601" s="6">
        <f>Table1[[#This Row],[Total Sales]]+Table1[[#This Row],[Shipping Fee]]</f>
        <v>85600</v>
      </c>
      <c r="N1601" s="2" t="s">
        <v>22</v>
      </c>
      <c r="O1601" t="str">
        <f>VLOOKUP(Table1[[#This Row],[Order ID]],Status!A:B, 2,FALSE)</f>
        <v>Completed</v>
      </c>
      <c r="P1601" s="2" t="s">
        <v>82</v>
      </c>
      <c r="Q1601" s="2">
        <v>2</v>
      </c>
      <c r="R1601" s="2" t="s">
        <v>24</v>
      </c>
      <c r="S1601" s="11" t="str">
        <f t="shared" si="123"/>
        <v>Rendah</v>
      </c>
      <c r="T1601" s="2" t="str">
        <f t="shared" si="124"/>
        <v>Sangat Rendah</v>
      </c>
    </row>
    <row r="1602" spans="1:20" ht="15.75" customHeight="1" x14ac:dyDescent="0.3">
      <c r="A1602" s="4" t="s">
        <v>701</v>
      </c>
      <c r="B1602" s="3">
        <v>45625.003437500003</v>
      </c>
      <c r="C1602" s="2" t="s">
        <v>593</v>
      </c>
      <c r="D1602" s="2" t="s">
        <v>195</v>
      </c>
      <c r="E1602" s="2" t="s">
        <v>75</v>
      </c>
      <c r="F1602" s="2">
        <v>55000</v>
      </c>
      <c r="G1602" s="2">
        <v>3</v>
      </c>
      <c r="H1602" s="2">
        <v>5</v>
      </c>
      <c r="I1602">
        <f t="shared" ref="I1602:I1665" si="125">F1602*G1602</f>
        <v>165000</v>
      </c>
      <c r="J1602">
        <f t="shared" ref="J1602:J1665" si="126">I1602*H1602/100</f>
        <v>8250</v>
      </c>
      <c r="K1602" s="6">
        <f t="shared" ref="K1602:K1665" si="127">I1602-J1602</f>
        <v>156750</v>
      </c>
      <c r="L1602" s="2">
        <v>87000</v>
      </c>
      <c r="M1602" s="6">
        <f>Table1[[#This Row],[Total Sales]]+Table1[[#This Row],[Shipping Fee]]</f>
        <v>243750</v>
      </c>
      <c r="N1602" s="2" t="s">
        <v>29</v>
      </c>
      <c r="O1602" t="str">
        <f>VLOOKUP(Table1[[#This Row],[Order ID]],Status!A:B, 2,FALSE)</f>
        <v>Completed</v>
      </c>
      <c r="P1602" s="2" t="s">
        <v>82</v>
      </c>
      <c r="Q1602" s="2">
        <v>2</v>
      </c>
      <c r="R1602" s="2" t="s">
        <v>24</v>
      </c>
      <c r="S1602" s="11" t="str">
        <f t="shared" ref="S1602:S1665" si="128">_xlfn.IFS(Q1602&gt;3,"Bagus",Q1602=3,"Standar",Q1602&lt;3,"Rendah")</f>
        <v>Rendah</v>
      </c>
      <c r="T1602" s="2" t="str">
        <f t="shared" ref="T1602:T1665" si="129">_xlfn.IFS(J1602&lt;=5000,"Sangat Rendah", J1602&lt;=10000,"Rendah", J1602&lt;=20000, "Normal", J1602&lt;=35000, "Tinggi", J1602&lt;= 50000, "Sangat Tinggi", J1602&gt;50000, "Clearance")</f>
        <v>Rendah</v>
      </c>
    </row>
    <row r="1603" spans="1:20" ht="15.75" customHeight="1" x14ac:dyDescent="0.3">
      <c r="A1603" s="4" t="s">
        <v>700</v>
      </c>
      <c r="B1603" s="3">
        <v>45624.811597222222</v>
      </c>
      <c r="C1603" s="2" t="s">
        <v>502</v>
      </c>
      <c r="D1603" s="2" t="s">
        <v>107</v>
      </c>
      <c r="E1603" s="2" t="s">
        <v>186</v>
      </c>
      <c r="F1603" s="2">
        <v>45000</v>
      </c>
      <c r="G1603" s="2">
        <v>4</v>
      </c>
      <c r="H1603" s="2">
        <v>20</v>
      </c>
      <c r="I1603">
        <f t="shared" si="125"/>
        <v>180000</v>
      </c>
      <c r="J1603">
        <f t="shared" si="126"/>
        <v>36000</v>
      </c>
      <c r="K1603" s="6">
        <f t="shared" si="127"/>
        <v>144000</v>
      </c>
      <c r="L1603" s="2">
        <v>97000</v>
      </c>
      <c r="M1603" s="6">
        <f>Table1[[#This Row],[Total Sales]]+Table1[[#This Row],[Shipping Fee]]</f>
        <v>241000</v>
      </c>
      <c r="N1603" s="2" t="s">
        <v>63</v>
      </c>
      <c r="O1603" t="str">
        <f>VLOOKUP(Table1[[#This Row],[Order ID]],Status!A:B, 2,FALSE)</f>
        <v>Completed</v>
      </c>
      <c r="P1603" s="2" t="s">
        <v>23</v>
      </c>
      <c r="Q1603" s="2">
        <v>4</v>
      </c>
      <c r="R1603" s="2" t="s">
        <v>24</v>
      </c>
      <c r="S1603" s="11" t="str">
        <f t="shared" si="128"/>
        <v>Bagus</v>
      </c>
      <c r="T1603" s="2" t="str">
        <f t="shared" si="129"/>
        <v>Sangat Tinggi</v>
      </c>
    </row>
    <row r="1604" spans="1:20" ht="15.75" customHeight="1" x14ac:dyDescent="0.3">
      <c r="A1604" s="4" t="s">
        <v>698</v>
      </c>
      <c r="B1604" s="3">
        <v>45624.686874999999</v>
      </c>
      <c r="C1604" s="2" t="s">
        <v>699</v>
      </c>
      <c r="D1604" s="2" t="s">
        <v>238</v>
      </c>
      <c r="E1604" s="2" t="s">
        <v>174</v>
      </c>
      <c r="F1604" s="2">
        <v>10000</v>
      </c>
      <c r="G1604" s="2">
        <v>4</v>
      </c>
      <c r="H1604" s="2">
        <v>0</v>
      </c>
      <c r="I1604">
        <f t="shared" si="125"/>
        <v>40000</v>
      </c>
      <c r="J1604">
        <f t="shared" si="126"/>
        <v>0</v>
      </c>
      <c r="K1604" s="6">
        <f t="shared" si="127"/>
        <v>40000</v>
      </c>
      <c r="L1604" s="2">
        <v>28000</v>
      </c>
      <c r="M1604" s="6">
        <f>Table1[[#This Row],[Total Sales]]+Table1[[#This Row],[Shipping Fee]]</f>
        <v>68000</v>
      </c>
      <c r="N1604" s="2" t="s">
        <v>35</v>
      </c>
      <c r="O1604" t="str">
        <f>VLOOKUP(Table1[[#This Row],[Order ID]],Status!A:B, 2,FALSE)</f>
        <v>Returned</v>
      </c>
      <c r="P1604" s="2" t="s">
        <v>82</v>
      </c>
      <c r="Q1604" s="2">
        <v>5</v>
      </c>
      <c r="R1604" s="2" t="s">
        <v>37</v>
      </c>
      <c r="S1604" s="11" t="str">
        <f t="shared" si="128"/>
        <v>Bagus</v>
      </c>
      <c r="T1604" s="2" t="str">
        <f t="shared" si="129"/>
        <v>Sangat Rendah</v>
      </c>
    </row>
    <row r="1605" spans="1:20" ht="15.75" customHeight="1" x14ac:dyDescent="0.3">
      <c r="A1605" s="4" t="s">
        <v>696</v>
      </c>
      <c r="B1605" s="3">
        <v>45624.512974537043</v>
      </c>
      <c r="C1605" s="2" t="s">
        <v>697</v>
      </c>
      <c r="D1605" s="2" t="s">
        <v>143</v>
      </c>
      <c r="E1605" s="2" t="s">
        <v>88</v>
      </c>
      <c r="F1605" s="2">
        <v>14000</v>
      </c>
      <c r="G1605" s="2">
        <v>4</v>
      </c>
      <c r="H1605" s="2">
        <v>10</v>
      </c>
      <c r="I1605">
        <f t="shared" si="125"/>
        <v>56000</v>
      </c>
      <c r="J1605">
        <f t="shared" si="126"/>
        <v>5600</v>
      </c>
      <c r="K1605" s="6">
        <f t="shared" si="127"/>
        <v>50400</v>
      </c>
      <c r="L1605" s="2">
        <v>50000</v>
      </c>
      <c r="M1605" s="6">
        <f>Table1[[#This Row],[Total Sales]]+Table1[[#This Row],[Shipping Fee]]</f>
        <v>100400</v>
      </c>
      <c r="N1605" s="2" t="s">
        <v>22</v>
      </c>
      <c r="O1605" t="str">
        <f>VLOOKUP(Table1[[#This Row],[Order ID]],Status!A:B, 2,FALSE)</f>
        <v>Completed</v>
      </c>
      <c r="P1605" s="2" t="s">
        <v>46</v>
      </c>
      <c r="Q1605" s="2">
        <v>4</v>
      </c>
      <c r="R1605" s="2" t="s">
        <v>37</v>
      </c>
      <c r="S1605" s="11" t="str">
        <f t="shared" si="128"/>
        <v>Bagus</v>
      </c>
      <c r="T1605" s="2" t="str">
        <f t="shared" si="129"/>
        <v>Rendah</v>
      </c>
    </row>
    <row r="1606" spans="1:20" ht="15.75" customHeight="1" x14ac:dyDescent="0.3">
      <c r="A1606" s="4" t="s">
        <v>696</v>
      </c>
      <c r="B1606" s="3">
        <v>45624.512974537043</v>
      </c>
      <c r="C1606" s="2" t="s">
        <v>697</v>
      </c>
      <c r="D1606" s="2" t="s">
        <v>143</v>
      </c>
      <c r="E1606" s="2" t="s">
        <v>45</v>
      </c>
      <c r="F1606" s="2">
        <v>40000</v>
      </c>
      <c r="G1606" s="2">
        <v>2</v>
      </c>
      <c r="H1606" s="2">
        <v>15</v>
      </c>
      <c r="I1606">
        <f t="shared" si="125"/>
        <v>80000</v>
      </c>
      <c r="J1606">
        <f t="shared" si="126"/>
        <v>12000</v>
      </c>
      <c r="K1606" s="6">
        <f t="shared" si="127"/>
        <v>68000</v>
      </c>
      <c r="L1606" s="2">
        <v>0</v>
      </c>
      <c r="M1606" s="6">
        <f>Table1[[#This Row],[Total Sales]]+Table1[[#This Row],[Shipping Fee]]</f>
        <v>68000</v>
      </c>
      <c r="N1606" s="2" t="s">
        <v>22</v>
      </c>
      <c r="O1606" t="str">
        <f>VLOOKUP(Table1[[#This Row],[Order ID]],Status!A:B, 2,FALSE)</f>
        <v>Completed</v>
      </c>
      <c r="P1606" s="2" t="s">
        <v>46</v>
      </c>
      <c r="Q1606" s="2">
        <v>4</v>
      </c>
      <c r="R1606" s="2" t="s">
        <v>37</v>
      </c>
      <c r="S1606" s="11" t="str">
        <f t="shared" si="128"/>
        <v>Bagus</v>
      </c>
      <c r="T1606" s="2" t="str">
        <f t="shared" si="129"/>
        <v>Normal</v>
      </c>
    </row>
    <row r="1607" spans="1:20" ht="15.75" customHeight="1" x14ac:dyDescent="0.3">
      <c r="A1607" s="4" t="s">
        <v>694</v>
      </c>
      <c r="B1607" s="3">
        <v>45624.178356481483</v>
      </c>
      <c r="C1607" s="2" t="s">
        <v>695</v>
      </c>
      <c r="D1607" s="2" t="s">
        <v>119</v>
      </c>
      <c r="E1607" s="2" t="s">
        <v>138</v>
      </c>
      <c r="F1607" s="2">
        <v>17000</v>
      </c>
      <c r="G1607" s="2">
        <v>3</v>
      </c>
      <c r="H1607" s="2">
        <v>5</v>
      </c>
      <c r="I1607">
        <f t="shared" si="125"/>
        <v>51000</v>
      </c>
      <c r="J1607">
        <f t="shared" si="126"/>
        <v>2550</v>
      </c>
      <c r="K1607" s="6">
        <f t="shared" si="127"/>
        <v>48450</v>
      </c>
      <c r="L1607" s="2">
        <v>0</v>
      </c>
      <c r="M1607" s="6">
        <f>Table1[[#This Row],[Total Sales]]+Table1[[#This Row],[Shipping Fee]]</f>
        <v>48450</v>
      </c>
      <c r="N1607" s="2" t="s">
        <v>29</v>
      </c>
      <c r="O1607" t="str">
        <f>VLOOKUP(Table1[[#This Row],[Order ID]],Status!A:B, 2,FALSE)</f>
        <v>Completed</v>
      </c>
      <c r="P1607" s="2" t="s">
        <v>82</v>
      </c>
      <c r="Q1607" s="2">
        <v>5</v>
      </c>
      <c r="R1607" s="2" t="s">
        <v>24</v>
      </c>
      <c r="S1607" s="11" t="str">
        <f t="shared" si="128"/>
        <v>Bagus</v>
      </c>
      <c r="T1607" s="2" t="str">
        <f t="shared" si="129"/>
        <v>Sangat Rendah</v>
      </c>
    </row>
    <row r="1608" spans="1:20" ht="15.75" customHeight="1" x14ac:dyDescent="0.3">
      <c r="A1608" s="4" t="s">
        <v>692</v>
      </c>
      <c r="B1608" s="3">
        <v>45624.106539351851</v>
      </c>
      <c r="C1608" s="2" t="s">
        <v>693</v>
      </c>
      <c r="D1608" s="2" t="s">
        <v>119</v>
      </c>
      <c r="E1608" s="2" t="s">
        <v>104</v>
      </c>
      <c r="F1608" s="2">
        <v>30000</v>
      </c>
      <c r="G1608" s="2">
        <v>5</v>
      </c>
      <c r="H1608" s="2">
        <v>10</v>
      </c>
      <c r="I1608">
        <f t="shared" si="125"/>
        <v>150000</v>
      </c>
      <c r="J1608">
        <f t="shared" si="126"/>
        <v>15000</v>
      </c>
      <c r="K1608" s="6">
        <f t="shared" si="127"/>
        <v>135000</v>
      </c>
      <c r="L1608" s="2">
        <v>0</v>
      </c>
      <c r="M1608" s="6">
        <f>Table1[[#This Row],[Total Sales]]+Table1[[#This Row],[Shipping Fee]]</f>
        <v>135000</v>
      </c>
      <c r="N1608" s="2" t="s">
        <v>29</v>
      </c>
      <c r="O1608" t="str">
        <f>VLOOKUP(Table1[[#This Row],[Order ID]],Status!A:B, 2,FALSE)</f>
        <v>Returned</v>
      </c>
      <c r="P1608" s="2" t="s">
        <v>23</v>
      </c>
      <c r="Q1608" s="2">
        <v>1</v>
      </c>
      <c r="R1608" s="2" t="s">
        <v>24</v>
      </c>
      <c r="S1608" s="11" t="str">
        <f t="shared" si="128"/>
        <v>Rendah</v>
      </c>
      <c r="T1608" s="2" t="str">
        <f t="shared" si="129"/>
        <v>Normal</v>
      </c>
    </row>
    <row r="1609" spans="1:20" ht="15.75" customHeight="1" x14ac:dyDescent="0.3">
      <c r="A1609" s="4" t="s">
        <v>692</v>
      </c>
      <c r="B1609" s="3">
        <v>45624.106539351851</v>
      </c>
      <c r="C1609" s="2" t="s">
        <v>693</v>
      </c>
      <c r="D1609" s="2" t="s">
        <v>119</v>
      </c>
      <c r="E1609" s="2" t="s">
        <v>28</v>
      </c>
      <c r="F1609" s="2">
        <v>5000</v>
      </c>
      <c r="G1609" s="2">
        <v>1</v>
      </c>
      <c r="H1609" s="2">
        <v>20</v>
      </c>
      <c r="I1609">
        <f t="shared" si="125"/>
        <v>5000</v>
      </c>
      <c r="J1609">
        <f t="shared" si="126"/>
        <v>1000</v>
      </c>
      <c r="K1609" s="6">
        <f t="shared" si="127"/>
        <v>4000</v>
      </c>
      <c r="L1609" s="2">
        <v>0</v>
      </c>
      <c r="M1609" s="6">
        <f>Table1[[#This Row],[Total Sales]]+Table1[[#This Row],[Shipping Fee]]</f>
        <v>4000</v>
      </c>
      <c r="N1609" s="2" t="s">
        <v>29</v>
      </c>
      <c r="O1609" t="str">
        <f>VLOOKUP(Table1[[#This Row],[Order ID]],Status!A:B, 2,FALSE)</f>
        <v>Returned</v>
      </c>
      <c r="P1609" s="2" t="s">
        <v>23</v>
      </c>
      <c r="Q1609" s="2">
        <v>1</v>
      </c>
      <c r="R1609" s="2" t="s">
        <v>24</v>
      </c>
      <c r="S1609" s="11" t="str">
        <f t="shared" si="128"/>
        <v>Rendah</v>
      </c>
      <c r="T1609" s="2" t="str">
        <f t="shared" si="129"/>
        <v>Sangat Rendah</v>
      </c>
    </row>
    <row r="1610" spans="1:20" ht="15.75" customHeight="1" x14ac:dyDescent="0.3">
      <c r="A1610" s="4" t="s">
        <v>691</v>
      </c>
      <c r="B1610" s="3">
        <v>45623.93167824074</v>
      </c>
      <c r="C1610" s="2" t="s">
        <v>681</v>
      </c>
      <c r="D1610" s="2" t="s">
        <v>262</v>
      </c>
      <c r="E1610" s="2" t="s">
        <v>186</v>
      </c>
      <c r="F1610" s="2">
        <v>45000</v>
      </c>
      <c r="G1610" s="2">
        <v>2</v>
      </c>
      <c r="H1610" s="2">
        <v>5</v>
      </c>
      <c r="I1610">
        <f t="shared" si="125"/>
        <v>90000</v>
      </c>
      <c r="J1610">
        <f t="shared" si="126"/>
        <v>4500</v>
      </c>
      <c r="K1610" s="6">
        <f t="shared" si="127"/>
        <v>85500</v>
      </c>
      <c r="L1610" s="2">
        <v>18000</v>
      </c>
      <c r="M1610" s="6">
        <f>Table1[[#This Row],[Total Sales]]+Table1[[#This Row],[Shipping Fee]]</f>
        <v>103500</v>
      </c>
      <c r="N1610" s="2" t="s">
        <v>63</v>
      </c>
      <c r="O1610" t="str">
        <f>VLOOKUP(Table1[[#This Row],[Order ID]],Status!A:B, 2,FALSE)</f>
        <v>Completed</v>
      </c>
      <c r="P1610" s="2" t="s">
        <v>23</v>
      </c>
      <c r="Q1610" s="2">
        <v>4</v>
      </c>
      <c r="R1610" s="2" t="s">
        <v>24</v>
      </c>
      <c r="S1610" s="11" t="str">
        <f t="shared" si="128"/>
        <v>Bagus</v>
      </c>
      <c r="T1610" s="2" t="str">
        <f t="shared" si="129"/>
        <v>Sangat Rendah</v>
      </c>
    </row>
    <row r="1611" spans="1:20" ht="15.75" customHeight="1" x14ac:dyDescent="0.3">
      <c r="A1611" s="4" t="s">
        <v>689</v>
      </c>
      <c r="B1611" s="3">
        <v>45623.852164351847</v>
      </c>
      <c r="C1611" s="2" t="s">
        <v>690</v>
      </c>
      <c r="D1611" s="2" t="s">
        <v>173</v>
      </c>
      <c r="E1611" s="2" t="s">
        <v>88</v>
      </c>
      <c r="F1611" s="2">
        <v>14000</v>
      </c>
      <c r="G1611" s="2">
        <v>2</v>
      </c>
      <c r="H1611" s="2">
        <v>20</v>
      </c>
      <c r="I1611">
        <f t="shared" si="125"/>
        <v>28000</v>
      </c>
      <c r="J1611">
        <f t="shared" si="126"/>
        <v>5600</v>
      </c>
      <c r="K1611" s="6">
        <f t="shared" si="127"/>
        <v>22400</v>
      </c>
      <c r="L1611" s="2">
        <v>49000</v>
      </c>
      <c r="M1611" s="6">
        <f>Table1[[#This Row],[Total Sales]]+Table1[[#This Row],[Shipping Fee]]</f>
        <v>71400</v>
      </c>
      <c r="N1611" s="2" t="s">
        <v>22</v>
      </c>
      <c r="O1611" t="str">
        <f>VLOOKUP(Table1[[#This Row],[Order ID]],Status!A:B, 2,FALSE)</f>
        <v>Returned</v>
      </c>
      <c r="P1611" s="2" t="s">
        <v>30</v>
      </c>
      <c r="Q1611" s="2">
        <v>3</v>
      </c>
      <c r="R1611" s="2" t="s">
        <v>37</v>
      </c>
      <c r="S1611" s="11" t="str">
        <f t="shared" si="128"/>
        <v>Standar</v>
      </c>
      <c r="T1611" s="2" t="str">
        <f t="shared" si="129"/>
        <v>Rendah</v>
      </c>
    </row>
    <row r="1612" spans="1:20" ht="15.75" customHeight="1" x14ac:dyDescent="0.3">
      <c r="A1612" s="4" t="s">
        <v>687</v>
      </c>
      <c r="B1612" s="3">
        <v>45623.647187499999</v>
      </c>
      <c r="C1612" s="2" t="s">
        <v>688</v>
      </c>
      <c r="D1612" s="2" t="s">
        <v>92</v>
      </c>
      <c r="E1612" s="2" t="s">
        <v>81</v>
      </c>
      <c r="F1612" s="2">
        <v>17000</v>
      </c>
      <c r="G1612" s="2">
        <v>2</v>
      </c>
      <c r="H1612" s="2">
        <v>20</v>
      </c>
      <c r="I1612">
        <f t="shared" si="125"/>
        <v>34000</v>
      </c>
      <c r="J1612">
        <f t="shared" si="126"/>
        <v>6800</v>
      </c>
      <c r="K1612" s="6">
        <f t="shared" si="127"/>
        <v>27200</v>
      </c>
      <c r="L1612" s="2">
        <v>30000</v>
      </c>
      <c r="M1612" s="6">
        <f>Table1[[#This Row],[Total Sales]]+Table1[[#This Row],[Shipping Fee]]</f>
        <v>57200</v>
      </c>
      <c r="N1612" s="2" t="s">
        <v>22</v>
      </c>
      <c r="O1612" t="str">
        <f>VLOOKUP(Table1[[#This Row],[Order ID]],Status!A:B, 2,FALSE)</f>
        <v>Completed</v>
      </c>
      <c r="P1612" s="2" t="s">
        <v>82</v>
      </c>
      <c r="Q1612" s="2">
        <v>3</v>
      </c>
      <c r="R1612" s="2" t="s">
        <v>24</v>
      </c>
      <c r="S1612" s="11" t="str">
        <f t="shared" si="128"/>
        <v>Standar</v>
      </c>
      <c r="T1612" s="2" t="str">
        <f t="shared" si="129"/>
        <v>Rendah</v>
      </c>
    </row>
    <row r="1613" spans="1:20" ht="15.75" customHeight="1" x14ac:dyDescent="0.3">
      <c r="A1613" s="4" t="s">
        <v>686</v>
      </c>
      <c r="B1613" s="3">
        <v>45623.603171296287</v>
      </c>
      <c r="C1613" s="2" t="s">
        <v>479</v>
      </c>
      <c r="D1613" s="2" t="s">
        <v>107</v>
      </c>
      <c r="E1613" s="2" t="s">
        <v>34</v>
      </c>
      <c r="F1613" s="2">
        <v>16000</v>
      </c>
      <c r="G1613" s="2">
        <v>4</v>
      </c>
      <c r="H1613" s="2">
        <v>0</v>
      </c>
      <c r="I1613">
        <f t="shared" si="125"/>
        <v>64000</v>
      </c>
      <c r="J1613">
        <f t="shared" si="126"/>
        <v>0</v>
      </c>
      <c r="K1613" s="6">
        <f t="shared" si="127"/>
        <v>64000</v>
      </c>
      <c r="L1613" s="2">
        <v>97000</v>
      </c>
      <c r="M1613" s="6">
        <f>Table1[[#This Row],[Total Sales]]+Table1[[#This Row],[Shipping Fee]]</f>
        <v>161000</v>
      </c>
      <c r="N1613" s="2" t="s">
        <v>63</v>
      </c>
      <c r="O1613" t="str">
        <f>VLOOKUP(Table1[[#This Row],[Order ID]],Status!A:B, 2,FALSE)</f>
        <v>Cancelled</v>
      </c>
      <c r="P1613" s="2" t="s">
        <v>82</v>
      </c>
      <c r="Q1613" s="2">
        <v>2</v>
      </c>
      <c r="R1613" s="2" t="s">
        <v>37</v>
      </c>
      <c r="S1613" s="11" t="str">
        <f t="shared" si="128"/>
        <v>Rendah</v>
      </c>
      <c r="T1613" s="2" t="str">
        <f t="shared" si="129"/>
        <v>Sangat Rendah</v>
      </c>
    </row>
    <row r="1614" spans="1:20" ht="15.75" customHeight="1" x14ac:dyDescent="0.3">
      <c r="A1614" s="4" t="s">
        <v>685</v>
      </c>
      <c r="B1614" s="3">
        <v>45623.495648148149</v>
      </c>
      <c r="C1614" s="2" t="s">
        <v>495</v>
      </c>
      <c r="D1614" s="2" t="s">
        <v>44</v>
      </c>
      <c r="E1614" s="2" t="s">
        <v>21</v>
      </c>
      <c r="F1614" s="2">
        <v>45000</v>
      </c>
      <c r="G1614" s="2">
        <v>2</v>
      </c>
      <c r="H1614" s="2">
        <v>20</v>
      </c>
      <c r="I1614">
        <f t="shared" si="125"/>
        <v>90000</v>
      </c>
      <c r="J1614">
        <f t="shared" si="126"/>
        <v>18000</v>
      </c>
      <c r="K1614" s="6">
        <f t="shared" si="127"/>
        <v>72000</v>
      </c>
      <c r="L1614" s="2">
        <v>93000</v>
      </c>
      <c r="M1614" s="6">
        <f>Table1[[#This Row],[Total Sales]]+Table1[[#This Row],[Shipping Fee]]</f>
        <v>165000</v>
      </c>
      <c r="N1614" s="2" t="s">
        <v>35</v>
      </c>
      <c r="O1614" t="str">
        <f>VLOOKUP(Table1[[#This Row],[Order ID]],Status!A:B, 2,FALSE)</f>
        <v>Completed</v>
      </c>
      <c r="P1614" s="2" t="s">
        <v>36</v>
      </c>
      <c r="Q1614" s="2">
        <v>3</v>
      </c>
      <c r="R1614" s="2" t="s">
        <v>37</v>
      </c>
      <c r="S1614" s="11" t="str">
        <f t="shared" si="128"/>
        <v>Standar</v>
      </c>
      <c r="T1614" s="2" t="str">
        <f t="shared" si="129"/>
        <v>Normal</v>
      </c>
    </row>
    <row r="1615" spans="1:20" ht="15.75" customHeight="1" x14ac:dyDescent="0.3">
      <c r="A1615" s="4" t="s">
        <v>684</v>
      </c>
      <c r="B1615" s="3">
        <v>45623.428807870368</v>
      </c>
      <c r="C1615" s="2" t="s">
        <v>402</v>
      </c>
      <c r="D1615" s="2" t="s">
        <v>163</v>
      </c>
      <c r="E1615" s="2" t="s">
        <v>81</v>
      </c>
      <c r="F1615" s="2">
        <v>17000</v>
      </c>
      <c r="G1615" s="2">
        <v>2</v>
      </c>
      <c r="H1615" s="2">
        <v>15</v>
      </c>
      <c r="I1615">
        <f t="shared" si="125"/>
        <v>34000</v>
      </c>
      <c r="J1615">
        <f t="shared" si="126"/>
        <v>5100</v>
      </c>
      <c r="K1615" s="6">
        <f t="shared" si="127"/>
        <v>28900</v>
      </c>
      <c r="L1615" s="2">
        <v>50000</v>
      </c>
      <c r="M1615" s="6">
        <f>Table1[[#This Row],[Total Sales]]+Table1[[#This Row],[Shipping Fee]]</f>
        <v>78900</v>
      </c>
      <c r="N1615" s="2" t="s">
        <v>35</v>
      </c>
      <c r="O1615" t="str">
        <f>VLOOKUP(Table1[[#This Row],[Order ID]],Status!A:B, 2,FALSE)</f>
        <v>Completed</v>
      </c>
      <c r="P1615" s="2" t="s">
        <v>82</v>
      </c>
      <c r="Q1615" s="2">
        <v>3</v>
      </c>
      <c r="R1615" s="2" t="s">
        <v>24</v>
      </c>
      <c r="S1615" s="11" t="str">
        <f t="shared" si="128"/>
        <v>Standar</v>
      </c>
      <c r="T1615" s="2" t="str">
        <f t="shared" si="129"/>
        <v>Rendah</v>
      </c>
    </row>
    <row r="1616" spans="1:20" ht="15.75" customHeight="1" x14ac:dyDescent="0.3">
      <c r="A1616" s="4" t="s">
        <v>682</v>
      </c>
      <c r="B1616" s="3">
        <v>45623.118333333332</v>
      </c>
      <c r="C1616" s="2" t="s">
        <v>683</v>
      </c>
      <c r="D1616" s="2" t="s">
        <v>27</v>
      </c>
      <c r="E1616" s="2" t="s">
        <v>186</v>
      </c>
      <c r="F1616" s="2">
        <v>45000</v>
      </c>
      <c r="G1616" s="2">
        <v>5</v>
      </c>
      <c r="H1616" s="2">
        <v>15</v>
      </c>
      <c r="I1616">
        <f t="shared" si="125"/>
        <v>225000</v>
      </c>
      <c r="J1616">
        <f t="shared" si="126"/>
        <v>33750</v>
      </c>
      <c r="K1616" s="6">
        <f t="shared" si="127"/>
        <v>191250</v>
      </c>
      <c r="L1616" s="2">
        <v>17000</v>
      </c>
      <c r="M1616" s="6">
        <f>Table1[[#This Row],[Total Sales]]+Table1[[#This Row],[Shipping Fee]]</f>
        <v>208250</v>
      </c>
      <c r="N1616" s="2" t="s">
        <v>35</v>
      </c>
      <c r="O1616" t="str">
        <f>VLOOKUP(Table1[[#This Row],[Order ID]],Status!A:B, 2,FALSE)</f>
        <v>Returned</v>
      </c>
      <c r="P1616" s="2" t="s">
        <v>30</v>
      </c>
      <c r="Q1616" s="2">
        <v>1</v>
      </c>
      <c r="R1616" s="2" t="s">
        <v>37</v>
      </c>
      <c r="S1616" s="11" t="str">
        <f t="shared" si="128"/>
        <v>Rendah</v>
      </c>
      <c r="T1616" s="2" t="str">
        <f t="shared" si="129"/>
        <v>Tinggi</v>
      </c>
    </row>
    <row r="1617" spans="1:20" ht="15.75" customHeight="1" x14ac:dyDescent="0.3">
      <c r="A1617" s="4" t="s">
        <v>680</v>
      </c>
      <c r="B1617" s="3">
        <v>45622.824826388889</v>
      </c>
      <c r="C1617" s="2" t="s">
        <v>681</v>
      </c>
      <c r="D1617" s="2" t="s">
        <v>262</v>
      </c>
      <c r="E1617" s="2" t="s">
        <v>34</v>
      </c>
      <c r="F1617" s="2">
        <v>16000</v>
      </c>
      <c r="G1617" s="2">
        <v>5</v>
      </c>
      <c r="H1617" s="2">
        <v>5</v>
      </c>
      <c r="I1617">
        <f t="shared" si="125"/>
        <v>80000</v>
      </c>
      <c r="J1617">
        <f t="shared" si="126"/>
        <v>4000</v>
      </c>
      <c r="K1617" s="6">
        <f t="shared" si="127"/>
        <v>76000</v>
      </c>
      <c r="L1617" s="2">
        <v>18000</v>
      </c>
      <c r="M1617" s="6">
        <f>Table1[[#This Row],[Total Sales]]+Table1[[#This Row],[Shipping Fee]]</f>
        <v>94000</v>
      </c>
      <c r="N1617" s="2" t="s">
        <v>35</v>
      </c>
      <c r="O1617" t="str">
        <f>VLOOKUP(Table1[[#This Row],[Order ID]],Status!A:B, 2,FALSE)</f>
        <v>Completed</v>
      </c>
      <c r="P1617" s="2" t="s">
        <v>82</v>
      </c>
      <c r="Q1617" s="2">
        <v>5</v>
      </c>
      <c r="R1617" s="2" t="s">
        <v>24</v>
      </c>
      <c r="S1617" s="11" t="str">
        <f t="shared" si="128"/>
        <v>Bagus</v>
      </c>
      <c r="T1617" s="2" t="str">
        <f t="shared" si="129"/>
        <v>Sangat Rendah</v>
      </c>
    </row>
    <row r="1618" spans="1:20" ht="15.75" customHeight="1" x14ac:dyDescent="0.3">
      <c r="A1618" s="4" t="s">
        <v>679</v>
      </c>
      <c r="B1618" s="3">
        <v>45622.748402777783</v>
      </c>
      <c r="C1618" s="2" t="s">
        <v>112</v>
      </c>
      <c r="D1618" s="2" t="s">
        <v>113</v>
      </c>
      <c r="E1618" s="2" t="s">
        <v>75</v>
      </c>
      <c r="F1618" s="2">
        <v>55000</v>
      </c>
      <c r="G1618" s="2">
        <v>4</v>
      </c>
      <c r="H1618" s="2">
        <v>10</v>
      </c>
      <c r="I1618">
        <f t="shared" si="125"/>
        <v>220000</v>
      </c>
      <c r="J1618">
        <f t="shared" si="126"/>
        <v>22000</v>
      </c>
      <c r="K1618" s="6">
        <f t="shared" si="127"/>
        <v>198000</v>
      </c>
      <c r="L1618" s="2">
        <v>18000</v>
      </c>
      <c r="M1618" s="6">
        <f>Table1[[#This Row],[Total Sales]]+Table1[[#This Row],[Shipping Fee]]</f>
        <v>216000</v>
      </c>
      <c r="N1618" s="2" t="s">
        <v>35</v>
      </c>
      <c r="O1618" t="str">
        <f>VLOOKUP(Table1[[#This Row],[Order ID]],Status!A:B, 2,FALSE)</f>
        <v>Completed</v>
      </c>
      <c r="P1618" s="2" t="s">
        <v>30</v>
      </c>
      <c r="Q1618" s="2">
        <v>2</v>
      </c>
      <c r="R1618" s="2" t="s">
        <v>24</v>
      </c>
      <c r="S1618" s="11" t="str">
        <f t="shared" si="128"/>
        <v>Rendah</v>
      </c>
      <c r="T1618" s="2" t="str">
        <f t="shared" si="129"/>
        <v>Tinggi</v>
      </c>
    </row>
    <row r="1619" spans="1:20" ht="15.75" customHeight="1" x14ac:dyDescent="0.3">
      <c r="A1619" s="4" t="s">
        <v>678</v>
      </c>
      <c r="B1619" s="3">
        <v>45622.683680555558</v>
      </c>
      <c r="C1619" s="2" t="s">
        <v>601</v>
      </c>
      <c r="D1619" s="2" t="s">
        <v>119</v>
      </c>
      <c r="E1619" s="2" t="s">
        <v>75</v>
      </c>
      <c r="F1619" s="2">
        <v>55000</v>
      </c>
      <c r="G1619" s="2">
        <v>2</v>
      </c>
      <c r="H1619" s="2">
        <v>10</v>
      </c>
      <c r="I1619">
        <f t="shared" si="125"/>
        <v>110000</v>
      </c>
      <c r="J1619">
        <f t="shared" si="126"/>
        <v>11000</v>
      </c>
      <c r="K1619" s="6">
        <f t="shared" si="127"/>
        <v>99000</v>
      </c>
      <c r="L1619" s="2">
        <v>0</v>
      </c>
      <c r="M1619" s="6">
        <f>Table1[[#This Row],[Total Sales]]+Table1[[#This Row],[Shipping Fee]]</f>
        <v>99000</v>
      </c>
      <c r="N1619" s="2" t="s">
        <v>35</v>
      </c>
      <c r="O1619" t="str">
        <f>VLOOKUP(Table1[[#This Row],[Order ID]],Status!A:B, 2,FALSE)</f>
        <v>Completed</v>
      </c>
      <c r="P1619" s="2" t="s">
        <v>30</v>
      </c>
      <c r="Q1619" s="2">
        <v>4</v>
      </c>
      <c r="R1619" s="2" t="s">
        <v>24</v>
      </c>
      <c r="S1619" s="11" t="str">
        <f t="shared" si="128"/>
        <v>Bagus</v>
      </c>
      <c r="T1619" s="2" t="str">
        <f t="shared" si="129"/>
        <v>Normal</v>
      </c>
    </row>
    <row r="1620" spans="1:20" ht="15.75" customHeight="1" x14ac:dyDescent="0.3">
      <c r="A1620" s="4" t="s">
        <v>677</v>
      </c>
      <c r="B1620" s="3">
        <v>45622.663969907408</v>
      </c>
      <c r="C1620" s="2" t="s">
        <v>402</v>
      </c>
      <c r="D1620" s="2" t="s">
        <v>163</v>
      </c>
      <c r="E1620" s="2" t="s">
        <v>144</v>
      </c>
      <c r="F1620" s="2">
        <v>18000</v>
      </c>
      <c r="G1620" s="2">
        <v>1</v>
      </c>
      <c r="H1620" s="2">
        <v>15</v>
      </c>
      <c r="I1620">
        <f t="shared" si="125"/>
        <v>18000</v>
      </c>
      <c r="J1620">
        <f t="shared" si="126"/>
        <v>2700</v>
      </c>
      <c r="K1620" s="6">
        <f t="shared" si="127"/>
        <v>15300</v>
      </c>
      <c r="L1620" s="2">
        <v>50000</v>
      </c>
      <c r="M1620" s="6">
        <f>Table1[[#This Row],[Total Sales]]+Table1[[#This Row],[Shipping Fee]]</f>
        <v>65300</v>
      </c>
      <c r="N1620" s="2" t="s">
        <v>63</v>
      </c>
      <c r="O1620" t="str">
        <f>VLOOKUP(Table1[[#This Row],[Order ID]],Status!A:B, 2,FALSE)</f>
        <v>Completed</v>
      </c>
      <c r="P1620" s="2" t="s">
        <v>82</v>
      </c>
      <c r="Q1620" s="2">
        <v>4</v>
      </c>
      <c r="R1620" s="2" t="s">
        <v>24</v>
      </c>
      <c r="S1620" s="11" t="str">
        <f t="shared" si="128"/>
        <v>Bagus</v>
      </c>
      <c r="T1620" s="2" t="str">
        <f t="shared" si="129"/>
        <v>Sangat Rendah</v>
      </c>
    </row>
    <row r="1621" spans="1:20" ht="15.75" customHeight="1" x14ac:dyDescent="0.3">
      <c r="A1621" s="4" t="s">
        <v>676</v>
      </c>
      <c r="B1621" s="3">
        <v>45622.655358796299</v>
      </c>
      <c r="C1621" s="2" t="s">
        <v>342</v>
      </c>
      <c r="D1621" s="2" t="s">
        <v>131</v>
      </c>
      <c r="E1621" s="2" t="s">
        <v>41</v>
      </c>
      <c r="F1621" s="2">
        <v>4000</v>
      </c>
      <c r="G1621" s="2">
        <v>4</v>
      </c>
      <c r="H1621" s="2">
        <v>20</v>
      </c>
      <c r="I1621">
        <f t="shared" si="125"/>
        <v>16000</v>
      </c>
      <c r="J1621">
        <f t="shared" si="126"/>
        <v>3200</v>
      </c>
      <c r="K1621" s="6">
        <f t="shared" si="127"/>
        <v>12800</v>
      </c>
      <c r="L1621" s="2">
        <v>59000</v>
      </c>
      <c r="M1621" s="6">
        <f>Table1[[#This Row],[Total Sales]]+Table1[[#This Row],[Shipping Fee]]</f>
        <v>71800</v>
      </c>
      <c r="N1621" s="2" t="s">
        <v>22</v>
      </c>
      <c r="O1621" t="str">
        <f>VLOOKUP(Table1[[#This Row],[Order ID]],Status!A:B, 2,FALSE)</f>
        <v>Completed</v>
      </c>
      <c r="P1621" s="2" t="s">
        <v>23</v>
      </c>
      <c r="Q1621" s="2">
        <v>5</v>
      </c>
      <c r="R1621" s="2" t="s">
        <v>37</v>
      </c>
      <c r="S1621" s="11" t="str">
        <f t="shared" si="128"/>
        <v>Bagus</v>
      </c>
      <c r="T1621" s="2" t="str">
        <f t="shared" si="129"/>
        <v>Sangat Rendah</v>
      </c>
    </row>
    <row r="1622" spans="1:20" ht="15.75" customHeight="1" x14ac:dyDescent="0.3">
      <c r="A1622" s="4" t="s">
        <v>675</v>
      </c>
      <c r="B1622" s="3">
        <v>45622.427384259259</v>
      </c>
      <c r="C1622" s="2" t="s">
        <v>429</v>
      </c>
      <c r="D1622" s="2" t="s">
        <v>177</v>
      </c>
      <c r="E1622" s="2" t="s">
        <v>138</v>
      </c>
      <c r="F1622" s="2">
        <v>17000</v>
      </c>
      <c r="G1622" s="2">
        <v>2</v>
      </c>
      <c r="H1622" s="2">
        <v>15</v>
      </c>
      <c r="I1622">
        <f t="shared" si="125"/>
        <v>34000</v>
      </c>
      <c r="J1622">
        <f t="shared" si="126"/>
        <v>5100</v>
      </c>
      <c r="K1622" s="6">
        <f t="shared" si="127"/>
        <v>28900</v>
      </c>
      <c r="L1622" s="2">
        <v>56000</v>
      </c>
      <c r="M1622" s="6">
        <f>Table1[[#This Row],[Total Sales]]+Table1[[#This Row],[Shipping Fee]]</f>
        <v>84900</v>
      </c>
      <c r="N1622" s="2" t="s">
        <v>35</v>
      </c>
      <c r="O1622" t="str">
        <f>VLOOKUP(Table1[[#This Row],[Order ID]],Status!A:B, 2,FALSE)</f>
        <v>Returned</v>
      </c>
      <c r="P1622" s="2" t="s">
        <v>36</v>
      </c>
      <c r="Q1622" s="2">
        <v>3</v>
      </c>
      <c r="R1622" s="2" t="s">
        <v>37</v>
      </c>
      <c r="S1622" s="11" t="str">
        <f t="shared" si="128"/>
        <v>Standar</v>
      </c>
      <c r="T1622" s="2" t="str">
        <f t="shared" si="129"/>
        <v>Rendah</v>
      </c>
    </row>
    <row r="1623" spans="1:20" ht="15.75" customHeight="1" x14ac:dyDescent="0.3">
      <c r="A1623" s="4" t="s">
        <v>674</v>
      </c>
      <c r="B1623" s="3">
        <v>45622.37572916667</v>
      </c>
      <c r="C1623" s="2" t="s">
        <v>520</v>
      </c>
      <c r="D1623" s="2" t="s">
        <v>103</v>
      </c>
      <c r="E1623" s="2" t="s">
        <v>34</v>
      </c>
      <c r="F1623" s="2">
        <v>16000</v>
      </c>
      <c r="G1623" s="2">
        <v>3</v>
      </c>
      <c r="H1623" s="2">
        <v>0</v>
      </c>
      <c r="I1623">
        <f t="shared" si="125"/>
        <v>48000</v>
      </c>
      <c r="J1623">
        <f t="shared" si="126"/>
        <v>0</v>
      </c>
      <c r="K1623" s="6">
        <f t="shared" si="127"/>
        <v>48000</v>
      </c>
      <c r="L1623" s="2">
        <v>85000</v>
      </c>
      <c r="M1623" s="6">
        <f>Table1[[#This Row],[Total Sales]]+Table1[[#This Row],[Shipping Fee]]</f>
        <v>133000</v>
      </c>
      <c r="N1623" s="2" t="s">
        <v>22</v>
      </c>
      <c r="O1623" t="str">
        <f>VLOOKUP(Table1[[#This Row],[Order ID]],Status!A:B, 2,FALSE)</f>
        <v>Completed</v>
      </c>
      <c r="P1623" s="2" t="s">
        <v>30</v>
      </c>
      <c r="Q1623" s="2">
        <v>5</v>
      </c>
      <c r="R1623" s="2" t="s">
        <v>24</v>
      </c>
      <c r="S1623" s="11" t="str">
        <f t="shared" si="128"/>
        <v>Bagus</v>
      </c>
      <c r="T1623" s="2" t="str">
        <f t="shared" si="129"/>
        <v>Sangat Rendah</v>
      </c>
    </row>
    <row r="1624" spans="1:20" ht="15.75" customHeight="1" x14ac:dyDescent="0.3">
      <c r="A1624" s="4" t="s">
        <v>673</v>
      </c>
      <c r="B1624" s="3">
        <v>45622.118726851862</v>
      </c>
      <c r="C1624" s="2" t="s">
        <v>416</v>
      </c>
      <c r="D1624" s="2" t="s">
        <v>131</v>
      </c>
      <c r="E1624" s="2" t="s">
        <v>190</v>
      </c>
      <c r="F1624" s="2">
        <v>35000</v>
      </c>
      <c r="G1624" s="2">
        <v>3</v>
      </c>
      <c r="H1624" s="2">
        <v>20</v>
      </c>
      <c r="I1624">
        <f t="shared" si="125"/>
        <v>105000</v>
      </c>
      <c r="J1624">
        <f t="shared" si="126"/>
        <v>21000</v>
      </c>
      <c r="K1624" s="6">
        <f t="shared" si="127"/>
        <v>84000</v>
      </c>
      <c r="L1624" s="2">
        <v>59000</v>
      </c>
      <c r="M1624" s="6">
        <f>Table1[[#This Row],[Total Sales]]+Table1[[#This Row],[Shipping Fee]]</f>
        <v>143000</v>
      </c>
      <c r="N1624" s="2" t="s">
        <v>29</v>
      </c>
      <c r="O1624" t="str">
        <f>VLOOKUP(Table1[[#This Row],[Order ID]],Status!A:B, 2,FALSE)</f>
        <v>Completed</v>
      </c>
      <c r="P1624" s="2" t="s">
        <v>23</v>
      </c>
      <c r="Q1624" s="2">
        <v>3</v>
      </c>
      <c r="R1624" s="2" t="s">
        <v>24</v>
      </c>
      <c r="S1624" s="11" t="str">
        <f t="shared" si="128"/>
        <v>Standar</v>
      </c>
      <c r="T1624" s="2" t="str">
        <f t="shared" si="129"/>
        <v>Tinggi</v>
      </c>
    </row>
    <row r="1625" spans="1:20" ht="15.75" customHeight="1" x14ac:dyDescent="0.3">
      <c r="A1625" s="4" t="s">
        <v>672</v>
      </c>
      <c r="B1625" s="3">
        <v>45622.093738425923</v>
      </c>
      <c r="C1625" s="2" t="s">
        <v>568</v>
      </c>
      <c r="D1625" s="2" t="s">
        <v>435</v>
      </c>
      <c r="E1625" s="2" t="s">
        <v>123</v>
      </c>
      <c r="F1625" s="2">
        <v>22000</v>
      </c>
      <c r="G1625" s="2">
        <v>3</v>
      </c>
      <c r="H1625" s="2">
        <v>15</v>
      </c>
      <c r="I1625">
        <f t="shared" si="125"/>
        <v>66000</v>
      </c>
      <c r="J1625">
        <f t="shared" si="126"/>
        <v>9900</v>
      </c>
      <c r="K1625" s="6">
        <f t="shared" si="127"/>
        <v>56100</v>
      </c>
      <c r="L1625" s="2">
        <v>67000</v>
      </c>
      <c r="M1625" s="6">
        <f>Table1[[#This Row],[Total Sales]]+Table1[[#This Row],[Shipping Fee]]</f>
        <v>123100</v>
      </c>
      <c r="N1625" s="2" t="s">
        <v>29</v>
      </c>
      <c r="O1625" t="str">
        <f>VLOOKUP(Table1[[#This Row],[Order ID]],Status!A:B, 2,FALSE)</f>
        <v>Completed</v>
      </c>
      <c r="P1625" s="2" t="s">
        <v>82</v>
      </c>
      <c r="Q1625" s="2">
        <v>4</v>
      </c>
      <c r="R1625" s="2" t="s">
        <v>24</v>
      </c>
      <c r="S1625" s="11" t="str">
        <f t="shared" si="128"/>
        <v>Bagus</v>
      </c>
      <c r="T1625" s="2" t="str">
        <f t="shared" si="129"/>
        <v>Rendah</v>
      </c>
    </row>
    <row r="1626" spans="1:20" ht="15.75" customHeight="1" x14ac:dyDescent="0.3">
      <c r="A1626" s="4" t="s">
        <v>672</v>
      </c>
      <c r="B1626" s="3">
        <v>45622.093738425923</v>
      </c>
      <c r="C1626" s="2" t="s">
        <v>568</v>
      </c>
      <c r="D1626" s="2" t="s">
        <v>435</v>
      </c>
      <c r="E1626" s="2" t="s">
        <v>190</v>
      </c>
      <c r="F1626" s="2">
        <v>35000</v>
      </c>
      <c r="G1626" s="2">
        <v>1</v>
      </c>
      <c r="H1626" s="2">
        <v>20</v>
      </c>
      <c r="I1626">
        <f t="shared" si="125"/>
        <v>35000</v>
      </c>
      <c r="J1626">
        <f t="shared" si="126"/>
        <v>7000</v>
      </c>
      <c r="K1626" s="6">
        <f t="shared" si="127"/>
        <v>28000</v>
      </c>
      <c r="L1626" s="2">
        <v>0</v>
      </c>
      <c r="M1626" s="6">
        <f>Table1[[#This Row],[Total Sales]]+Table1[[#This Row],[Shipping Fee]]</f>
        <v>28000</v>
      </c>
      <c r="N1626" s="2" t="s">
        <v>29</v>
      </c>
      <c r="O1626" t="str">
        <f>VLOOKUP(Table1[[#This Row],[Order ID]],Status!A:B, 2,FALSE)</f>
        <v>Completed</v>
      </c>
      <c r="P1626" s="2" t="s">
        <v>82</v>
      </c>
      <c r="Q1626" s="2">
        <v>4</v>
      </c>
      <c r="R1626" s="2" t="s">
        <v>24</v>
      </c>
      <c r="S1626" s="11" t="str">
        <f t="shared" si="128"/>
        <v>Bagus</v>
      </c>
      <c r="T1626" s="2" t="str">
        <f t="shared" si="129"/>
        <v>Rendah</v>
      </c>
    </row>
    <row r="1627" spans="1:20" ht="15.75" customHeight="1" x14ac:dyDescent="0.3">
      <c r="A1627" s="4" t="s">
        <v>670</v>
      </c>
      <c r="B1627" s="3">
        <v>45621.71665509259</v>
      </c>
      <c r="C1627" s="2" t="s">
        <v>671</v>
      </c>
      <c r="D1627" s="2" t="s">
        <v>160</v>
      </c>
      <c r="E1627" s="2" t="s">
        <v>58</v>
      </c>
      <c r="F1627" s="2">
        <v>16000</v>
      </c>
      <c r="G1627" s="2">
        <v>5</v>
      </c>
      <c r="H1627" s="2">
        <v>0</v>
      </c>
      <c r="I1627">
        <f t="shared" si="125"/>
        <v>80000</v>
      </c>
      <c r="J1627">
        <f t="shared" si="126"/>
        <v>0</v>
      </c>
      <c r="K1627" s="6">
        <f t="shared" si="127"/>
        <v>80000</v>
      </c>
      <c r="L1627" s="2">
        <v>68000</v>
      </c>
      <c r="M1627" s="6">
        <f>Table1[[#This Row],[Total Sales]]+Table1[[#This Row],[Shipping Fee]]</f>
        <v>148000</v>
      </c>
      <c r="N1627" s="2" t="s">
        <v>35</v>
      </c>
      <c r="O1627" t="str">
        <f>VLOOKUP(Table1[[#This Row],[Order ID]],Status!A:B, 2,FALSE)</f>
        <v>Returned</v>
      </c>
      <c r="P1627" s="2" t="s">
        <v>36</v>
      </c>
      <c r="Q1627" s="2">
        <v>2</v>
      </c>
      <c r="R1627" s="2" t="s">
        <v>24</v>
      </c>
      <c r="S1627" s="11" t="str">
        <f t="shared" si="128"/>
        <v>Rendah</v>
      </c>
      <c r="T1627" s="2" t="str">
        <f t="shared" si="129"/>
        <v>Sangat Rendah</v>
      </c>
    </row>
    <row r="1628" spans="1:20" ht="15.75" customHeight="1" x14ac:dyDescent="0.3">
      <c r="A1628" s="4" t="s">
        <v>668</v>
      </c>
      <c r="B1628" s="3">
        <v>45621.628136574072</v>
      </c>
      <c r="C1628" s="2" t="s">
        <v>669</v>
      </c>
      <c r="D1628" s="2" t="s">
        <v>151</v>
      </c>
      <c r="E1628" s="2" t="s">
        <v>62</v>
      </c>
      <c r="F1628" s="2">
        <v>50000</v>
      </c>
      <c r="G1628" s="2">
        <v>4</v>
      </c>
      <c r="H1628" s="2">
        <v>5</v>
      </c>
      <c r="I1628">
        <f t="shared" si="125"/>
        <v>200000</v>
      </c>
      <c r="J1628">
        <f t="shared" si="126"/>
        <v>10000</v>
      </c>
      <c r="K1628" s="6">
        <f t="shared" si="127"/>
        <v>190000</v>
      </c>
      <c r="L1628" s="2">
        <v>55000</v>
      </c>
      <c r="M1628" s="6">
        <f>Table1[[#This Row],[Total Sales]]+Table1[[#This Row],[Shipping Fee]]</f>
        <v>245000</v>
      </c>
      <c r="N1628" s="2" t="s">
        <v>29</v>
      </c>
      <c r="O1628" t="str">
        <f>VLOOKUP(Table1[[#This Row],[Order ID]],Status!A:B, 2,FALSE)</f>
        <v>Completed</v>
      </c>
      <c r="P1628" s="2" t="s">
        <v>23</v>
      </c>
      <c r="Q1628" s="2">
        <v>3</v>
      </c>
      <c r="R1628" s="2" t="s">
        <v>24</v>
      </c>
      <c r="S1628" s="11" t="str">
        <f t="shared" si="128"/>
        <v>Standar</v>
      </c>
      <c r="T1628" s="2" t="str">
        <f t="shared" si="129"/>
        <v>Rendah</v>
      </c>
    </row>
    <row r="1629" spans="1:20" ht="15.75" customHeight="1" x14ac:dyDescent="0.3">
      <c r="A1629" s="4" t="s">
        <v>667</v>
      </c>
      <c r="B1629" s="3">
        <v>45621.43341435185</v>
      </c>
      <c r="C1629" s="2" t="s">
        <v>289</v>
      </c>
      <c r="D1629" s="2" t="s">
        <v>20</v>
      </c>
      <c r="E1629" s="2" t="s">
        <v>250</v>
      </c>
      <c r="F1629" s="2">
        <v>18000</v>
      </c>
      <c r="G1629" s="2">
        <v>4</v>
      </c>
      <c r="H1629" s="2">
        <v>15</v>
      </c>
      <c r="I1629">
        <f t="shared" si="125"/>
        <v>72000</v>
      </c>
      <c r="J1629">
        <f t="shared" si="126"/>
        <v>10800</v>
      </c>
      <c r="K1629" s="6">
        <f t="shared" si="127"/>
        <v>61200</v>
      </c>
      <c r="L1629" s="2">
        <v>15000</v>
      </c>
      <c r="M1629" s="6">
        <f>Table1[[#This Row],[Total Sales]]+Table1[[#This Row],[Shipping Fee]]</f>
        <v>76200</v>
      </c>
      <c r="N1629" s="2" t="s">
        <v>29</v>
      </c>
      <c r="O1629" t="str">
        <f>VLOOKUP(Table1[[#This Row],[Order ID]],Status!A:B, 2,FALSE)</f>
        <v>Completed</v>
      </c>
      <c r="P1629" s="2" t="s">
        <v>82</v>
      </c>
      <c r="Q1629" s="2">
        <v>3</v>
      </c>
      <c r="R1629" s="2" t="s">
        <v>24</v>
      </c>
      <c r="S1629" s="11" t="str">
        <f t="shared" si="128"/>
        <v>Standar</v>
      </c>
      <c r="T1629" s="2" t="str">
        <f t="shared" si="129"/>
        <v>Normal</v>
      </c>
    </row>
    <row r="1630" spans="1:20" ht="15.75" customHeight="1" x14ac:dyDescent="0.3">
      <c r="A1630" s="4" t="s">
        <v>665</v>
      </c>
      <c r="B1630" s="3">
        <v>45621.36173611111</v>
      </c>
      <c r="C1630" s="2" t="s">
        <v>666</v>
      </c>
      <c r="D1630" s="2" t="s">
        <v>66</v>
      </c>
      <c r="E1630" s="2" t="s">
        <v>136</v>
      </c>
      <c r="F1630" s="2">
        <v>12000</v>
      </c>
      <c r="G1630" s="2">
        <v>2</v>
      </c>
      <c r="H1630" s="2">
        <v>20</v>
      </c>
      <c r="I1630">
        <f t="shared" si="125"/>
        <v>24000</v>
      </c>
      <c r="J1630">
        <f t="shared" si="126"/>
        <v>4800</v>
      </c>
      <c r="K1630" s="6">
        <f t="shared" si="127"/>
        <v>19200</v>
      </c>
      <c r="L1630" s="2">
        <v>59000</v>
      </c>
      <c r="M1630" s="6">
        <f>Table1[[#This Row],[Total Sales]]+Table1[[#This Row],[Shipping Fee]]</f>
        <v>78200</v>
      </c>
      <c r="N1630" s="2" t="s">
        <v>22</v>
      </c>
      <c r="O1630" t="str">
        <f>VLOOKUP(Table1[[#This Row],[Order ID]],Status!A:B, 2,FALSE)</f>
        <v>Completed</v>
      </c>
      <c r="P1630" s="2" t="s">
        <v>46</v>
      </c>
      <c r="Q1630" s="2">
        <v>1</v>
      </c>
      <c r="R1630" s="2" t="s">
        <v>24</v>
      </c>
      <c r="S1630" s="11" t="str">
        <f t="shared" si="128"/>
        <v>Rendah</v>
      </c>
      <c r="T1630" s="2" t="str">
        <f t="shared" si="129"/>
        <v>Sangat Rendah</v>
      </c>
    </row>
    <row r="1631" spans="1:20" ht="15.75" customHeight="1" x14ac:dyDescent="0.3">
      <c r="A1631" s="4" t="s">
        <v>665</v>
      </c>
      <c r="B1631" s="3">
        <v>45621.36173611111</v>
      </c>
      <c r="C1631" s="2" t="s">
        <v>666</v>
      </c>
      <c r="D1631" s="2" t="s">
        <v>66</v>
      </c>
      <c r="E1631" s="2" t="s">
        <v>50</v>
      </c>
      <c r="F1631" s="2">
        <v>14000</v>
      </c>
      <c r="G1631" s="2">
        <v>4</v>
      </c>
      <c r="H1631" s="2">
        <v>0</v>
      </c>
      <c r="I1631">
        <f t="shared" si="125"/>
        <v>56000</v>
      </c>
      <c r="J1631">
        <f t="shared" si="126"/>
        <v>0</v>
      </c>
      <c r="K1631" s="6">
        <f t="shared" si="127"/>
        <v>56000</v>
      </c>
      <c r="L1631" s="2">
        <v>0</v>
      </c>
      <c r="M1631" s="6">
        <f>Table1[[#This Row],[Total Sales]]+Table1[[#This Row],[Shipping Fee]]</f>
        <v>56000</v>
      </c>
      <c r="N1631" s="2" t="s">
        <v>22</v>
      </c>
      <c r="O1631" t="str">
        <f>VLOOKUP(Table1[[#This Row],[Order ID]],Status!A:B, 2,FALSE)</f>
        <v>Completed</v>
      </c>
      <c r="P1631" s="2" t="s">
        <v>46</v>
      </c>
      <c r="Q1631" s="2">
        <v>1</v>
      </c>
      <c r="R1631" s="2" t="s">
        <v>24</v>
      </c>
      <c r="S1631" s="11" t="str">
        <f t="shared" si="128"/>
        <v>Rendah</v>
      </c>
      <c r="T1631" s="2" t="str">
        <f t="shared" si="129"/>
        <v>Sangat Rendah</v>
      </c>
    </row>
    <row r="1632" spans="1:20" ht="15.75" customHeight="1" x14ac:dyDescent="0.3">
      <c r="A1632" s="4" t="s">
        <v>664</v>
      </c>
      <c r="B1632" s="3">
        <v>45621.266608796293</v>
      </c>
      <c r="C1632" s="2" t="s">
        <v>353</v>
      </c>
      <c r="D1632" s="2" t="s">
        <v>66</v>
      </c>
      <c r="E1632" s="2" t="s">
        <v>71</v>
      </c>
      <c r="F1632" s="2">
        <v>40000</v>
      </c>
      <c r="G1632" s="2">
        <v>5</v>
      </c>
      <c r="H1632" s="2">
        <v>5</v>
      </c>
      <c r="I1632">
        <f t="shared" si="125"/>
        <v>200000</v>
      </c>
      <c r="J1632">
        <f t="shared" si="126"/>
        <v>10000</v>
      </c>
      <c r="K1632" s="6">
        <f t="shared" si="127"/>
        <v>190000</v>
      </c>
      <c r="L1632" s="2">
        <v>59000</v>
      </c>
      <c r="M1632" s="6">
        <f>Table1[[#This Row],[Total Sales]]+Table1[[#This Row],[Shipping Fee]]</f>
        <v>249000</v>
      </c>
      <c r="N1632" s="2" t="s">
        <v>63</v>
      </c>
      <c r="O1632" t="str">
        <f>VLOOKUP(Table1[[#This Row],[Order ID]],Status!A:B, 2,FALSE)</f>
        <v>Completed</v>
      </c>
      <c r="P1632" s="2" t="s">
        <v>82</v>
      </c>
      <c r="Q1632" s="2">
        <v>3</v>
      </c>
      <c r="R1632" s="2" t="s">
        <v>24</v>
      </c>
      <c r="S1632" s="11" t="str">
        <f t="shared" si="128"/>
        <v>Standar</v>
      </c>
      <c r="T1632" s="2" t="str">
        <f t="shared" si="129"/>
        <v>Rendah</v>
      </c>
    </row>
    <row r="1633" spans="1:20" ht="15.75" customHeight="1" x14ac:dyDescent="0.3">
      <c r="A1633" s="4" t="s">
        <v>663</v>
      </c>
      <c r="B1633" s="3">
        <v>45621.116562499999</v>
      </c>
      <c r="C1633" s="2" t="s">
        <v>258</v>
      </c>
      <c r="D1633" s="2" t="s">
        <v>44</v>
      </c>
      <c r="E1633" s="2" t="s">
        <v>54</v>
      </c>
      <c r="F1633" s="2">
        <v>16000</v>
      </c>
      <c r="G1633" s="2">
        <v>2</v>
      </c>
      <c r="H1633" s="2">
        <v>5</v>
      </c>
      <c r="I1633">
        <f t="shared" si="125"/>
        <v>32000</v>
      </c>
      <c r="J1633">
        <f t="shared" si="126"/>
        <v>1600</v>
      </c>
      <c r="K1633" s="6">
        <f t="shared" si="127"/>
        <v>30400</v>
      </c>
      <c r="L1633" s="2">
        <v>93000</v>
      </c>
      <c r="M1633" s="6">
        <f>Table1[[#This Row],[Total Sales]]+Table1[[#This Row],[Shipping Fee]]</f>
        <v>123400</v>
      </c>
      <c r="N1633" s="2" t="s">
        <v>29</v>
      </c>
      <c r="O1633" t="str">
        <f>VLOOKUP(Table1[[#This Row],[Order ID]],Status!A:B, 2,FALSE)</f>
        <v>Returned</v>
      </c>
      <c r="P1633" s="2" t="s">
        <v>46</v>
      </c>
      <c r="Q1633" s="2">
        <v>1</v>
      </c>
      <c r="R1633" s="2" t="s">
        <v>24</v>
      </c>
      <c r="S1633" s="11" t="str">
        <f t="shared" si="128"/>
        <v>Rendah</v>
      </c>
      <c r="T1633" s="2" t="str">
        <f t="shared" si="129"/>
        <v>Sangat Rendah</v>
      </c>
    </row>
    <row r="1634" spans="1:20" ht="15.75" customHeight="1" x14ac:dyDescent="0.3">
      <c r="A1634" s="4" t="s">
        <v>662</v>
      </c>
      <c r="B1634" s="3">
        <v>45620.862060185187</v>
      </c>
      <c r="C1634" s="2" t="s">
        <v>254</v>
      </c>
      <c r="D1634" s="2" t="s">
        <v>61</v>
      </c>
      <c r="E1634" s="2" t="s">
        <v>62</v>
      </c>
      <c r="F1634" s="2">
        <v>50000</v>
      </c>
      <c r="G1634" s="2">
        <v>2</v>
      </c>
      <c r="H1634" s="2">
        <v>15</v>
      </c>
      <c r="I1634">
        <f t="shared" si="125"/>
        <v>100000</v>
      </c>
      <c r="J1634">
        <f t="shared" si="126"/>
        <v>15000</v>
      </c>
      <c r="K1634" s="6">
        <f t="shared" si="127"/>
        <v>85000</v>
      </c>
      <c r="L1634" s="2">
        <v>26000</v>
      </c>
      <c r="M1634" s="6">
        <f>Table1[[#This Row],[Total Sales]]+Table1[[#This Row],[Shipping Fee]]</f>
        <v>111000</v>
      </c>
      <c r="N1634" s="2" t="s">
        <v>29</v>
      </c>
      <c r="O1634" t="str">
        <f>VLOOKUP(Table1[[#This Row],[Order ID]],Status!A:B, 2,FALSE)</f>
        <v>Completed</v>
      </c>
      <c r="P1634" s="2" t="s">
        <v>82</v>
      </c>
      <c r="Q1634" s="2">
        <v>1</v>
      </c>
      <c r="R1634" s="2" t="s">
        <v>24</v>
      </c>
      <c r="S1634" s="11" t="str">
        <f t="shared" si="128"/>
        <v>Rendah</v>
      </c>
      <c r="T1634" s="2" t="str">
        <f t="shared" si="129"/>
        <v>Normal</v>
      </c>
    </row>
    <row r="1635" spans="1:20" ht="15.75" customHeight="1" x14ac:dyDescent="0.3">
      <c r="A1635" s="4" t="s">
        <v>660</v>
      </c>
      <c r="B1635" s="3">
        <v>45620.671018518522</v>
      </c>
      <c r="C1635" s="2" t="s">
        <v>661</v>
      </c>
      <c r="D1635" s="2" t="s">
        <v>49</v>
      </c>
      <c r="E1635" s="2" t="s">
        <v>34</v>
      </c>
      <c r="F1635" s="2">
        <v>16000</v>
      </c>
      <c r="G1635" s="2">
        <v>3</v>
      </c>
      <c r="H1635" s="2">
        <v>5</v>
      </c>
      <c r="I1635">
        <f t="shared" si="125"/>
        <v>48000</v>
      </c>
      <c r="J1635">
        <f t="shared" si="126"/>
        <v>2400</v>
      </c>
      <c r="K1635" s="6">
        <f t="shared" si="127"/>
        <v>45600</v>
      </c>
      <c r="L1635" s="2">
        <v>43000</v>
      </c>
      <c r="M1635" s="6">
        <f>Table1[[#This Row],[Total Sales]]+Table1[[#This Row],[Shipping Fee]]</f>
        <v>88600</v>
      </c>
      <c r="N1635" s="2" t="s">
        <v>22</v>
      </c>
      <c r="O1635" t="str">
        <f>VLOOKUP(Table1[[#This Row],[Order ID]],Status!A:B, 2,FALSE)</f>
        <v>Completed</v>
      </c>
      <c r="P1635" s="2" t="s">
        <v>36</v>
      </c>
      <c r="Q1635" s="2">
        <v>3</v>
      </c>
      <c r="R1635" s="2" t="s">
        <v>24</v>
      </c>
      <c r="S1635" s="11" t="str">
        <f t="shared" si="128"/>
        <v>Standar</v>
      </c>
      <c r="T1635" s="2" t="str">
        <f t="shared" si="129"/>
        <v>Sangat Rendah</v>
      </c>
    </row>
    <row r="1636" spans="1:20" ht="15.75" customHeight="1" x14ac:dyDescent="0.3">
      <c r="A1636" s="4" t="s">
        <v>660</v>
      </c>
      <c r="B1636" s="3">
        <v>45620.671018518522</v>
      </c>
      <c r="C1636" s="2" t="s">
        <v>661</v>
      </c>
      <c r="D1636" s="2" t="s">
        <v>49</v>
      </c>
      <c r="E1636" s="2" t="s">
        <v>136</v>
      </c>
      <c r="F1636" s="2">
        <v>12000</v>
      </c>
      <c r="G1636" s="2">
        <v>4</v>
      </c>
      <c r="H1636" s="2">
        <v>0</v>
      </c>
      <c r="I1636">
        <f t="shared" si="125"/>
        <v>48000</v>
      </c>
      <c r="J1636">
        <f t="shared" si="126"/>
        <v>0</v>
      </c>
      <c r="K1636" s="6">
        <f t="shared" si="127"/>
        <v>48000</v>
      </c>
      <c r="L1636" s="2">
        <v>0</v>
      </c>
      <c r="M1636" s="6">
        <f>Table1[[#This Row],[Total Sales]]+Table1[[#This Row],[Shipping Fee]]</f>
        <v>48000</v>
      </c>
      <c r="N1636" s="2" t="s">
        <v>22</v>
      </c>
      <c r="O1636" t="str">
        <f>VLOOKUP(Table1[[#This Row],[Order ID]],Status!A:B, 2,FALSE)</f>
        <v>Completed</v>
      </c>
      <c r="P1636" s="2" t="s">
        <v>36</v>
      </c>
      <c r="Q1636" s="2">
        <v>3</v>
      </c>
      <c r="R1636" s="2" t="s">
        <v>24</v>
      </c>
      <c r="S1636" s="11" t="str">
        <f t="shared" si="128"/>
        <v>Standar</v>
      </c>
      <c r="T1636" s="2" t="str">
        <f t="shared" si="129"/>
        <v>Sangat Rendah</v>
      </c>
    </row>
    <row r="1637" spans="1:20" ht="15.75" customHeight="1" x14ac:dyDescent="0.3">
      <c r="A1637" s="4" t="s">
        <v>659</v>
      </c>
      <c r="B1637" s="3">
        <v>45620.572939814818</v>
      </c>
      <c r="C1637" s="2" t="s">
        <v>194</v>
      </c>
      <c r="D1637" s="2" t="s">
        <v>195</v>
      </c>
      <c r="E1637" s="2" t="s">
        <v>21</v>
      </c>
      <c r="F1637" s="2">
        <v>45000</v>
      </c>
      <c r="G1637" s="2">
        <v>1</v>
      </c>
      <c r="H1637" s="2">
        <v>20</v>
      </c>
      <c r="I1637">
        <f t="shared" si="125"/>
        <v>45000</v>
      </c>
      <c r="J1637">
        <f t="shared" si="126"/>
        <v>9000</v>
      </c>
      <c r="K1637" s="6">
        <f t="shared" si="127"/>
        <v>36000</v>
      </c>
      <c r="L1637" s="2">
        <v>87000</v>
      </c>
      <c r="M1637" s="6">
        <f>Table1[[#This Row],[Total Sales]]+Table1[[#This Row],[Shipping Fee]]</f>
        <v>123000</v>
      </c>
      <c r="N1637" s="2" t="s">
        <v>63</v>
      </c>
      <c r="O1637" t="str">
        <f>VLOOKUP(Table1[[#This Row],[Order ID]],Status!A:B, 2,FALSE)</f>
        <v>Completed</v>
      </c>
      <c r="P1637" s="2" t="s">
        <v>82</v>
      </c>
      <c r="Q1637" s="2">
        <v>4</v>
      </c>
      <c r="R1637" s="2" t="s">
        <v>24</v>
      </c>
      <c r="S1637" s="11" t="str">
        <f t="shared" si="128"/>
        <v>Bagus</v>
      </c>
      <c r="T1637" s="2" t="str">
        <f t="shared" si="129"/>
        <v>Rendah</v>
      </c>
    </row>
    <row r="1638" spans="1:20" ht="15.75" customHeight="1" x14ac:dyDescent="0.3">
      <c r="A1638" s="4" t="s">
        <v>658</v>
      </c>
      <c r="B1638" s="3">
        <v>45620.43949074074</v>
      </c>
      <c r="C1638" s="2" t="s">
        <v>391</v>
      </c>
      <c r="D1638" s="2" t="s">
        <v>122</v>
      </c>
      <c r="E1638" s="2" t="s">
        <v>28</v>
      </c>
      <c r="F1638" s="2">
        <v>5000</v>
      </c>
      <c r="G1638" s="2">
        <v>4</v>
      </c>
      <c r="H1638" s="2">
        <v>5</v>
      </c>
      <c r="I1638">
        <f t="shared" si="125"/>
        <v>20000</v>
      </c>
      <c r="J1638">
        <f t="shared" si="126"/>
        <v>1000</v>
      </c>
      <c r="K1638" s="6">
        <f t="shared" si="127"/>
        <v>19000</v>
      </c>
      <c r="L1638" s="2">
        <v>78000</v>
      </c>
      <c r="M1638" s="6">
        <f>Table1[[#This Row],[Total Sales]]+Table1[[#This Row],[Shipping Fee]]</f>
        <v>97000</v>
      </c>
      <c r="N1638" s="2" t="s">
        <v>29</v>
      </c>
      <c r="O1638" t="str">
        <f>VLOOKUP(Table1[[#This Row],[Order ID]],Status!A:B, 2,FALSE)</f>
        <v>Returned</v>
      </c>
      <c r="P1638" s="2" t="s">
        <v>30</v>
      </c>
      <c r="Q1638" s="2">
        <v>5</v>
      </c>
      <c r="R1638" s="2" t="s">
        <v>24</v>
      </c>
      <c r="S1638" s="11" t="str">
        <f t="shared" si="128"/>
        <v>Bagus</v>
      </c>
      <c r="T1638" s="2" t="str">
        <f t="shared" si="129"/>
        <v>Sangat Rendah</v>
      </c>
    </row>
    <row r="1639" spans="1:20" ht="15.75" customHeight="1" x14ac:dyDescent="0.3">
      <c r="A1639" s="4" t="s">
        <v>657</v>
      </c>
      <c r="B1639" s="3">
        <v>45619.772916666669</v>
      </c>
      <c r="C1639" s="2" t="s">
        <v>211</v>
      </c>
      <c r="D1639" s="2" t="s">
        <v>49</v>
      </c>
      <c r="E1639" s="2" t="s">
        <v>34</v>
      </c>
      <c r="F1639" s="2">
        <v>16000</v>
      </c>
      <c r="G1639" s="2">
        <v>3</v>
      </c>
      <c r="H1639" s="2">
        <v>20</v>
      </c>
      <c r="I1639">
        <f t="shared" si="125"/>
        <v>48000</v>
      </c>
      <c r="J1639">
        <f t="shared" si="126"/>
        <v>9600</v>
      </c>
      <c r="K1639" s="6">
        <f t="shared" si="127"/>
        <v>38400</v>
      </c>
      <c r="L1639" s="2">
        <v>43000</v>
      </c>
      <c r="M1639" s="6">
        <f>Table1[[#This Row],[Total Sales]]+Table1[[#This Row],[Shipping Fee]]</f>
        <v>81400</v>
      </c>
      <c r="N1639" s="2" t="s">
        <v>22</v>
      </c>
      <c r="O1639" t="str">
        <f>VLOOKUP(Table1[[#This Row],[Order ID]],Status!A:B, 2,FALSE)</f>
        <v>Completed</v>
      </c>
      <c r="P1639" s="2" t="s">
        <v>46</v>
      </c>
      <c r="Q1639" s="2">
        <v>4</v>
      </c>
      <c r="R1639" s="2" t="s">
        <v>24</v>
      </c>
      <c r="S1639" s="11" t="str">
        <f t="shared" si="128"/>
        <v>Bagus</v>
      </c>
      <c r="T1639" s="2" t="str">
        <f t="shared" si="129"/>
        <v>Rendah</v>
      </c>
    </row>
    <row r="1640" spans="1:20" ht="15.75" customHeight="1" x14ac:dyDescent="0.3">
      <c r="A1640" s="4" t="s">
        <v>657</v>
      </c>
      <c r="B1640" s="3">
        <v>45619.772916666669</v>
      </c>
      <c r="C1640" s="2" t="s">
        <v>211</v>
      </c>
      <c r="D1640" s="2" t="s">
        <v>49</v>
      </c>
      <c r="E1640" s="2" t="s">
        <v>50</v>
      </c>
      <c r="F1640" s="2">
        <v>14000</v>
      </c>
      <c r="G1640" s="2">
        <v>2</v>
      </c>
      <c r="H1640" s="2">
        <v>15</v>
      </c>
      <c r="I1640">
        <f t="shared" si="125"/>
        <v>28000</v>
      </c>
      <c r="J1640">
        <f t="shared" si="126"/>
        <v>4200</v>
      </c>
      <c r="K1640" s="6">
        <f t="shared" si="127"/>
        <v>23800</v>
      </c>
      <c r="L1640" s="2">
        <v>0</v>
      </c>
      <c r="M1640" s="6">
        <f>Table1[[#This Row],[Total Sales]]+Table1[[#This Row],[Shipping Fee]]</f>
        <v>23800</v>
      </c>
      <c r="N1640" s="2" t="s">
        <v>22</v>
      </c>
      <c r="O1640" t="str">
        <f>VLOOKUP(Table1[[#This Row],[Order ID]],Status!A:B, 2,FALSE)</f>
        <v>Completed</v>
      </c>
      <c r="P1640" s="2" t="s">
        <v>46</v>
      </c>
      <c r="Q1640" s="2">
        <v>4</v>
      </c>
      <c r="R1640" s="2" t="s">
        <v>24</v>
      </c>
      <c r="S1640" s="11" t="str">
        <f t="shared" si="128"/>
        <v>Bagus</v>
      </c>
      <c r="T1640" s="2" t="str">
        <f t="shared" si="129"/>
        <v>Sangat Rendah</v>
      </c>
    </row>
    <row r="1641" spans="1:20" ht="15.75" customHeight="1" x14ac:dyDescent="0.3">
      <c r="A1641" s="4" t="s">
        <v>655</v>
      </c>
      <c r="B1641" s="3">
        <v>45619.772673611107</v>
      </c>
      <c r="C1641" s="2" t="s">
        <v>656</v>
      </c>
      <c r="D1641" s="2" t="s">
        <v>195</v>
      </c>
      <c r="E1641" s="2" t="s">
        <v>45</v>
      </c>
      <c r="F1641" s="2">
        <v>40000</v>
      </c>
      <c r="G1641" s="2">
        <v>3</v>
      </c>
      <c r="H1641" s="2">
        <v>0</v>
      </c>
      <c r="I1641">
        <f t="shared" si="125"/>
        <v>120000</v>
      </c>
      <c r="J1641">
        <f t="shared" si="126"/>
        <v>0</v>
      </c>
      <c r="K1641" s="6">
        <f t="shared" si="127"/>
        <v>120000</v>
      </c>
      <c r="L1641" s="2">
        <v>87000</v>
      </c>
      <c r="M1641" s="6">
        <f>Table1[[#This Row],[Total Sales]]+Table1[[#This Row],[Shipping Fee]]</f>
        <v>207000</v>
      </c>
      <c r="N1641" s="2" t="s">
        <v>63</v>
      </c>
      <c r="O1641" t="str">
        <f>VLOOKUP(Table1[[#This Row],[Order ID]],Status!A:B, 2,FALSE)</f>
        <v>Completed</v>
      </c>
      <c r="P1641" s="2" t="s">
        <v>46</v>
      </c>
      <c r="Q1641" s="2">
        <v>2</v>
      </c>
      <c r="R1641" s="2" t="s">
        <v>37</v>
      </c>
      <c r="S1641" s="11" t="str">
        <f t="shared" si="128"/>
        <v>Rendah</v>
      </c>
      <c r="T1641" s="2" t="str">
        <f t="shared" si="129"/>
        <v>Sangat Rendah</v>
      </c>
    </row>
    <row r="1642" spans="1:20" ht="15.75" customHeight="1" x14ac:dyDescent="0.3">
      <c r="A1642" s="4" t="s">
        <v>653</v>
      </c>
      <c r="B1642" s="3">
        <v>45619.327951388892</v>
      </c>
      <c r="C1642" s="2" t="s">
        <v>654</v>
      </c>
      <c r="D1642" s="2" t="s">
        <v>375</v>
      </c>
      <c r="E1642" s="2" t="s">
        <v>67</v>
      </c>
      <c r="F1642" s="2">
        <v>15000</v>
      </c>
      <c r="G1642" s="2">
        <v>2</v>
      </c>
      <c r="H1642" s="2">
        <v>0</v>
      </c>
      <c r="I1642">
        <f t="shared" si="125"/>
        <v>30000</v>
      </c>
      <c r="J1642">
        <f t="shared" si="126"/>
        <v>0</v>
      </c>
      <c r="K1642" s="6">
        <f t="shared" si="127"/>
        <v>30000</v>
      </c>
      <c r="L1642" s="2">
        <v>21000</v>
      </c>
      <c r="M1642" s="6">
        <f>Table1[[#This Row],[Total Sales]]+Table1[[#This Row],[Shipping Fee]]</f>
        <v>51000</v>
      </c>
      <c r="N1642" s="2" t="s">
        <v>22</v>
      </c>
      <c r="O1642" t="str">
        <f>VLOOKUP(Table1[[#This Row],[Order ID]],Status!A:B, 2,FALSE)</f>
        <v>Completed</v>
      </c>
      <c r="P1642" s="2" t="s">
        <v>82</v>
      </c>
      <c r="Q1642" s="2">
        <v>1</v>
      </c>
      <c r="R1642" s="2" t="s">
        <v>24</v>
      </c>
      <c r="S1642" s="11" t="str">
        <f t="shared" si="128"/>
        <v>Rendah</v>
      </c>
      <c r="T1642" s="2" t="str">
        <f t="shared" si="129"/>
        <v>Sangat Rendah</v>
      </c>
    </row>
    <row r="1643" spans="1:20" ht="15.75" customHeight="1" x14ac:dyDescent="0.3">
      <c r="A1643" s="4" t="s">
        <v>652</v>
      </c>
      <c r="B1643" s="3">
        <v>45619.086608796293</v>
      </c>
      <c r="C1643" s="2" t="s">
        <v>439</v>
      </c>
      <c r="D1643" s="2" t="s">
        <v>119</v>
      </c>
      <c r="E1643" s="2" t="s">
        <v>186</v>
      </c>
      <c r="F1643" s="2">
        <v>45000</v>
      </c>
      <c r="G1643" s="2">
        <v>5</v>
      </c>
      <c r="H1643" s="2">
        <v>5</v>
      </c>
      <c r="I1643">
        <f t="shared" si="125"/>
        <v>225000</v>
      </c>
      <c r="J1643">
        <f t="shared" si="126"/>
        <v>11250</v>
      </c>
      <c r="K1643" s="6">
        <f t="shared" si="127"/>
        <v>213750</v>
      </c>
      <c r="L1643" s="2">
        <v>0</v>
      </c>
      <c r="M1643" s="6">
        <f>Table1[[#This Row],[Total Sales]]+Table1[[#This Row],[Shipping Fee]]</f>
        <v>213750</v>
      </c>
      <c r="N1643" s="2" t="s">
        <v>35</v>
      </c>
      <c r="O1643" t="str">
        <f>VLOOKUP(Table1[[#This Row],[Order ID]],Status!A:B, 2,FALSE)</f>
        <v>Completed</v>
      </c>
      <c r="P1643" s="2" t="s">
        <v>82</v>
      </c>
      <c r="Q1643" s="2">
        <v>5</v>
      </c>
      <c r="R1643" s="2" t="s">
        <v>37</v>
      </c>
      <c r="S1643" s="11" t="str">
        <f t="shared" si="128"/>
        <v>Bagus</v>
      </c>
      <c r="T1643" s="2" t="str">
        <f t="shared" si="129"/>
        <v>Normal</v>
      </c>
    </row>
    <row r="1644" spans="1:20" ht="15.75" customHeight="1" x14ac:dyDescent="0.3">
      <c r="A1644" s="4" t="s">
        <v>650</v>
      </c>
      <c r="B1644" s="3">
        <v>45618.925833333327</v>
      </c>
      <c r="C1644" s="2" t="s">
        <v>651</v>
      </c>
      <c r="D1644" s="2" t="s">
        <v>182</v>
      </c>
      <c r="E1644" s="2" t="s">
        <v>88</v>
      </c>
      <c r="F1644" s="2">
        <v>14000</v>
      </c>
      <c r="G1644" s="2">
        <v>1</v>
      </c>
      <c r="H1644" s="2">
        <v>15</v>
      </c>
      <c r="I1644">
        <f t="shared" si="125"/>
        <v>14000</v>
      </c>
      <c r="J1644">
        <f t="shared" si="126"/>
        <v>2100</v>
      </c>
      <c r="K1644" s="6">
        <f t="shared" si="127"/>
        <v>11900</v>
      </c>
      <c r="L1644" s="2">
        <v>48000</v>
      </c>
      <c r="M1644" s="6">
        <f>Table1[[#This Row],[Total Sales]]+Table1[[#This Row],[Shipping Fee]]</f>
        <v>59900</v>
      </c>
      <c r="N1644" s="2" t="s">
        <v>22</v>
      </c>
      <c r="O1644" t="str">
        <f>VLOOKUP(Table1[[#This Row],[Order ID]],Status!A:B, 2,FALSE)</f>
        <v>Returned</v>
      </c>
      <c r="P1644" s="2" t="s">
        <v>46</v>
      </c>
      <c r="Q1644" s="2">
        <v>1</v>
      </c>
      <c r="R1644" s="2" t="s">
        <v>37</v>
      </c>
      <c r="S1644" s="11" t="str">
        <f t="shared" si="128"/>
        <v>Rendah</v>
      </c>
      <c r="T1644" s="2" t="str">
        <f t="shared" si="129"/>
        <v>Sangat Rendah</v>
      </c>
    </row>
    <row r="1645" spans="1:20" ht="15.75" customHeight="1" x14ac:dyDescent="0.3">
      <c r="A1645" s="4" t="s">
        <v>648</v>
      </c>
      <c r="B1645" s="3">
        <v>45618.896921296298</v>
      </c>
      <c r="C1645" s="2" t="s">
        <v>649</v>
      </c>
      <c r="D1645" s="2" t="s">
        <v>177</v>
      </c>
      <c r="E1645" s="2" t="s">
        <v>45</v>
      </c>
      <c r="F1645" s="2">
        <v>40000</v>
      </c>
      <c r="G1645" s="2">
        <v>3</v>
      </c>
      <c r="H1645" s="2">
        <v>5</v>
      </c>
      <c r="I1645">
        <f t="shared" si="125"/>
        <v>120000</v>
      </c>
      <c r="J1645">
        <f t="shared" si="126"/>
        <v>6000</v>
      </c>
      <c r="K1645" s="6">
        <f t="shared" si="127"/>
        <v>114000</v>
      </c>
      <c r="L1645" s="2">
        <v>56000</v>
      </c>
      <c r="M1645" s="6">
        <f>Table1[[#This Row],[Total Sales]]+Table1[[#This Row],[Shipping Fee]]</f>
        <v>170000</v>
      </c>
      <c r="N1645" s="2" t="s">
        <v>22</v>
      </c>
      <c r="O1645" t="str">
        <f>VLOOKUP(Table1[[#This Row],[Order ID]],Status!A:B, 2,FALSE)</f>
        <v>Completed</v>
      </c>
      <c r="P1645" s="2" t="s">
        <v>46</v>
      </c>
      <c r="Q1645" s="2">
        <v>1</v>
      </c>
      <c r="R1645" s="2" t="s">
        <v>24</v>
      </c>
      <c r="S1645" s="11" t="str">
        <f t="shared" si="128"/>
        <v>Rendah</v>
      </c>
      <c r="T1645" s="2" t="str">
        <f t="shared" si="129"/>
        <v>Rendah</v>
      </c>
    </row>
    <row r="1646" spans="1:20" ht="15.75" customHeight="1" x14ac:dyDescent="0.3">
      <c r="A1646" s="4" t="s">
        <v>648</v>
      </c>
      <c r="B1646" s="3">
        <v>45618.896921296298</v>
      </c>
      <c r="C1646" s="2" t="s">
        <v>649</v>
      </c>
      <c r="D1646" s="2" t="s">
        <v>177</v>
      </c>
      <c r="E1646" s="2" t="s">
        <v>45</v>
      </c>
      <c r="F1646" s="2">
        <v>40000</v>
      </c>
      <c r="G1646" s="2">
        <v>3</v>
      </c>
      <c r="H1646" s="2">
        <v>5</v>
      </c>
      <c r="I1646">
        <f t="shared" si="125"/>
        <v>120000</v>
      </c>
      <c r="J1646">
        <f t="shared" si="126"/>
        <v>6000</v>
      </c>
      <c r="K1646" s="6">
        <f t="shared" si="127"/>
        <v>114000</v>
      </c>
      <c r="L1646" s="2">
        <v>0</v>
      </c>
      <c r="M1646" s="6">
        <f>Table1[[#This Row],[Total Sales]]+Table1[[#This Row],[Shipping Fee]]</f>
        <v>114000</v>
      </c>
      <c r="N1646" s="2" t="s">
        <v>22</v>
      </c>
      <c r="O1646" t="str">
        <f>VLOOKUP(Table1[[#This Row],[Order ID]],Status!A:B, 2,FALSE)</f>
        <v>Completed</v>
      </c>
      <c r="P1646" s="2" t="s">
        <v>46</v>
      </c>
      <c r="Q1646" s="2">
        <v>1</v>
      </c>
      <c r="R1646" s="2" t="s">
        <v>24</v>
      </c>
      <c r="S1646" s="11" t="str">
        <f t="shared" si="128"/>
        <v>Rendah</v>
      </c>
      <c r="T1646" s="2" t="str">
        <f t="shared" si="129"/>
        <v>Rendah</v>
      </c>
    </row>
    <row r="1647" spans="1:20" ht="15.75" customHeight="1" x14ac:dyDescent="0.3">
      <c r="A1647" s="4" t="s">
        <v>647</v>
      </c>
      <c r="B1647" s="3">
        <v>45618.88616898148</v>
      </c>
      <c r="C1647" s="2" t="s">
        <v>615</v>
      </c>
      <c r="D1647" s="2" t="s">
        <v>92</v>
      </c>
      <c r="E1647" s="2" t="s">
        <v>104</v>
      </c>
      <c r="F1647" s="2">
        <v>30000</v>
      </c>
      <c r="G1647" s="2">
        <v>4</v>
      </c>
      <c r="H1647" s="2">
        <v>15</v>
      </c>
      <c r="I1647">
        <f t="shared" si="125"/>
        <v>120000</v>
      </c>
      <c r="J1647">
        <f t="shared" si="126"/>
        <v>18000</v>
      </c>
      <c r="K1647" s="6">
        <f t="shared" si="127"/>
        <v>102000</v>
      </c>
      <c r="L1647" s="2">
        <v>30000</v>
      </c>
      <c r="M1647" s="6">
        <f>Table1[[#This Row],[Total Sales]]+Table1[[#This Row],[Shipping Fee]]</f>
        <v>132000</v>
      </c>
      <c r="N1647" s="2" t="s">
        <v>35</v>
      </c>
      <c r="O1647" t="str">
        <f>VLOOKUP(Table1[[#This Row],[Order ID]],Status!A:B, 2,FALSE)</f>
        <v>Completed</v>
      </c>
      <c r="P1647" s="2" t="s">
        <v>46</v>
      </c>
      <c r="Q1647" s="2">
        <v>2</v>
      </c>
      <c r="R1647" s="2" t="s">
        <v>24</v>
      </c>
      <c r="S1647" s="11" t="str">
        <f t="shared" si="128"/>
        <v>Rendah</v>
      </c>
      <c r="T1647" s="2" t="str">
        <f t="shared" si="129"/>
        <v>Normal</v>
      </c>
    </row>
    <row r="1648" spans="1:20" ht="15.75" customHeight="1" x14ac:dyDescent="0.3">
      <c r="A1648" s="4" t="s">
        <v>646</v>
      </c>
      <c r="B1648" s="3">
        <v>45618.840358796297</v>
      </c>
      <c r="C1648" s="2" t="s">
        <v>551</v>
      </c>
      <c r="D1648" s="2" t="s">
        <v>262</v>
      </c>
      <c r="E1648" s="2" t="s">
        <v>50</v>
      </c>
      <c r="F1648" s="2">
        <v>14000</v>
      </c>
      <c r="G1648" s="2">
        <v>1</v>
      </c>
      <c r="H1648" s="2">
        <v>15</v>
      </c>
      <c r="I1648">
        <f t="shared" si="125"/>
        <v>14000</v>
      </c>
      <c r="J1648">
        <f t="shared" si="126"/>
        <v>2100</v>
      </c>
      <c r="K1648" s="6">
        <f t="shared" si="127"/>
        <v>11900</v>
      </c>
      <c r="L1648" s="2">
        <v>18000</v>
      </c>
      <c r="M1648" s="6">
        <f>Table1[[#This Row],[Total Sales]]+Table1[[#This Row],[Shipping Fee]]</f>
        <v>29900</v>
      </c>
      <c r="N1648" s="2" t="s">
        <v>63</v>
      </c>
      <c r="O1648" t="str">
        <f>VLOOKUP(Table1[[#This Row],[Order ID]],Status!A:B, 2,FALSE)</f>
        <v>Completed</v>
      </c>
      <c r="P1648" s="2" t="s">
        <v>30</v>
      </c>
      <c r="Q1648" s="2">
        <v>5</v>
      </c>
      <c r="R1648" s="2" t="s">
        <v>37</v>
      </c>
      <c r="S1648" s="11" t="str">
        <f t="shared" si="128"/>
        <v>Bagus</v>
      </c>
      <c r="T1648" s="2" t="str">
        <f t="shared" si="129"/>
        <v>Sangat Rendah</v>
      </c>
    </row>
    <row r="1649" spans="1:20" ht="15.75" customHeight="1" x14ac:dyDescent="0.3">
      <c r="A1649" s="4" t="s">
        <v>645</v>
      </c>
      <c r="B1649" s="3">
        <v>45618.534259259257</v>
      </c>
      <c r="C1649" s="2" t="s">
        <v>261</v>
      </c>
      <c r="D1649" s="2" t="s">
        <v>262</v>
      </c>
      <c r="E1649" s="2" t="s">
        <v>136</v>
      </c>
      <c r="F1649" s="2">
        <v>12000</v>
      </c>
      <c r="G1649" s="2">
        <v>5</v>
      </c>
      <c r="H1649" s="2">
        <v>15</v>
      </c>
      <c r="I1649">
        <f t="shared" si="125"/>
        <v>60000</v>
      </c>
      <c r="J1649">
        <f t="shared" si="126"/>
        <v>9000</v>
      </c>
      <c r="K1649" s="6">
        <f t="shared" si="127"/>
        <v>51000</v>
      </c>
      <c r="L1649" s="2">
        <v>18000</v>
      </c>
      <c r="M1649" s="6">
        <f>Table1[[#This Row],[Total Sales]]+Table1[[#This Row],[Shipping Fee]]</f>
        <v>69000</v>
      </c>
      <c r="N1649" s="2" t="s">
        <v>29</v>
      </c>
      <c r="O1649" t="str">
        <f>VLOOKUP(Table1[[#This Row],[Order ID]],Status!A:B, 2,FALSE)</f>
        <v>Completed</v>
      </c>
      <c r="P1649" s="2" t="s">
        <v>23</v>
      </c>
      <c r="Q1649" s="2">
        <v>5</v>
      </c>
      <c r="R1649" s="2" t="s">
        <v>24</v>
      </c>
      <c r="S1649" s="11" t="str">
        <f t="shared" si="128"/>
        <v>Bagus</v>
      </c>
      <c r="T1649" s="2" t="str">
        <f t="shared" si="129"/>
        <v>Rendah</v>
      </c>
    </row>
    <row r="1650" spans="1:20" ht="15.75" customHeight="1" x14ac:dyDescent="0.3">
      <c r="A1650" s="4" t="s">
        <v>645</v>
      </c>
      <c r="B1650" s="3">
        <v>45618.534259259257</v>
      </c>
      <c r="C1650" s="2" t="s">
        <v>261</v>
      </c>
      <c r="D1650" s="2" t="s">
        <v>262</v>
      </c>
      <c r="E1650" s="2" t="s">
        <v>38</v>
      </c>
      <c r="F1650" s="2">
        <v>28000</v>
      </c>
      <c r="G1650" s="2">
        <v>2</v>
      </c>
      <c r="H1650" s="2">
        <v>5</v>
      </c>
      <c r="I1650">
        <f t="shared" si="125"/>
        <v>56000</v>
      </c>
      <c r="J1650">
        <f t="shared" si="126"/>
        <v>2800</v>
      </c>
      <c r="K1650" s="6">
        <f t="shared" si="127"/>
        <v>53200</v>
      </c>
      <c r="L1650" s="2">
        <v>0</v>
      </c>
      <c r="M1650" s="6">
        <f>Table1[[#This Row],[Total Sales]]+Table1[[#This Row],[Shipping Fee]]</f>
        <v>53200</v>
      </c>
      <c r="N1650" s="2" t="s">
        <v>29</v>
      </c>
      <c r="O1650" t="str">
        <f>VLOOKUP(Table1[[#This Row],[Order ID]],Status!A:B, 2,FALSE)</f>
        <v>Completed</v>
      </c>
      <c r="P1650" s="2" t="s">
        <v>23</v>
      </c>
      <c r="Q1650" s="2">
        <v>5</v>
      </c>
      <c r="R1650" s="2" t="s">
        <v>24</v>
      </c>
      <c r="S1650" s="11" t="str">
        <f t="shared" si="128"/>
        <v>Bagus</v>
      </c>
      <c r="T1650" s="2" t="str">
        <f t="shared" si="129"/>
        <v>Sangat Rendah</v>
      </c>
    </row>
    <row r="1651" spans="1:20" ht="15.75" customHeight="1" x14ac:dyDescent="0.3">
      <c r="A1651" s="4" t="s">
        <v>643</v>
      </c>
      <c r="B1651" s="3">
        <v>45618.446053240739</v>
      </c>
      <c r="C1651" s="2" t="s">
        <v>644</v>
      </c>
      <c r="D1651" s="2" t="s">
        <v>244</v>
      </c>
      <c r="E1651" s="2" t="s">
        <v>186</v>
      </c>
      <c r="F1651" s="2">
        <v>45000</v>
      </c>
      <c r="G1651" s="2">
        <v>5</v>
      </c>
      <c r="H1651" s="2">
        <v>15</v>
      </c>
      <c r="I1651">
        <f t="shared" si="125"/>
        <v>225000</v>
      </c>
      <c r="J1651">
        <f t="shared" si="126"/>
        <v>33750</v>
      </c>
      <c r="K1651" s="6">
        <f t="shared" si="127"/>
        <v>191250</v>
      </c>
      <c r="L1651" s="2">
        <v>80000</v>
      </c>
      <c r="M1651" s="6">
        <f>Table1[[#This Row],[Total Sales]]+Table1[[#This Row],[Shipping Fee]]</f>
        <v>271250</v>
      </c>
      <c r="N1651" s="2" t="s">
        <v>63</v>
      </c>
      <c r="O1651" t="str">
        <f>VLOOKUP(Table1[[#This Row],[Order ID]],Status!A:B, 2,FALSE)</f>
        <v>Completed</v>
      </c>
      <c r="P1651" s="2" t="s">
        <v>36</v>
      </c>
      <c r="Q1651" s="2">
        <v>2</v>
      </c>
      <c r="R1651" s="2" t="s">
        <v>24</v>
      </c>
      <c r="S1651" s="11" t="str">
        <f t="shared" si="128"/>
        <v>Rendah</v>
      </c>
      <c r="T1651" s="2" t="str">
        <f t="shared" si="129"/>
        <v>Tinggi</v>
      </c>
    </row>
    <row r="1652" spans="1:20" ht="15.75" customHeight="1" x14ac:dyDescent="0.3">
      <c r="A1652" s="4" t="s">
        <v>641</v>
      </c>
      <c r="B1652" s="3">
        <v>45618.394178240742</v>
      </c>
      <c r="C1652" s="2" t="s">
        <v>642</v>
      </c>
      <c r="D1652" s="2" t="s">
        <v>160</v>
      </c>
      <c r="E1652" s="2" t="s">
        <v>75</v>
      </c>
      <c r="F1652" s="2">
        <v>55000</v>
      </c>
      <c r="G1652" s="2">
        <v>2</v>
      </c>
      <c r="H1652" s="2">
        <v>5</v>
      </c>
      <c r="I1652">
        <f t="shared" si="125"/>
        <v>110000</v>
      </c>
      <c r="J1652">
        <f t="shared" si="126"/>
        <v>5500</v>
      </c>
      <c r="K1652" s="6">
        <f t="shared" si="127"/>
        <v>104500</v>
      </c>
      <c r="L1652" s="2">
        <v>68000</v>
      </c>
      <c r="M1652" s="6">
        <f>Table1[[#This Row],[Total Sales]]+Table1[[#This Row],[Shipping Fee]]</f>
        <v>172500</v>
      </c>
      <c r="N1652" s="2" t="s">
        <v>22</v>
      </c>
      <c r="O1652" t="str">
        <f>VLOOKUP(Table1[[#This Row],[Order ID]],Status!A:B, 2,FALSE)</f>
        <v>Completed</v>
      </c>
      <c r="P1652" s="2" t="s">
        <v>30</v>
      </c>
      <c r="Q1652" s="2">
        <v>2</v>
      </c>
      <c r="R1652" s="2" t="s">
        <v>24</v>
      </c>
      <c r="S1652" s="11" t="str">
        <f t="shared" si="128"/>
        <v>Rendah</v>
      </c>
      <c r="T1652" s="2" t="str">
        <f t="shared" si="129"/>
        <v>Rendah</v>
      </c>
    </row>
    <row r="1653" spans="1:20" ht="15.75" customHeight="1" x14ac:dyDescent="0.3">
      <c r="A1653" s="4" t="s">
        <v>640</v>
      </c>
      <c r="B1653" s="3">
        <v>45618.215092592603</v>
      </c>
      <c r="C1653" s="2" t="s">
        <v>513</v>
      </c>
      <c r="D1653" s="2" t="s">
        <v>182</v>
      </c>
      <c r="E1653" s="2" t="s">
        <v>123</v>
      </c>
      <c r="F1653" s="2">
        <v>22000</v>
      </c>
      <c r="G1653" s="2">
        <v>5</v>
      </c>
      <c r="H1653" s="2">
        <v>0</v>
      </c>
      <c r="I1653">
        <f t="shared" si="125"/>
        <v>110000</v>
      </c>
      <c r="J1653">
        <f t="shared" si="126"/>
        <v>0</v>
      </c>
      <c r="K1653" s="6">
        <f t="shared" si="127"/>
        <v>110000</v>
      </c>
      <c r="L1653" s="2">
        <v>48000</v>
      </c>
      <c r="M1653" s="6">
        <f>Table1[[#This Row],[Total Sales]]+Table1[[#This Row],[Shipping Fee]]</f>
        <v>158000</v>
      </c>
      <c r="N1653" s="2" t="s">
        <v>29</v>
      </c>
      <c r="O1653" t="str">
        <f>VLOOKUP(Table1[[#This Row],[Order ID]],Status!A:B, 2,FALSE)</f>
        <v>Completed</v>
      </c>
      <c r="P1653" s="2" t="s">
        <v>23</v>
      </c>
      <c r="Q1653" s="2">
        <v>1</v>
      </c>
      <c r="R1653" s="2" t="s">
        <v>24</v>
      </c>
      <c r="S1653" s="11" t="str">
        <f t="shared" si="128"/>
        <v>Rendah</v>
      </c>
      <c r="T1653" s="2" t="str">
        <f t="shared" si="129"/>
        <v>Sangat Rendah</v>
      </c>
    </row>
    <row r="1654" spans="1:20" ht="15.75" customHeight="1" x14ac:dyDescent="0.3">
      <c r="A1654" s="4" t="s">
        <v>639</v>
      </c>
      <c r="B1654" s="3">
        <v>45618.118530092594</v>
      </c>
      <c r="C1654" s="2" t="s">
        <v>523</v>
      </c>
      <c r="D1654" s="2" t="s">
        <v>113</v>
      </c>
      <c r="E1654" s="2" t="s">
        <v>67</v>
      </c>
      <c r="F1654" s="2">
        <v>15000</v>
      </c>
      <c r="G1654" s="2">
        <v>3</v>
      </c>
      <c r="H1654" s="2">
        <v>0</v>
      </c>
      <c r="I1654">
        <f t="shared" si="125"/>
        <v>45000</v>
      </c>
      <c r="J1654">
        <f t="shared" si="126"/>
        <v>0</v>
      </c>
      <c r="K1654" s="6">
        <f t="shared" si="127"/>
        <v>45000</v>
      </c>
      <c r="L1654" s="2">
        <v>18000</v>
      </c>
      <c r="M1654" s="6">
        <f>Table1[[#This Row],[Total Sales]]+Table1[[#This Row],[Shipping Fee]]</f>
        <v>63000</v>
      </c>
      <c r="N1654" s="2" t="s">
        <v>63</v>
      </c>
      <c r="O1654" t="str">
        <f>VLOOKUP(Table1[[#This Row],[Order ID]],Status!A:B, 2,FALSE)</f>
        <v>Completed</v>
      </c>
      <c r="P1654" s="2" t="s">
        <v>46</v>
      </c>
      <c r="Q1654" s="2">
        <v>5</v>
      </c>
      <c r="R1654" s="2" t="s">
        <v>24</v>
      </c>
      <c r="S1654" s="11" t="str">
        <f t="shared" si="128"/>
        <v>Bagus</v>
      </c>
      <c r="T1654" s="2" t="str">
        <f t="shared" si="129"/>
        <v>Sangat Rendah</v>
      </c>
    </row>
    <row r="1655" spans="1:20" ht="15.75" customHeight="1" x14ac:dyDescent="0.3">
      <c r="A1655" s="4" t="s">
        <v>637</v>
      </c>
      <c r="B1655" s="3">
        <v>45617.958738425928</v>
      </c>
      <c r="C1655" s="2" t="s">
        <v>638</v>
      </c>
      <c r="D1655" s="2" t="s">
        <v>195</v>
      </c>
      <c r="E1655" s="2" t="s">
        <v>34</v>
      </c>
      <c r="F1655" s="2">
        <v>16000</v>
      </c>
      <c r="G1655" s="2">
        <v>2</v>
      </c>
      <c r="H1655" s="2">
        <v>10</v>
      </c>
      <c r="I1655">
        <f t="shared" si="125"/>
        <v>32000</v>
      </c>
      <c r="J1655">
        <f t="shared" si="126"/>
        <v>3200</v>
      </c>
      <c r="K1655" s="6">
        <f t="shared" si="127"/>
        <v>28800</v>
      </c>
      <c r="L1655" s="2">
        <v>87000</v>
      </c>
      <c r="M1655" s="6">
        <f>Table1[[#This Row],[Total Sales]]+Table1[[#This Row],[Shipping Fee]]</f>
        <v>115800</v>
      </c>
      <c r="N1655" s="2" t="s">
        <v>22</v>
      </c>
      <c r="O1655" t="str">
        <f>VLOOKUP(Table1[[#This Row],[Order ID]],Status!A:B, 2,FALSE)</f>
        <v>Completed</v>
      </c>
      <c r="P1655" s="2" t="s">
        <v>46</v>
      </c>
      <c r="Q1655" s="2">
        <v>5</v>
      </c>
      <c r="R1655" s="2" t="s">
        <v>37</v>
      </c>
      <c r="S1655" s="11" t="str">
        <f t="shared" si="128"/>
        <v>Bagus</v>
      </c>
      <c r="T1655" s="2" t="str">
        <f t="shared" si="129"/>
        <v>Sangat Rendah</v>
      </c>
    </row>
    <row r="1656" spans="1:20" ht="15.75" customHeight="1" x14ac:dyDescent="0.3">
      <c r="A1656" s="4" t="s">
        <v>636</v>
      </c>
      <c r="B1656" s="3">
        <v>45617.552997685183</v>
      </c>
      <c r="C1656" s="2" t="s">
        <v>355</v>
      </c>
      <c r="D1656" s="2" t="s">
        <v>116</v>
      </c>
      <c r="E1656" s="2" t="s">
        <v>45</v>
      </c>
      <c r="F1656" s="2">
        <v>40000</v>
      </c>
      <c r="G1656" s="2">
        <v>5</v>
      </c>
      <c r="H1656" s="2">
        <v>0</v>
      </c>
      <c r="I1656">
        <f t="shared" si="125"/>
        <v>200000</v>
      </c>
      <c r="J1656">
        <f t="shared" si="126"/>
        <v>0</v>
      </c>
      <c r="K1656" s="6">
        <f t="shared" si="127"/>
        <v>200000</v>
      </c>
      <c r="L1656" s="2">
        <v>72000</v>
      </c>
      <c r="M1656" s="6">
        <f>Table1[[#This Row],[Total Sales]]+Table1[[#This Row],[Shipping Fee]]</f>
        <v>272000</v>
      </c>
      <c r="N1656" s="2" t="s">
        <v>63</v>
      </c>
      <c r="O1656" t="str">
        <f>VLOOKUP(Table1[[#This Row],[Order ID]],Status!A:B, 2,FALSE)</f>
        <v>Returned</v>
      </c>
      <c r="P1656" s="2" t="s">
        <v>82</v>
      </c>
      <c r="Q1656" s="2">
        <v>2</v>
      </c>
      <c r="R1656" s="2" t="s">
        <v>24</v>
      </c>
      <c r="S1656" s="11" t="str">
        <f t="shared" si="128"/>
        <v>Rendah</v>
      </c>
      <c r="T1656" s="2" t="str">
        <f t="shared" si="129"/>
        <v>Sangat Rendah</v>
      </c>
    </row>
    <row r="1657" spans="1:20" ht="15.75" customHeight="1" x14ac:dyDescent="0.3">
      <c r="A1657" s="4" t="s">
        <v>634</v>
      </c>
      <c r="B1657" s="3">
        <v>45617.547268518523</v>
      </c>
      <c r="C1657" s="2" t="s">
        <v>635</v>
      </c>
      <c r="D1657" s="2" t="s">
        <v>103</v>
      </c>
      <c r="E1657" s="2" t="s">
        <v>41</v>
      </c>
      <c r="F1657" s="2">
        <v>4000</v>
      </c>
      <c r="G1657" s="2">
        <v>2</v>
      </c>
      <c r="H1657" s="2">
        <v>0</v>
      </c>
      <c r="I1657">
        <f t="shared" si="125"/>
        <v>8000</v>
      </c>
      <c r="J1657">
        <f t="shared" si="126"/>
        <v>0</v>
      </c>
      <c r="K1657" s="6">
        <f t="shared" si="127"/>
        <v>8000</v>
      </c>
      <c r="L1657" s="2">
        <v>85000</v>
      </c>
      <c r="M1657" s="6">
        <f>Table1[[#This Row],[Total Sales]]+Table1[[#This Row],[Shipping Fee]]</f>
        <v>93000</v>
      </c>
      <c r="N1657" s="2" t="s">
        <v>22</v>
      </c>
      <c r="O1657" t="str">
        <f>VLOOKUP(Table1[[#This Row],[Order ID]],Status!A:B, 2,FALSE)</f>
        <v>Completed</v>
      </c>
      <c r="P1657" s="2" t="s">
        <v>46</v>
      </c>
      <c r="Q1657" s="2">
        <v>5</v>
      </c>
      <c r="R1657" s="2" t="s">
        <v>24</v>
      </c>
      <c r="S1657" s="11" t="str">
        <f t="shared" si="128"/>
        <v>Bagus</v>
      </c>
      <c r="T1657" s="2" t="str">
        <f t="shared" si="129"/>
        <v>Sangat Rendah</v>
      </c>
    </row>
    <row r="1658" spans="1:20" ht="15.75" customHeight="1" x14ac:dyDescent="0.3">
      <c r="A1658" s="4" t="s">
        <v>633</v>
      </c>
      <c r="B1658" s="3">
        <v>45617.048101851848</v>
      </c>
      <c r="C1658" s="2" t="s">
        <v>252</v>
      </c>
      <c r="D1658" s="2" t="s">
        <v>131</v>
      </c>
      <c r="E1658" s="2" t="s">
        <v>67</v>
      </c>
      <c r="F1658" s="2">
        <v>15000</v>
      </c>
      <c r="G1658" s="2">
        <v>1</v>
      </c>
      <c r="H1658" s="2">
        <v>10</v>
      </c>
      <c r="I1658">
        <f t="shared" si="125"/>
        <v>15000</v>
      </c>
      <c r="J1658">
        <f t="shared" si="126"/>
        <v>1500</v>
      </c>
      <c r="K1658" s="6">
        <f t="shared" si="127"/>
        <v>13500</v>
      </c>
      <c r="L1658" s="2">
        <v>59000</v>
      </c>
      <c r="M1658" s="6">
        <f>Table1[[#This Row],[Total Sales]]+Table1[[#This Row],[Shipping Fee]]</f>
        <v>72500</v>
      </c>
      <c r="N1658" s="2" t="s">
        <v>22</v>
      </c>
      <c r="O1658" t="str">
        <f>VLOOKUP(Table1[[#This Row],[Order ID]],Status!A:B, 2,FALSE)</f>
        <v>Completed</v>
      </c>
      <c r="P1658" s="2" t="s">
        <v>23</v>
      </c>
      <c r="Q1658" s="2">
        <v>4</v>
      </c>
      <c r="R1658" s="2" t="s">
        <v>24</v>
      </c>
      <c r="S1658" s="11" t="str">
        <f t="shared" si="128"/>
        <v>Bagus</v>
      </c>
      <c r="T1658" s="2" t="str">
        <f t="shared" si="129"/>
        <v>Sangat Rendah</v>
      </c>
    </row>
    <row r="1659" spans="1:20" ht="15.75" customHeight="1" x14ac:dyDescent="0.3">
      <c r="A1659" s="4" t="s">
        <v>632</v>
      </c>
      <c r="B1659" s="3">
        <v>45616.811388888891</v>
      </c>
      <c r="C1659" s="2" t="s">
        <v>65</v>
      </c>
      <c r="D1659" s="2" t="s">
        <v>66</v>
      </c>
      <c r="E1659" s="2" t="s">
        <v>45</v>
      </c>
      <c r="F1659" s="2">
        <v>40000</v>
      </c>
      <c r="G1659" s="2">
        <v>2</v>
      </c>
      <c r="H1659" s="2">
        <v>5</v>
      </c>
      <c r="I1659">
        <f t="shared" si="125"/>
        <v>80000</v>
      </c>
      <c r="J1659">
        <f t="shared" si="126"/>
        <v>4000</v>
      </c>
      <c r="K1659" s="6">
        <f t="shared" si="127"/>
        <v>76000</v>
      </c>
      <c r="L1659" s="2">
        <v>59000</v>
      </c>
      <c r="M1659" s="6">
        <f>Table1[[#This Row],[Total Sales]]+Table1[[#This Row],[Shipping Fee]]</f>
        <v>135000</v>
      </c>
      <c r="N1659" s="2" t="s">
        <v>35</v>
      </c>
      <c r="O1659" t="str">
        <f>VLOOKUP(Table1[[#This Row],[Order ID]],Status!A:B, 2,FALSE)</f>
        <v>Completed</v>
      </c>
      <c r="P1659" s="2" t="s">
        <v>23</v>
      </c>
      <c r="Q1659" s="2">
        <v>3</v>
      </c>
      <c r="R1659" s="2" t="s">
        <v>37</v>
      </c>
      <c r="S1659" s="11" t="str">
        <f t="shared" si="128"/>
        <v>Standar</v>
      </c>
      <c r="T1659" s="2" t="str">
        <f t="shared" si="129"/>
        <v>Sangat Rendah</v>
      </c>
    </row>
    <row r="1660" spans="1:20" ht="15.75" customHeight="1" x14ac:dyDescent="0.3">
      <c r="A1660" s="4" t="s">
        <v>630</v>
      </c>
      <c r="B1660" s="3">
        <v>45616.565740740742</v>
      </c>
      <c r="C1660" s="2" t="s">
        <v>631</v>
      </c>
      <c r="D1660" s="2" t="s">
        <v>20</v>
      </c>
      <c r="E1660" s="2" t="s">
        <v>21</v>
      </c>
      <c r="F1660" s="2">
        <v>45000</v>
      </c>
      <c r="G1660" s="2">
        <v>1</v>
      </c>
      <c r="H1660" s="2">
        <v>0</v>
      </c>
      <c r="I1660">
        <f t="shared" si="125"/>
        <v>45000</v>
      </c>
      <c r="J1660">
        <f t="shared" si="126"/>
        <v>0</v>
      </c>
      <c r="K1660" s="6">
        <f t="shared" si="127"/>
        <v>45000</v>
      </c>
      <c r="L1660" s="2">
        <v>15000</v>
      </c>
      <c r="M1660" s="6">
        <f>Table1[[#This Row],[Total Sales]]+Table1[[#This Row],[Shipping Fee]]</f>
        <v>60000</v>
      </c>
      <c r="N1660" s="2" t="s">
        <v>35</v>
      </c>
      <c r="O1660" t="str">
        <f>VLOOKUP(Table1[[#This Row],[Order ID]],Status!A:B, 2,FALSE)</f>
        <v>Completed</v>
      </c>
      <c r="P1660" s="2" t="s">
        <v>46</v>
      </c>
      <c r="Q1660" s="2">
        <v>3</v>
      </c>
      <c r="R1660" s="2" t="s">
        <v>37</v>
      </c>
      <c r="S1660" s="11" t="str">
        <f t="shared" si="128"/>
        <v>Standar</v>
      </c>
      <c r="T1660" s="2" t="str">
        <f t="shared" si="129"/>
        <v>Sangat Rendah</v>
      </c>
    </row>
    <row r="1661" spans="1:20" ht="15.75" customHeight="1" x14ac:dyDescent="0.3">
      <c r="A1661" s="4" t="s">
        <v>629</v>
      </c>
      <c r="B1661" s="3">
        <v>45616.472708333327</v>
      </c>
      <c r="C1661" s="2" t="s">
        <v>477</v>
      </c>
      <c r="D1661" s="2" t="s">
        <v>182</v>
      </c>
      <c r="E1661" s="2" t="s">
        <v>250</v>
      </c>
      <c r="F1661" s="2">
        <v>18000</v>
      </c>
      <c r="G1661" s="2">
        <v>2</v>
      </c>
      <c r="H1661" s="2">
        <v>10</v>
      </c>
      <c r="I1661">
        <f t="shared" si="125"/>
        <v>36000</v>
      </c>
      <c r="J1661">
        <f t="shared" si="126"/>
        <v>3600</v>
      </c>
      <c r="K1661" s="6">
        <f t="shared" si="127"/>
        <v>32400</v>
      </c>
      <c r="L1661" s="2">
        <v>48000</v>
      </c>
      <c r="M1661" s="6">
        <f>Table1[[#This Row],[Total Sales]]+Table1[[#This Row],[Shipping Fee]]</f>
        <v>80400</v>
      </c>
      <c r="N1661" s="2" t="s">
        <v>29</v>
      </c>
      <c r="O1661" t="str">
        <f>VLOOKUP(Table1[[#This Row],[Order ID]],Status!A:B, 2,FALSE)</f>
        <v>Completed</v>
      </c>
      <c r="P1661" s="2" t="s">
        <v>23</v>
      </c>
      <c r="Q1661" s="2">
        <v>4</v>
      </c>
      <c r="R1661" s="2" t="s">
        <v>24</v>
      </c>
      <c r="S1661" s="11" t="str">
        <f t="shared" si="128"/>
        <v>Bagus</v>
      </c>
      <c r="T1661" s="2" t="str">
        <f t="shared" si="129"/>
        <v>Sangat Rendah</v>
      </c>
    </row>
    <row r="1662" spans="1:20" ht="15.75" customHeight="1" x14ac:dyDescent="0.3">
      <c r="A1662" s="4" t="s">
        <v>628</v>
      </c>
      <c r="B1662" s="3">
        <v>45616.395312499997</v>
      </c>
      <c r="C1662" s="2" t="s">
        <v>520</v>
      </c>
      <c r="D1662" s="2" t="s">
        <v>103</v>
      </c>
      <c r="E1662" s="2" t="s">
        <v>104</v>
      </c>
      <c r="F1662" s="2">
        <v>30000</v>
      </c>
      <c r="G1662" s="2">
        <v>2</v>
      </c>
      <c r="H1662" s="2">
        <v>15</v>
      </c>
      <c r="I1662">
        <f t="shared" si="125"/>
        <v>60000</v>
      </c>
      <c r="J1662">
        <f t="shared" si="126"/>
        <v>9000</v>
      </c>
      <c r="K1662" s="6">
        <f t="shared" si="127"/>
        <v>51000</v>
      </c>
      <c r="L1662" s="2">
        <v>85000</v>
      </c>
      <c r="M1662" s="6">
        <f>Table1[[#This Row],[Total Sales]]+Table1[[#This Row],[Shipping Fee]]</f>
        <v>136000</v>
      </c>
      <c r="N1662" s="2" t="s">
        <v>35</v>
      </c>
      <c r="O1662" t="str">
        <f>VLOOKUP(Table1[[#This Row],[Order ID]],Status!A:B, 2,FALSE)</f>
        <v>Completed</v>
      </c>
      <c r="P1662" s="2" t="s">
        <v>46</v>
      </c>
      <c r="Q1662" s="2">
        <v>4</v>
      </c>
      <c r="R1662" s="2" t="s">
        <v>24</v>
      </c>
      <c r="S1662" s="11" t="str">
        <f t="shared" si="128"/>
        <v>Bagus</v>
      </c>
      <c r="T1662" s="2" t="str">
        <f t="shared" si="129"/>
        <v>Rendah</v>
      </c>
    </row>
    <row r="1663" spans="1:20" ht="15.75" customHeight="1" x14ac:dyDescent="0.3">
      <c r="A1663" s="4" t="s">
        <v>627</v>
      </c>
      <c r="B1663" s="3">
        <v>45616.279016203713</v>
      </c>
      <c r="C1663" s="2" t="s">
        <v>510</v>
      </c>
      <c r="D1663" s="2" t="s">
        <v>96</v>
      </c>
      <c r="E1663" s="2" t="s">
        <v>45</v>
      </c>
      <c r="F1663" s="2">
        <v>40000</v>
      </c>
      <c r="G1663" s="2">
        <v>4</v>
      </c>
      <c r="H1663" s="2">
        <v>10</v>
      </c>
      <c r="I1663">
        <f t="shared" si="125"/>
        <v>160000</v>
      </c>
      <c r="J1663">
        <f t="shared" si="126"/>
        <v>16000</v>
      </c>
      <c r="K1663" s="6">
        <f t="shared" si="127"/>
        <v>144000</v>
      </c>
      <c r="L1663" s="2">
        <v>49000</v>
      </c>
      <c r="M1663" s="6">
        <f>Table1[[#This Row],[Total Sales]]+Table1[[#This Row],[Shipping Fee]]</f>
        <v>193000</v>
      </c>
      <c r="N1663" s="2" t="s">
        <v>29</v>
      </c>
      <c r="O1663" t="str">
        <f>VLOOKUP(Table1[[#This Row],[Order ID]],Status!A:B, 2,FALSE)</f>
        <v>Completed</v>
      </c>
      <c r="P1663" s="2" t="s">
        <v>46</v>
      </c>
      <c r="Q1663" s="2">
        <v>4</v>
      </c>
      <c r="R1663" s="2" t="s">
        <v>24</v>
      </c>
      <c r="S1663" s="11" t="str">
        <f t="shared" si="128"/>
        <v>Bagus</v>
      </c>
      <c r="T1663" s="2" t="str">
        <f t="shared" si="129"/>
        <v>Normal</v>
      </c>
    </row>
    <row r="1664" spans="1:20" ht="15.75" customHeight="1" x14ac:dyDescent="0.3">
      <c r="A1664" s="4" t="s">
        <v>625</v>
      </c>
      <c r="B1664" s="3">
        <v>45616.226400462961</v>
      </c>
      <c r="C1664" s="2" t="s">
        <v>626</v>
      </c>
      <c r="D1664" s="2" t="s">
        <v>296</v>
      </c>
      <c r="E1664" s="2" t="s">
        <v>81</v>
      </c>
      <c r="F1664" s="2">
        <v>17000</v>
      </c>
      <c r="G1664" s="2">
        <v>3</v>
      </c>
      <c r="H1664" s="2">
        <v>5</v>
      </c>
      <c r="I1664">
        <f t="shared" si="125"/>
        <v>51000</v>
      </c>
      <c r="J1664">
        <f t="shared" si="126"/>
        <v>2550</v>
      </c>
      <c r="K1664" s="6">
        <f t="shared" si="127"/>
        <v>48450</v>
      </c>
      <c r="L1664" s="2">
        <v>79000</v>
      </c>
      <c r="M1664" s="6">
        <f>Table1[[#This Row],[Total Sales]]+Table1[[#This Row],[Shipping Fee]]</f>
        <v>127450</v>
      </c>
      <c r="N1664" s="2" t="s">
        <v>29</v>
      </c>
      <c r="O1664" t="str">
        <f>VLOOKUP(Table1[[#This Row],[Order ID]],Status!A:B, 2,FALSE)</f>
        <v>Completed</v>
      </c>
      <c r="P1664" s="2" t="s">
        <v>46</v>
      </c>
      <c r="Q1664" s="2">
        <v>1</v>
      </c>
      <c r="R1664" s="2" t="s">
        <v>24</v>
      </c>
      <c r="S1664" s="11" t="str">
        <f t="shared" si="128"/>
        <v>Rendah</v>
      </c>
      <c r="T1664" s="2" t="str">
        <f t="shared" si="129"/>
        <v>Sangat Rendah</v>
      </c>
    </row>
    <row r="1665" spans="1:20" ht="15.75" customHeight="1" x14ac:dyDescent="0.3">
      <c r="A1665" s="4" t="s">
        <v>624</v>
      </c>
      <c r="B1665" s="3">
        <v>45615.579155092593</v>
      </c>
      <c r="C1665" s="2" t="s">
        <v>199</v>
      </c>
      <c r="D1665" s="2" t="s">
        <v>143</v>
      </c>
      <c r="E1665" s="2" t="s">
        <v>45</v>
      </c>
      <c r="F1665" s="2">
        <v>40000</v>
      </c>
      <c r="G1665" s="2">
        <v>5</v>
      </c>
      <c r="H1665" s="2">
        <v>0</v>
      </c>
      <c r="I1665">
        <f t="shared" si="125"/>
        <v>200000</v>
      </c>
      <c r="J1665">
        <f t="shared" si="126"/>
        <v>0</v>
      </c>
      <c r="K1665" s="6">
        <f t="shared" si="127"/>
        <v>200000</v>
      </c>
      <c r="L1665" s="2">
        <v>50000</v>
      </c>
      <c r="M1665" s="6">
        <f>Table1[[#This Row],[Total Sales]]+Table1[[#This Row],[Shipping Fee]]</f>
        <v>250000</v>
      </c>
      <c r="N1665" s="2" t="s">
        <v>35</v>
      </c>
      <c r="O1665" t="str">
        <f>VLOOKUP(Table1[[#This Row],[Order ID]],Status!A:B, 2,FALSE)</f>
        <v>Returned</v>
      </c>
      <c r="P1665" s="2" t="s">
        <v>46</v>
      </c>
      <c r="Q1665" s="2">
        <v>5</v>
      </c>
      <c r="R1665" s="2" t="s">
        <v>24</v>
      </c>
      <c r="S1665" s="11" t="str">
        <f t="shared" si="128"/>
        <v>Bagus</v>
      </c>
      <c r="T1665" s="2" t="str">
        <f t="shared" si="129"/>
        <v>Sangat Rendah</v>
      </c>
    </row>
    <row r="1666" spans="1:20" ht="15.75" customHeight="1" x14ac:dyDescent="0.3">
      <c r="A1666" s="4" t="s">
        <v>623</v>
      </c>
      <c r="B1666" s="3">
        <v>45615.481932870367</v>
      </c>
      <c r="C1666" s="2" t="s">
        <v>220</v>
      </c>
      <c r="D1666" s="2" t="s">
        <v>53</v>
      </c>
      <c r="E1666" s="2" t="s">
        <v>123</v>
      </c>
      <c r="F1666" s="2">
        <v>22000</v>
      </c>
      <c r="G1666" s="2">
        <v>5</v>
      </c>
      <c r="H1666" s="2">
        <v>10</v>
      </c>
      <c r="I1666">
        <f t="shared" ref="I1666:I1729" si="130">F1666*G1666</f>
        <v>110000</v>
      </c>
      <c r="J1666">
        <f t="shared" ref="J1666:J1729" si="131">I1666*H1666/100</f>
        <v>11000</v>
      </c>
      <c r="K1666" s="6">
        <f t="shared" ref="K1666:K1729" si="132">I1666-J1666</f>
        <v>99000</v>
      </c>
      <c r="L1666" s="2">
        <v>18000</v>
      </c>
      <c r="M1666" s="6">
        <f>Table1[[#This Row],[Total Sales]]+Table1[[#This Row],[Shipping Fee]]</f>
        <v>117000</v>
      </c>
      <c r="N1666" s="2" t="s">
        <v>29</v>
      </c>
      <c r="O1666" t="str">
        <f>VLOOKUP(Table1[[#This Row],[Order ID]],Status!A:B, 2,FALSE)</f>
        <v>Completed</v>
      </c>
      <c r="P1666" s="2" t="s">
        <v>82</v>
      </c>
      <c r="Q1666" s="2">
        <v>5</v>
      </c>
      <c r="R1666" s="2" t="s">
        <v>24</v>
      </c>
      <c r="S1666" s="11" t="str">
        <f t="shared" ref="S1666:S1729" si="133">_xlfn.IFS(Q1666&gt;3,"Bagus",Q1666=3,"Standar",Q1666&lt;3,"Rendah")</f>
        <v>Bagus</v>
      </c>
      <c r="T1666" s="2" t="str">
        <f t="shared" ref="T1666:T1729" si="134">_xlfn.IFS(J1666&lt;=5000,"Sangat Rendah", J1666&lt;=10000,"Rendah", J1666&lt;=20000, "Normal", J1666&lt;=35000, "Tinggi", J1666&lt;= 50000, "Sangat Tinggi", J1666&gt;50000, "Clearance")</f>
        <v>Normal</v>
      </c>
    </row>
    <row r="1667" spans="1:20" ht="15.75" customHeight="1" x14ac:dyDescent="0.3">
      <c r="A1667" s="4" t="s">
        <v>622</v>
      </c>
      <c r="B1667" s="3">
        <v>45615.423321759263</v>
      </c>
      <c r="C1667" s="2" t="s">
        <v>56</v>
      </c>
      <c r="D1667" s="2" t="s">
        <v>57</v>
      </c>
      <c r="E1667" s="2" t="s">
        <v>34</v>
      </c>
      <c r="F1667" s="2">
        <v>16000</v>
      </c>
      <c r="G1667" s="2">
        <v>1</v>
      </c>
      <c r="H1667" s="2">
        <v>10</v>
      </c>
      <c r="I1667">
        <f t="shared" si="130"/>
        <v>16000</v>
      </c>
      <c r="J1667">
        <f t="shared" si="131"/>
        <v>1600</v>
      </c>
      <c r="K1667" s="6">
        <f t="shared" si="132"/>
        <v>14400</v>
      </c>
      <c r="L1667" s="2">
        <v>80000</v>
      </c>
      <c r="M1667" s="6">
        <f>Table1[[#This Row],[Total Sales]]+Table1[[#This Row],[Shipping Fee]]</f>
        <v>94400</v>
      </c>
      <c r="N1667" s="2" t="s">
        <v>29</v>
      </c>
      <c r="O1667" t="str">
        <f>VLOOKUP(Table1[[#This Row],[Order ID]],Status!A:B, 2,FALSE)</f>
        <v>Completed</v>
      </c>
      <c r="P1667" s="2" t="s">
        <v>82</v>
      </c>
      <c r="Q1667" s="2">
        <v>2</v>
      </c>
      <c r="R1667" s="2" t="s">
        <v>24</v>
      </c>
      <c r="S1667" s="11" t="str">
        <f t="shared" si="133"/>
        <v>Rendah</v>
      </c>
      <c r="T1667" s="2" t="str">
        <f t="shared" si="134"/>
        <v>Sangat Rendah</v>
      </c>
    </row>
    <row r="1668" spans="1:20" ht="15.75" customHeight="1" x14ac:dyDescent="0.3">
      <c r="A1668" s="4" t="s">
        <v>621</v>
      </c>
      <c r="B1668" s="3">
        <v>45615.262997685182</v>
      </c>
      <c r="C1668" s="2" t="s">
        <v>197</v>
      </c>
      <c r="D1668" s="2" t="s">
        <v>119</v>
      </c>
      <c r="E1668" s="2" t="s">
        <v>67</v>
      </c>
      <c r="F1668" s="2">
        <v>15000</v>
      </c>
      <c r="G1668" s="2">
        <v>3</v>
      </c>
      <c r="H1668" s="2">
        <v>0</v>
      </c>
      <c r="I1668">
        <f t="shared" si="130"/>
        <v>45000</v>
      </c>
      <c r="J1668">
        <f t="shared" si="131"/>
        <v>0</v>
      </c>
      <c r="K1668" s="6">
        <f t="shared" si="132"/>
        <v>45000</v>
      </c>
      <c r="L1668" s="2">
        <v>0</v>
      </c>
      <c r="M1668" s="6">
        <f>Table1[[#This Row],[Total Sales]]+Table1[[#This Row],[Shipping Fee]]</f>
        <v>45000</v>
      </c>
      <c r="N1668" s="2" t="s">
        <v>29</v>
      </c>
      <c r="O1668" t="str">
        <f>VLOOKUP(Table1[[#This Row],[Order ID]],Status!A:B, 2,FALSE)</f>
        <v>Completed</v>
      </c>
      <c r="P1668" s="2" t="s">
        <v>46</v>
      </c>
      <c r="Q1668" s="2">
        <v>2</v>
      </c>
      <c r="R1668" s="2" t="s">
        <v>37</v>
      </c>
      <c r="S1668" s="11" t="str">
        <f t="shared" si="133"/>
        <v>Rendah</v>
      </c>
      <c r="T1668" s="2" t="str">
        <f t="shared" si="134"/>
        <v>Sangat Rendah</v>
      </c>
    </row>
    <row r="1669" spans="1:20" ht="15.75" customHeight="1" x14ac:dyDescent="0.3">
      <c r="A1669" s="4" t="s">
        <v>620</v>
      </c>
      <c r="B1669" s="3">
        <v>45615.215370370373</v>
      </c>
      <c r="C1669" s="2" t="s">
        <v>165</v>
      </c>
      <c r="D1669" s="2" t="s">
        <v>143</v>
      </c>
      <c r="E1669" s="2" t="s">
        <v>144</v>
      </c>
      <c r="F1669" s="2">
        <v>18000</v>
      </c>
      <c r="G1669" s="2">
        <v>2</v>
      </c>
      <c r="H1669" s="2">
        <v>15</v>
      </c>
      <c r="I1669">
        <f t="shared" si="130"/>
        <v>36000</v>
      </c>
      <c r="J1669">
        <f t="shared" si="131"/>
        <v>5400</v>
      </c>
      <c r="K1669" s="6">
        <f t="shared" si="132"/>
        <v>30600</v>
      </c>
      <c r="L1669" s="2">
        <v>50000</v>
      </c>
      <c r="M1669" s="6">
        <f>Table1[[#This Row],[Total Sales]]+Table1[[#This Row],[Shipping Fee]]</f>
        <v>80600</v>
      </c>
      <c r="N1669" s="2" t="s">
        <v>63</v>
      </c>
      <c r="O1669" t="str">
        <f>VLOOKUP(Table1[[#This Row],[Order ID]],Status!A:B, 2,FALSE)</f>
        <v>Completed</v>
      </c>
      <c r="P1669" s="2" t="s">
        <v>30</v>
      </c>
      <c r="Q1669" s="2">
        <v>2</v>
      </c>
      <c r="R1669" s="2" t="s">
        <v>24</v>
      </c>
      <c r="S1669" s="11" t="str">
        <f t="shared" si="133"/>
        <v>Rendah</v>
      </c>
      <c r="T1669" s="2" t="str">
        <f t="shared" si="134"/>
        <v>Rendah</v>
      </c>
    </row>
    <row r="1670" spans="1:20" ht="15.75" customHeight="1" x14ac:dyDescent="0.3">
      <c r="A1670" s="4" t="s">
        <v>618</v>
      </c>
      <c r="B1670" s="3">
        <v>45615.017175925917</v>
      </c>
      <c r="C1670" s="2" t="s">
        <v>619</v>
      </c>
      <c r="D1670" s="2" t="s">
        <v>435</v>
      </c>
      <c r="E1670" s="2" t="s">
        <v>186</v>
      </c>
      <c r="F1670" s="2">
        <v>45000</v>
      </c>
      <c r="G1670" s="2">
        <v>3</v>
      </c>
      <c r="H1670" s="2">
        <v>20</v>
      </c>
      <c r="I1670">
        <f t="shared" si="130"/>
        <v>135000</v>
      </c>
      <c r="J1670">
        <f t="shared" si="131"/>
        <v>27000</v>
      </c>
      <c r="K1670" s="6">
        <f t="shared" si="132"/>
        <v>108000</v>
      </c>
      <c r="L1670" s="2">
        <v>67000</v>
      </c>
      <c r="M1670" s="6">
        <f>Table1[[#This Row],[Total Sales]]+Table1[[#This Row],[Shipping Fee]]</f>
        <v>175000</v>
      </c>
      <c r="N1670" s="2" t="s">
        <v>63</v>
      </c>
      <c r="O1670" t="str">
        <f>VLOOKUP(Table1[[#This Row],[Order ID]],Status!A:B, 2,FALSE)</f>
        <v>Completed</v>
      </c>
      <c r="P1670" s="2" t="s">
        <v>36</v>
      </c>
      <c r="Q1670" s="2">
        <v>2</v>
      </c>
      <c r="R1670" s="2" t="s">
        <v>24</v>
      </c>
      <c r="S1670" s="11" t="str">
        <f t="shared" si="133"/>
        <v>Rendah</v>
      </c>
      <c r="T1670" s="2" t="str">
        <f t="shared" si="134"/>
        <v>Tinggi</v>
      </c>
    </row>
    <row r="1671" spans="1:20" ht="15.75" customHeight="1" x14ac:dyDescent="0.3">
      <c r="A1671" s="4" t="s">
        <v>617</v>
      </c>
      <c r="B1671" s="3">
        <v>45614.849224537043</v>
      </c>
      <c r="C1671" s="2" t="s">
        <v>229</v>
      </c>
      <c r="D1671" s="2" t="s">
        <v>195</v>
      </c>
      <c r="E1671" s="2" t="s">
        <v>21</v>
      </c>
      <c r="F1671" s="2">
        <v>45000</v>
      </c>
      <c r="G1671" s="2">
        <v>3</v>
      </c>
      <c r="H1671" s="2">
        <v>20</v>
      </c>
      <c r="I1671">
        <f t="shared" si="130"/>
        <v>135000</v>
      </c>
      <c r="J1671">
        <f t="shared" si="131"/>
        <v>27000</v>
      </c>
      <c r="K1671" s="6">
        <f t="shared" si="132"/>
        <v>108000</v>
      </c>
      <c r="L1671" s="2">
        <v>87000</v>
      </c>
      <c r="M1671" s="6">
        <f>Table1[[#This Row],[Total Sales]]+Table1[[#This Row],[Shipping Fee]]</f>
        <v>195000</v>
      </c>
      <c r="N1671" s="2" t="s">
        <v>22</v>
      </c>
      <c r="O1671" t="str">
        <f>VLOOKUP(Table1[[#This Row],[Order ID]],Status!A:B, 2,FALSE)</f>
        <v>Completed</v>
      </c>
      <c r="P1671" s="2" t="s">
        <v>82</v>
      </c>
      <c r="Q1671" s="2">
        <v>1</v>
      </c>
      <c r="R1671" s="2" t="s">
        <v>24</v>
      </c>
      <c r="S1671" s="11" t="str">
        <f t="shared" si="133"/>
        <v>Rendah</v>
      </c>
      <c r="T1671" s="2" t="str">
        <f t="shared" si="134"/>
        <v>Tinggi</v>
      </c>
    </row>
    <row r="1672" spans="1:20" ht="15.75" customHeight="1" x14ac:dyDescent="0.3">
      <c r="A1672" s="4" t="s">
        <v>616</v>
      </c>
      <c r="B1672" s="3">
        <v>45614.526041666657</v>
      </c>
      <c r="C1672" s="2" t="s">
        <v>582</v>
      </c>
      <c r="D1672" s="2" t="s">
        <v>435</v>
      </c>
      <c r="E1672" s="2" t="s">
        <v>85</v>
      </c>
      <c r="F1672" s="2">
        <v>35000</v>
      </c>
      <c r="G1672" s="2">
        <v>5</v>
      </c>
      <c r="H1672" s="2">
        <v>0</v>
      </c>
      <c r="I1672">
        <f t="shared" si="130"/>
        <v>175000</v>
      </c>
      <c r="J1672">
        <f t="shared" si="131"/>
        <v>0</v>
      </c>
      <c r="K1672" s="6">
        <f t="shared" si="132"/>
        <v>175000</v>
      </c>
      <c r="L1672" s="2">
        <v>67000</v>
      </c>
      <c r="M1672" s="6">
        <f>Table1[[#This Row],[Total Sales]]+Table1[[#This Row],[Shipping Fee]]</f>
        <v>242000</v>
      </c>
      <c r="N1672" s="2" t="s">
        <v>29</v>
      </c>
      <c r="O1672" t="str">
        <f>VLOOKUP(Table1[[#This Row],[Order ID]],Status!A:B, 2,FALSE)</f>
        <v>Returned</v>
      </c>
      <c r="P1672" s="2" t="s">
        <v>82</v>
      </c>
      <c r="Q1672" s="2">
        <v>2</v>
      </c>
      <c r="R1672" s="2" t="s">
        <v>24</v>
      </c>
      <c r="S1672" s="11" t="str">
        <f t="shared" si="133"/>
        <v>Rendah</v>
      </c>
      <c r="T1672" s="2" t="str">
        <f t="shared" si="134"/>
        <v>Sangat Rendah</v>
      </c>
    </row>
    <row r="1673" spans="1:20" ht="15.75" customHeight="1" x14ac:dyDescent="0.3">
      <c r="A1673" s="4" t="s">
        <v>614</v>
      </c>
      <c r="B1673" s="3">
        <v>45614.308680555558</v>
      </c>
      <c r="C1673" s="2" t="s">
        <v>615</v>
      </c>
      <c r="D1673" s="2" t="s">
        <v>92</v>
      </c>
      <c r="E1673" s="2" t="s">
        <v>67</v>
      </c>
      <c r="F1673" s="2">
        <v>15000</v>
      </c>
      <c r="G1673" s="2">
        <v>3</v>
      </c>
      <c r="H1673" s="2">
        <v>15</v>
      </c>
      <c r="I1673">
        <f t="shared" si="130"/>
        <v>45000</v>
      </c>
      <c r="J1673">
        <f t="shared" si="131"/>
        <v>6750</v>
      </c>
      <c r="K1673" s="6">
        <f t="shared" si="132"/>
        <v>38250</v>
      </c>
      <c r="L1673" s="2">
        <v>30000</v>
      </c>
      <c r="M1673" s="6">
        <f>Table1[[#This Row],[Total Sales]]+Table1[[#This Row],[Shipping Fee]]</f>
        <v>68250</v>
      </c>
      <c r="N1673" s="2" t="s">
        <v>35</v>
      </c>
      <c r="O1673" t="str">
        <f>VLOOKUP(Table1[[#This Row],[Order ID]],Status!A:B, 2,FALSE)</f>
        <v>Completed</v>
      </c>
      <c r="P1673" s="2" t="s">
        <v>30</v>
      </c>
      <c r="Q1673" s="2">
        <v>4</v>
      </c>
      <c r="R1673" s="2" t="s">
        <v>24</v>
      </c>
      <c r="S1673" s="11" t="str">
        <f t="shared" si="133"/>
        <v>Bagus</v>
      </c>
      <c r="T1673" s="2" t="str">
        <f t="shared" si="134"/>
        <v>Rendah</v>
      </c>
    </row>
    <row r="1674" spans="1:20" ht="15.75" customHeight="1" x14ac:dyDescent="0.3">
      <c r="A1674" s="4" t="s">
        <v>612</v>
      </c>
      <c r="B1674" s="3">
        <v>45614.040023148147</v>
      </c>
      <c r="C1674" s="2" t="s">
        <v>613</v>
      </c>
      <c r="D1674" s="2" t="s">
        <v>375</v>
      </c>
      <c r="E1674" s="2" t="s">
        <v>38</v>
      </c>
      <c r="F1674" s="2">
        <v>28000</v>
      </c>
      <c r="G1674" s="2">
        <v>2</v>
      </c>
      <c r="H1674" s="2">
        <v>10</v>
      </c>
      <c r="I1674">
        <f t="shared" si="130"/>
        <v>56000</v>
      </c>
      <c r="J1674">
        <f t="shared" si="131"/>
        <v>5600</v>
      </c>
      <c r="K1674" s="6">
        <f t="shared" si="132"/>
        <v>50400</v>
      </c>
      <c r="L1674" s="2">
        <v>21000</v>
      </c>
      <c r="M1674" s="6">
        <f>Table1[[#This Row],[Total Sales]]+Table1[[#This Row],[Shipping Fee]]</f>
        <v>71400</v>
      </c>
      <c r="N1674" s="2" t="s">
        <v>22</v>
      </c>
      <c r="O1674" t="str">
        <f>VLOOKUP(Table1[[#This Row],[Order ID]],Status!A:B, 2,FALSE)</f>
        <v>Completed</v>
      </c>
      <c r="P1674" s="2" t="s">
        <v>23</v>
      </c>
      <c r="Q1674" s="2">
        <v>1</v>
      </c>
      <c r="R1674" s="2" t="s">
        <v>24</v>
      </c>
      <c r="S1674" s="11" t="str">
        <f t="shared" si="133"/>
        <v>Rendah</v>
      </c>
      <c r="T1674" s="2" t="str">
        <f t="shared" si="134"/>
        <v>Rendah</v>
      </c>
    </row>
    <row r="1675" spans="1:20" ht="15.75" customHeight="1" x14ac:dyDescent="0.3">
      <c r="A1675" s="4" t="s">
        <v>611</v>
      </c>
      <c r="B1675" s="3">
        <v>45613.832777777781</v>
      </c>
      <c r="C1675" s="2" t="s">
        <v>502</v>
      </c>
      <c r="D1675" s="2" t="s">
        <v>107</v>
      </c>
      <c r="E1675" s="2" t="s">
        <v>21</v>
      </c>
      <c r="F1675" s="2">
        <v>45000</v>
      </c>
      <c r="G1675" s="2">
        <v>2</v>
      </c>
      <c r="H1675" s="2">
        <v>20</v>
      </c>
      <c r="I1675">
        <f t="shared" si="130"/>
        <v>90000</v>
      </c>
      <c r="J1675">
        <f t="shared" si="131"/>
        <v>18000</v>
      </c>
      <c r="K1675" s="6">
        <f t="shared" si="132"/>
        <v>72000</v>
      </c>
      <c r="L1675" s="2">
        <v>97000</v>
      </c>
      <c r="M1675" s="6">
        <f>Table1[[#This Row],[Total Sales]]+Table1[[#This Row],[Shipping Fee]]</f>
        <v>169000</v>
      </c>
      <c r="N1675" s="2" t="s">
        <v>35</v>
      </c>
      <c r="O1675" t="str">
        <f>VLOOKUP(Table1[[#This Row],[Order ID]],Status!A:B, 2,FALSE)</f>
        <v>Completed</v>
      </c>
      <c r="P1675" s="2" t="s">
        <v>23</v>
      </c>
      <c r="Q1675" s="2">
        <v>2</v>
      </c>
      <c r="R1675" s="2" t="s">
        <v>24</v>
      </c>
      <c r="S1675" s="11" t="str">
        <f t="shared" si="133"/>
        <v>Rendah</v>
      </c>
      <c r="T1675" s="2" t="str">
        <f t="shared" si="134"/>
        <v>Normal</v>
      </c>
    </row>
    <row r="1676" spans="1:20" ht="15.75" customHeight="1" x14ac:dyDescent="0.3">
      <c r="A1676" s="4" t="s">
        <v>611</v>
      </c>
      <c r="B1676" s="3">
        <v>45613.832777777781</v>
      </c>
      <c r="C1676" s="2" t="s">
        <v>502</v>
      </c>
      <c r="D1676" s="2" t="s">
        <v>107</v>
      </c>
      <c r="E1676" s="2" t="s">
        <v>81</v>
      </c>
      <c r="F1676" s="2">
        <v>17000</v>
      </c>
      <c r="G1676" s="2">
        <v>1</v>
      </c>
      <c r="H1676" s="2">
        <v>5</v>
      </c>
      <c r="I1676">
        <f t="shared" si="130"/>
        <v>17000</v>
      </c>
      <c r="J1676">
        <f t="shared" si="131"/>
        <v>850</v>
      </c>
      <c r="K1676" s="6">
        <f t="shared" si="132"/>
        <v>16150</v>
      </c>
      <c r="L1676" s="2">
        <v>0</v>
      </c>
      <c r="M1676" s="6">
        <f>Table1[[#This Row],[Total Sales]]+Table1[[#This Row],[Shipping Fee]]</f>
        <v>16150</v>
      </c>
      <c r="N1676" s="2" t="s">
        <v>35</v>
      </c>
      <c r="O1676" t="str">
        <f>VLOOKUP(Table1[[#This Row],[Order ID]],Status!A:B, 2,FALSE)</f>
        <v>Completed</v>
      </c>
      <c r="P1676" s="2" t="s">
        <v>23</v>
      </c>
      <c r="Q1676" s="2">
        <v>2</v>
      </c>
      <c r="R1676" s="2" t="s">
        <v>24</v>
      </c>
      <c r="S1676" s="11" t="str">
        <f t="shared" si="133"/>
        <v>Rendah</v>
      </c>
      <c r="T1676" s="2" t="str">
        <f t="shared" si="134"/>
        <v>Sangat Rendah</v>
      </c>
    </row>
    <row r="1677" spans="1:20" ht="15.75" customHeight="1" x14ac:dyDescent="0.3">
      <c r="A1677" s="4" t="s">
        <v>610</v>
      </c>
      <c r="B1677" s="3">
        <v>45613.683703703697</v>
      </c>
      <c r="C1677" s="2" t="s">
        <v>281</v>
      </c>
      <c r="D1677" s="2" t="s">
        <v>151</v>
      </c>
      <c r="E1677" s="2" t="s">
        <v>54</v>
      </c>
      <c r="F1677" s="2">
        <v>16000</v>
      </c>
      <c r="G1677" s="2">
        <v>4</v>
      </c>
      <c r="H1677" s="2">
        <v>15</v>
      </c>
      <c r="I1677">
        <f t="shared" si="130"/>
        <v>64000</v>
      </c>
      <c r="J1677">
        <f t="shared" si="131"/>
        <v>9600</v>
      </c>
      <c r="K1677" s="6">
        <f t="shared" si="132"/>
        <v>54400</v>
      </c>
      <c r="L1677" s="2">
        <v>55000</v>
      </c>
      <c r="M1677" s="6">
        <f>Table1[[#This Row],[Total Sales]]+Table1[[#This Row],[Shipping Fee]]</f>
        <v>109400</v>
      </c>
      <c r="N1677" s="2" t="s">
        <v>29</v>
      </c>
      <c r="O1677" t="str">
        <f>VLOOKUP(Table1[[#This Row],[Order ID]],Status!A:B, 2,FALSE)</f>
        <v>Completed</v>
      </c>
      <c r="P1677" s="2" t="s">
        <v>36</v>
      </c>
      <c r="Q1677" s="2">
        <v>1</v>
      </c>
      <c r="R1677" s="2" t="s">
        <v>24</v>
      </c>
      <c r="S1677" s="11" t="str">
        <f t="shared" si="133"/>
        <v>Rendah</v>
      </c>
      <c r="T1677" s="2" t="str">
        <f t="shared" si="134"/>
        <v>Rendah</v>
      </c>
    </row>
    <row r="1678" spans="1:20" ht="15.75" customHeight="1" x14ac:dyDescent="0.3">
      <c r="A1678" s="4" t="s">
        <v>608</v>
      </c>
      <c r="B1678" s="3">
        <v>45613.462488425917</v>
      </c>
      <c r="C1678" s="2" t="s">
        <v>609</v>
      </c>
      <c r="D1678" s="2" t="s">
        <v>80</v>
      </c>
      <c r="E1678" s="2" t="s">
        <v>104</v>
      </c>
      <c r="F1678" s="2">
        <v>30000</v>
      </c>
      <c r="G1678" s="2">
        <v>2</v>
      </c>
      <c r="H1678" s="2">
        <v>15</v>
      </c>
      <c r="I1678">
        <f t="shared" si="130"/>
        <v>60000</v>
      </c>
      <c r="J1678">
        <f t="shared" si="131"/>
        <v>9000</v>
      </c>
      <c r="K1678" s="6">
        <f t="shared" si="132"/>
        <v>51000</v>
      </c>
      <c r="L1678" s="2">
        <v>74000</v>
      </c>
      <c r="M1678" s="6">
        <f>Table1[[#This Row],[Total Sales]]+Table1[[#This Row],[Shipping Fee]]</f>
        <v>125000</v>
      </c>
      <c r="N1678" s="2" t="s">
        <v>63</v>
      </c>
      <c r="O1678" t="str">
        <f>VLOOKUP(Table1[[#This Row],[Order ID]],Status!A:B, 2,FALSE)</f>
        <v>Completed</v>
      </c>
      <c r="P1678" s="2" t="s">
        <v>82</v>
      </c>
      <c r="Q1678" s="2">
        <v>2</v>
      </c>
      <c r="R1678" s="2" t="s">
        <v>24</v>
      </c>
      <c r="S1678" s="11" t="str">
        <f t="shared" si="133"/>
        <v>Rendah</v>
      </c>
      <c r="T1678" s="2" t="str">
        <f t="shared" si="134"/>
        <v>Rendah</v>
      </c>
    </row>
    <row r="1679" spans="1:20" ht="15.75" customHeight="1" x14ac:dyDescent="0.3">
      <c r="A1679" s="4" t="s">
        <v>607</v>
      </c>
      <c r="B1679" s="3">
        <v>45613.345520833333</v>
      </c>
      <c r="C1679" s="2" t="s">
        <v>48</v>
      </c>
      <c r="D1679" s="2" t="s">
        <v>49</v>
      </c>
      <c r="E1679" s="2" t="s">
        <v>136</v>
      </c>
      <c r="F1679" s="2">
        <v>12000</v>
      </c>
      <c r="G1679" s="2">
        <v>1</v>
      </c>
      <c r="H1679" s="2">
        <v>0</v>
      </c>
      <c r="I1679">
        <f t="shared" si="130"/>
        <v>12000</v>
      </c>
      <c r="J1679">
        <f t="shared" si="131"/>
        <v>0</v>
      </c>
      <c r="K1679" s="6">
        <f t="shared" si="132"/>
        <v>12000</v>
      </c>
      <c r="L1679" s="2">
        <v>43000</v>
      </c>
      <c r="M1679" s="6">
        <f>Table1[[#This Row],[Total Sales]]+Table1[[#This Row],[Shipping Fee]]</f>
        <v>55000</v>
      </c>
      <c r="N1679" s="2" t="s">
        <v>22</v>
      </c>
      <c r="O1679" t="str">
        <f>VLOOKUP(Table1[[#This Row],[Order ID]],Status!A:B, 2,FALSE)</f>
        <v>Completed</v>
      </c>
      <c r="P1679" s="2" t="s">
        <v>30</v>
      </c>
      <c r="Q1679" s="2">
        <v>4</v>
      </c>
      <c r="R1679" s="2" t="s">
        <v>24</v>
      </c>
      <c r="S1679" s="11" t="str">
        <f t="shared" si="133"/>
        <v>Bagus</v>
      </c>
      <c r="T1679" s="2" t="str">
        <f t="shared" si="134"/>
        <v>Sangat Rendah</v>
      </c>
    </row>
    <row r="1680" spans="1:20" ht="15.75" customHeight="1" x14ac:dyDescent="0.3">
      <c r="A1680" s="4" t="s">
        <v>606</v>
      </c>
      <c r="B1680" s="3">
        <v>45613.286724537043</v>
      </c>
      <c r="C1680" s="2" t="s">
        <v>416</v>
      </c>
      <c r="D1680" s="2" t="s">
        <v>131</v>
      </c>
      <c r="E1680" s="2" t="s">
        <v>38</v>
      </c>
      <c r="F1680" s="2">
        <v>28000</v>
      </c>
      <c r="G1680" s="2">
        <v>5</v>
      </c>
      <c r="H1680" s="2">
        <v>5</v>
      </c>
      <c r="I1680">
        <f t="shared" si="130"/>
        <v>140000</v>
      </c>
      <c r="J1680">
        <f t="shared" si="131"/>
        <v>7000</v>
      </c>
      <c r="K1680" s="6">
        <f t="shared" si="132"/>
        <v>133000</v>
      </c>
      <c r="L1680" s="2">
        <v>59000</v>
      </c>
      <c r="M1680" s="6">
        <f>Table1[[#This Row],[Total Sales]]+Table1[[#This Row],[Shipping Fee]]</f>
        <v>192000</v>
      </c>
      <c r="N1680" s="2" t="s">
        <v>63</v>
      </c>
      <c r="O1680" t="str">
        <f>VLOOKUP(Table1[[#This Row],[Order ID]],Status!A:B, 2,FALSE)</f>
        <v>Completed</v>
      </c>
      <c r="P1680" s="2" t="s">
        <v>46</v>
      </c>
      <c r="Q1680" s="2">
        <v>1</v>
      </c>
      <c r="R1680" s="2" t="s">
        <v>24</v>
      </c>
      <c r="S1680" s="11" t="str">
        <f t="shared" si="133"/>
        <v>Rendah</v>
      </c>
      <c r="T1680" s="2" t="str">
        <f t="shared" si="134"/>
        <v>Rendah</v>
      </c>
    </row>
    <row r="1681" spans="1:20" ht="15.75" customHeight="1" x14ac:dyDescent="0.3">
      <c r="A1681" s="4" t="s">
        <v>604</v>
      </c>
      <c r="B1681" s="3">
        <v>45613.129432870373</v>
      </c>
      <c r="C1681" s="2" t="s">
        <v>605</v>
      </c>
      <c r="D1681" s="2" t="s">
        <v>151</v>
      </c>
      <c r="E1681" s="2" t="s">
        <v>75</v>
      </c>
      <c r="F1681" s="2">
        <v>55000</v>
      </c>
      <c r="G1681" s="2">
        <v>4</v>
      </c>
      <c r="H1681" s="2">
        <v>20</v>
      </c>
      <c r="I1681">
        <f t="shared" si="130"/>
        <v>220000</v>
      </c>
      <c r="J1681">
        <f t="shared" si="131"/>
        <v>44000</v>
      </c>
      <c r="K1681" s="6">
        <f t="shared" si="132"/>
        <v>176000</v>
      </c>
      <c r="L1681" s="2">
        <v>55000</v>
      </c>
      <c r="M1681" s="6">
        <f>Table1[[#This Row],[Total Sales]]+Table1[[#This Row],[Shipping Fee]]</f>
        <v>231000</v>
      </c>
      <c r="N1681" s="2" t="s">
        <v>29</v>
      </c>
      <c r="O1681" t="str">
        <f>VLOOKUP(Table1[[#This Row],[Order ID]],Status!A:B, 2,FALSE)</f>
        <v>Completed</v>
      </c>
      <c r="P1681" s="2" t="s">
        <v>46</v>
      </c>
      <c r="Q1681" s="2">
        <v>2</v>
      </c>
      <c r="R1681" s="2" t="s">
        <v>24</v>
      </c>
      <c r="S1681" s="11" t="str">
        <f t="shared" si="133"/>
        <v>Rendah</v>
      </c>
      <c r="T1681" s="2" t="str">
        <f t="shared" si="134"/>
        <v>Sangat Tinggi</v>
      </c>
    </row>
    <row r="1682" spans="1:20" ht="15.75" customHeight="1" x14ac:dyDescent="0.3">
      <c r="A1682" s="4" t="s">
        <v>602</v>
      </c>
      <c r="B1682" s="3">
        <v>45612.995729166672</v>
      </c>
      <c r="C1682" s="2" t="s">
        <v>603</v>
      </c>
      <c r="D1682" s="2" t="s">
        <v>53</v>
      </c>
      <c r="E1682" s="2" t="s">
        <v>34</v>
      </c>
      <c r="F1682" s="2">
        <v>16000</v>
      </c>
      <c r="G1682" s="2">
        <v>3</v>
      </c>
      <c r="H1682" s="2">
        <v>20</v>
      </c>
      <c r="I1682">
        <f t="shared" si="130"/>
        <v>48000</v>
      </c>
      <c r="J1682">
        <f t="shared" si="131"/>
        <v>9600</v>
      </c>
      <c r="K1682" s="6">
        <f t="shared" si="132"/>
        <v>38400</v>
      </c>
      <c r="L1682" s="2">
        <v>18000</v>
      </c>
      <c r="M1682" s="6">
        <f>Table1[[#This Row],[Total Sales]]+Table1[[#This Row],[Shipping Fee]]</f>
        <v>56400</v>
      </c>
      <c r="N1682" s="2" t="s">
        <v>29</v>
      </c>
      <c r="O1682" t="str">
        <f>VLOOKUP(Table1[[#This Row],[Order ID]],Status!A:B, 2,FALSE)</f>
        <v>Returned</v>
      </c>
      <c r="P1682" s="2" t="s">
        <v>23</v>
      </c>
      <c r="Q1682" s="2">
        <v>1</v>
      </c>
      <c r="R1682" s="2" t="s">
        <v>24</v>
      </c>
      <c r="S1682" s="11" t="str">
        <f t="shared" si="133"/>
        <v>Rendah</v>
      </c>
      <c r="T1682" s="2" t="str">
        <f t="shared" si="134"/>
        <v>Rendah</v>
      </c>
    </row>
    <row r="1683" spans="1:20" ht="15.75" customHeight="1" x14ac:dyDescent="0.3">
      <c r="A1683" s="4" t="s">
        <v>600</v>
      </c>
      <c r="B1683" s="3">
        <v>45612.747106481482</v>
      </c>
      <c r="C1683" s="2" t="s">
        <v>601</v>
      </c>
      <c r="D1683" s="2" t="s">
        <v>119</v>
      </c>
      <c r="E1683" s="2" t="s">
        <v>93</v>
      </c>
      <c r="F1683" s="2">
        <v>25000</v>
      </c>
      <c r="G1683" s="2">
        <v>4</v>
      </c>
      <c r="H1683" s="2">
        <v>0</v>
      </c>
      <c r="I1683">
        <f t="shared" si="130"/>
        <v>100000</v>
      </c>
      <c r="J1683">
        <f t="shared" si="131"/>
        <v>0</v>
      </c>
      <c r="K1683" s="6">
        <f t="shared" si="132"/>
        <v>100000</v>
      </c>
      <c r="L1683" s="2">
        <v>0</v>
      </c>
      <c r="M1683" s="6">
        <f>Table1[[#This Row],[Total Sales]]+Table1[[#This Row],[Shipping Fee]]</f>
        <v>100000</v>
      </c>
      <c r="N1683" s="2" t="s">
        <v>22</v>
      </c>
      <c r="O1683" t="str">
        <f>VLOOKUP(Table1[[#This Row],[Order ID]],Status!A:B, 2,FALSE)</f>
        <v>Completed</v>
      </c>
      <c r="P1683" s="2" t="s">
        <v>46</v>
      </c>
      <c r="Q1683" s="2">
        <v>3</v>
      </c>
      <c r="R1683" s="2" t="s">
        <v>24</v>
      </c>
      <c r="S1683" s="11" t="str">
        <f t="shared" si="133"/>
        <v>Standar</v>
      </c>
      <c r="T1683" s="2" t="str">
        <f t="shared" si="134"/>
        <v>Sangat Rendah</v>
      </c>
    </row>
    <row r="1684" spans="1:20" ht="15.75" customHeight="1" x14ac:dyDescent="0.3">
      <c r="A1684" s="4" t="s">
        <v>599</v>
      </c>
      <c r="B1684" s="3">
        <v>45612.743634259263</v>
      </c>
      <c r="C1684" s="2" t="s">
        <v>443</v>
      </c>
      <c r="D1684" s="2" t="s">
        <v>53</v>
      </c>
      <c r="E1684" s="2" t="s">
        <v>54</v>
      </c>
      <c r="F1684" s="2">
        <v>16000</v>
      </c>
      <c r="G1684" s="2">
        <v>2</v>
      </c>
      <c r="H1684" s="2">
        <v>5</v>
      </c>
      <c r="I1684">
        <f t="shared" si="130"/>
        <v>32000</v>
      </c>
      <c r="J1684">
        <f t="shared" si="131"/>
        <v>1600</v>
      </c>
      <c r="K1684" s="6">
        <f t="shared" si="132"/>
        <v>30400</v>
      </c>
      <c r="L1684" s="2">
        <v>18000</v>
      </c>
      <c r="M1684" s="6">
        <f>Table1[[#This Row],[Total Sales]]+Table1[[#This Row],[Shipping Fee]]</f>
        <v>48400</v>
      </c>
      <c r="N1684" s="2" t="s">
        <v>35</v>
      </c>
      <c r="O1684" t="str">
        <f>VLOOKUP(Table1[[#This Row],[Order ID]],Status!A:B, 2,FALSE)</f>
        <v>Completed</v>
      </c>
      <c r="P1684" s="2" t="s">
        <v>36</v>
      </c>
      <c r="Q1684" s="2">
        <v>2</v>
      </c>
      <c r="R1684" s="2" t="s">
        <v>24</v>
      </c>
      <c r="S1684" s="11" t="str">
        <f t="shared" si="133"/>
        <v>Rendah</v>
      </c>
      <c r="T1684" s="2" t="str">
        <f t="shared" si="134"/>
        <v>Sangat Rendah</v>
      </c>
    </row>
    <row r="1685" spans="1:20" ht="15.75" customHeight="1" x14ac:dyDescent="0.3">
      <c r="A1685" s="4" t="s">
        <v>597</v>
      </c>
      <c r="B1685" s="3">
        <v>45612.498726851853</v>
      </c>
      <c r="C1685" s="2" t="s">
        <v>598</v>
      </c>
      <c r="D1685" s="2" t="s">
        <v>61</v>
      </c>
      <c r="E1685" s="2" t="s">
        <v>190</v>
      </c>
      <c r="F1685" s="2">
        <v>35000</v>
      </c>
      <c r="G1685" s="2">
        <v>1</v>
      </c>
      <c r="H1685" s="2">
        <v>5</v>
      </c>
      <c r="I1685">
        <f t="shared" si="130"/>
        <v>35000</v>
      </c>
      <c r="J1685">
        <f t="shared" si="131"/>
        <v>1750</v>
      </c>
      <c r="K1685" s="6">
        <f t="shared" si="132"/>
        <v>33250</v>
      </c>
      <c r="L1685" s="2">
        <v>26000</v>
      </c>
      <c r="M1685" s="6">
        <f>Table1[[#This Row],[Total Sales]]+Table1[[#This Row],[Shipping Fee]]</f>
        <v>59250</v>
      </c>
      <c r="N1685" s="2" t="s">
        <v>29</v>
      </c>
      <c r="O1685" t="str">
        <f>VLOOKUP(Table1[[#This Row],[Order ID]],Status!A:B, 2,FALSE)</f>
        <v>Completed</v>
      </c>
      <c r="P1685" s="2" t="s">
        <v>46</v>
      </c>
      <c r="Q1685" s="2">
        <v>4</v>
      </c>
      <c r="R1685" s="2" t="s">
        <v>24</v>
      </c>
      <c r="S1685" s="11" t="str">
        <f t="shared" si="133"/>
        <v>Bagus</v>
      </c>
      <c r="T1685" s="2" t="str">
        <f t="shared" si="134"/>
        <v>Sangat Rendah</v>
      </c>
    </row>
    <row r="1686" spans="1:20" ht="15.75" customHeight="1" x14ac:dyDescent="0.3">
      <c r="A1686" s="4" t="s">
        <v>595</v>
      </c>
      <c r="B1686" s="3">
        <v>45612.389988425923</v>
      </c>
      <c r="C1686" s="2" t="s">
        <v>596</v>
      </c>
      <c r="D1686" s="2" t="s">
        <v>70</v>
      </c>
      <c r="E1686" s="2" t="s">
        <v>34</v>
      </c>
      <c r="F1686" s="2">
        <v>16000</v>
      </c>
      <c r="G1686" s="2">
        <v>3</v>
      </c>
      <c r="H1686" s="2">
        <v>20</v>
      </c>
      <c r="I1686">
        <f t="shared" si="130"/>
        <v>48000</v>
      </c>
      <c r="J1686">
        <f t="shared" si="131"/>
        <v>9600</v>
      </c>
      <c r="K1686" s="6">
        <f t="shared" si="132"/>
        <v>38400</v>
      </c>
      <c r="L1686" s="2">
        <v>89000</v>
      </c>
      <c r="M1686" s="6">
        <f>Table1[[#This Row],[Total Sales]]+Table1[[#This Row],[Shipping Fee]]</f>
        <v>127400</v>
      </c>
      <c r="N1686" s="2" t="s">
        <v>29</v>
      </c>
      <c r="O1686" t="str">
        <f>VLOOKUP(Table1[[#This Row],[Order ID]],Status!A:B, 2,FALSE)</f>
        <v>Completed</v>
      </c>
      <c r="P1686" s="2" t="s">
        <v>36</v>
      </c>
      <c r="Q1686" s="2">
        <v>3</v>
      </c>
      <c r="R1686" s="2" t="s">
        <v>24</v>
      </c>
      <c r="S1686" s="11" t="str">
        <f t="shared" si="133"/>
        <v>Standar</v>
      </c>
      <c r="T1686" s="2" t="str">
        <f t="shared" si="134"/>
        <v>Rendah</v>
      </c>
    </row>
    <row r="1687" spans="1:20" ht="15.75" customHeight="1" x14ac:dyDescent="0.3">
      <c r="A1687" s="4" t="s">
        <v>594</v>
      </c>
      <c r="B1687" s="3">
        <v>45612.002303240741</v>
      </c>
      <c r="C1687" s="2" t="s">
        <v>106</v>
      </c>
      <c r="D1687" s="2" t="s">
        <v>107</v>
      </c>
      <c r="E1687" s="2" t="s">
        <v>123</v>
      </c>
      <c r="F1687" s="2">
        <v>22000</v>
      </c>
      <c r="G1687" s="2">
        <v>5</v>
      </c>
      <c r="H1687" s="2">
        <v>5</v>
      </c>
      <c r="I1687">
        <f t="shared" si="130"/>
        <v>110000</v>
      </c>
      <c r="J1687">
        <f t="shared" si="131"/>
        <v>5500</v>
      </c>
      <c r="K1687" s="6">
        <f t="shared" si="132"/>
        <v>104500</v>
      </c>
      <c r="L1687" s="2">
        <v>97000</v>
      </c>
      <c r="M1687" s="6">
        <f>Table1[[#This Row],[Total Sales]]+Table1[[#This Row],[Shipping Fee]]</f>
        <v>201500</v>
      </c>
      <c r="N1687" s="2" t="s">
        <v>22</v>
      </c>
      <c r="O1687" t="str">
        <f>VLOOKUP(Table1[[#This Row],[Order ID]],Status!A:B, 2,FALSE)</f>
        <v>Completed</v>
      </c>
      <c r="P1687" s="2" t="s">
        <v>30</v>
      </c>
      <c r="Q1687" s="2">
        <v>4</v>
      </c>
      <c r="R1687" s="2" t="s">
        <v>24</v>
      </c>
      <c r="S1687" s="11" t="str">
        <f t="shared" si="133"/>
        <v>Bagus</v>
      </c>
      <c r="T1687" s="2" t="str">
        <f t="shared" si="134"/>
        <v>Rendah</v>
      </c>
    </row>
    <row r="1688" spans="1:20" ht="15.75" customHeight="1" x14ac:dyDescent="0.3">
      <c r="A1688" s="4" t="s">
        <v>592</v>
      </c>
      <c r="B1688" s="3">
        <v>45611.797002314823</v>
      </c>
      <c r="C1688" s="2" t="s">
        <v>593</v>
      </c>
      <c r="D1688" s="2" t="s">
        <v>195</v>
      </c>
      <c r="E1688" s="2" t="s">
        <v>144</v>
      </c>
      <c r="F1688" s="2">
        <v>18000</v>
      </c>
      <c r="G1688" s="2">
        <v>2</v>
      </c>
      <c r="H1688" s="2">
        <v>5</v>
      </c>
      <c r="I1688">
        <f t="shared" si="130"/>
        <v>36000</v>
      </c>
      <c r="J1688">
        <f t="shared" si="131"/>
        <v>1800</v>
      </c>
      <c r="K1688" s="6">
        <f t="shared" si="132"/>
        <v>34200</v>
      </c>
      <c r="L1688" s="2">
        <v>87000</v>
      </c>
      <c r="M1688" s="6">
        <f>Table1[[#This Row],[Total Sales]]+Table1[[#This Row],[Shipping Fee]]</f>
        <v>121200</v>
      </c>
      <c r="N1688" s="2" t="s">
        <v>22</v>
      </c>
      <c r="O1688" t="str">
        <f>VLOOKUP(Table1[[#This Row],[Order ID]],Status!A:B, 2,FALSE)</f>
        <v>Completed</v>
      </c>
      <c r="P1688" s="2" t="s">
        <v>46</v>
      </c>
      <c r="Q1688" s="2">
        <v>4</v>
      </c>
      <c r="R1688" s="2" t="s">
        <v>24</v>
      </c>
      <c r="S1688" s="11" t="str">
        <f t="shared" si="133"/>
        <v>Bagus</v>
      </c>
      <c r="T1688" s="2" t="str">
        <f t="shared" si="134"/>
        <v>Sangat Rendah</v>
      </c>
    </row>
    <row r="1689" spans="1:20" ht="15.75" customHeight="1" x14ac:dyDescent="0.3">
      <c r="A1689" s="4" t="s">
        <v>591</v>
      </c>
      <c r="B1689" s="3">
        <v>45611.544317129628</v>
      </c>
      <c r="C1689" s="2" t="s">
        <v>237</v>
      </c>
      <c r="D1689" s="2" t="s">
        <v>238</v>
      </c>
      <c r="E1689" s="2" t="s">
        <v>41</v>
      </c>
      <c r="F1689" s="2">
        <v>4000</v>
      </c>
      <c r="G1689" s="2">
        <v>1</v>
      </c>
      <c r="H1689" s="2">
        <v>0</v>
      </c>
      <c r="I1689">
        <f t="shared" si="130"/>
        <v>4000</v>
      </c>
      <c r="J1689">
        <f t="shared" si="131"/>
        <v>0</v>
      </c>
      <c r="K1689" s="6">
        <f t="shared" si="132"/>
        <v>4000</v>
      </c>
      <c r="L1689" s="2">
        <v>28000</v>
      </c>
      <c r="M1689" s="6">
        <f>Table1[[#This Row],[Total Sales]]+Table1[[#This Row],[Shipping Fee]]</f>
        <v>32000</v>
      </c>
      <c r="N1689" s="2" t="s">
        <v>63</v>
      </c>
      <c r="O1689" t="str">
        <f>VLOOKUP(Table1[[#This Row],[Order ID]],Status!A:B, 2,FALSE)</f>
        <v>Completed</v>
      </c>
      <c r="P1689" s="2" t="s">
        <v>36</v>
      </c>
      <c r="Q1689" s="2">
        <v>4</v>
      </c>
      <c r="R1689" s="2" t="s">
        <v>24</v>
      </c>
      <c r="S1689" s="11" t="str">
        <f t="shared" si="133"/>
        <v>Bagus</v>
      </c>
      <c r="T1689" s="2" t="str">
        <f t="shared" si="134"/>
        <v>Sangat Rendah</v>
      </c>
    </row>
    <row r="1690" spans="1:20" ht="15.75" customHeight="1" x14ac:dyDescent="0.3">
      <c r="A1690" s="4" t="s">
        <v>590</v>
      </c>
      <c r="B1690" s="3">
        <v>45611.286041666674</v>
      </c>
      <c r="C1690" s="2" t="s">
        <v>570</v>
      </c>
      <c r="D1690" s="2" t="s">
        <v>80</v>
      </c>
      <c r="E1690" s="2" t="s">
        <v>144</v>
      </c>
      <c r="F1690" s="2">
        <v>18000</v>
      </c>
      <c r="G1690" s="2">
        <v>1</v>
      </c>
      <c r="H1690" s="2">
        <v>20</v>
      </c>
      <c r="I1690">
        <f t="shared" si="130"/>
        <v>18000</v>
      </c>
      <c r="J1690">
        <f t="shared" si="131"/>
        <v>3600</v>
      </c>
      <c r="K1690" s="6">
        <f t="shared" si="132"/>
        <v>14400</v>
      </c>
      <c r="L1690" s="2">
        <v>74000</v>
      </c>
      <c r="M1690" s="6">
        <f>Table1[[#This Row],[Total Sales]]+Table1[[#This Row],[Shipping Fee]]</f>
        <v>88400</v>
      </c>
      <c r="N1690" s="2" t="s">
        <v>29</v>
      </c>
      <c r="O1690" t="str">
        <f>VLOOKUP(Table1[[#This Row],[Order ID]],Status!A:B, 2,FALSE)</f>
        <v>Completed</v>
      </c>
      <c r="P1690" s="2" t="s">
        <v>23</v>
      </c>
      <c r="Q1690" s="2">
        <v>1</v>
      </c>
      <c r="R1690" s="2" t="s">
        <v>24</v>
      </c>
      <c r="S1690" s="11" t="str">
        <f t="shared" si="133"/>
        <v>Rendah</v>
      </c>
      <c r="T1690" s="2" t="str">
        <f t="shared" si="134"/>
        <v>Sangat Rendah</v>
      </c>
    </row>
    <row r="1691" spans="1:20" ht="15.75" customHeight="1" x14ac:dyDescent="0.3">
      <c r="A1691" s="4" t="s">
        <v>588</v>
      </c>
      <c r="B1691" s="3">
        <v>45610.841840277782</v>
      </c>
      <c r="C1691" s="2" t="s">
        <v>589</v>
      </c>
      <c r="D1691" s="2" t="s">
        <v>262</v>
      </c>
      <c r="E1691" s="2" t="s">
        <v>71</v>
      </c>
      <c r="F1691" s="2">
        <v>40000</v>
      </c>
      <c r="G1691" s="2">
        <v>2</v>
      </c>
      <c r="H1691" s="2">
        <v>10</v>
      </c>
      <c r="I1691">
        <f t="shared" si="130"/>
        <v>80000</v>
      </c>
      <c r="J1691">
        <f t="shared" si="131"/>
        <v>8000</v>
      </c>
      <c r="K1691" s="6">
        <f t="shared" si="132"/>
        <v>72000</v>
      </c>
      <c r="L1691" s="2">
        <v>18000</v>
      </c>
      <c r="M1691" s="6">
        <f>Table1[[#This Row],[Total Sales]]+Table1[[#This Row],[Shipping Fee]]</f>
        <v>90000</v>
      </c>
      <c r="N1691" s="2" t="s">
        <v>29</v>
      </c>
      <c r="O1691" t="str">
        <f>VLOOKUP(Table1[[#This Row],[Order ID]],Status!A:B, 2,FALSE)</f>
        <v>Completed</v>
      </c>
      <c r="P1691" s="2" t="s">
        <v>36</v>
      </c>
      <c r="Q1691" s="2">
        <v>4</v>
      </c>
      <c r="R1691" s="2" t="s">
        <v>37</v>
      </c>
      <c r="S1691" s="11" t="str">
        <f t="shared" si="133"/>
        <v>Bagus</v>
      </c>
      <c r="T1691" s="2" t="str">
        <f t="shared" si="134"/>
        <v>Rendah</v>
      </c>
    </row>
    <row r="1692" spans="1:20" ht="15.75" customHeight="1" x14ac:dyDescent="0.3">
      <c r="A1692" s="4" t="s">
        <v>587</v>
      </c>
      <c r="B1692" s="3">
        <v>45610.784502314818</v>
      </c>
      <c r="C1692" s="2" t="s">
        <v>142</v>
      </c>
      <c r="D1692" s="2" t="s">
        <v>143</v>
      </c>
      <c r="E1692" s="2" t="s">
        <v>21</v>
      </c>
      <c r="F1692" s="2">
        <v>45000</v>
      </c>
      <c r="G1692" s="2">
        <v>2</v>
      </c>
      <c r="H1692" s="2">
        <v>15</v>
      </c>
      <c r="I1692">
        <f t="shared" si="130"/>
        <v>90000</v>
      </c>
      <c r="J1692">
        <f t="shared" si="131"/>
        <v>13500</v>
      </c>
      <c r="K1692" s="6">
        <f t="shared" si="132"/>
        <v>76500</v>
      </c>
      <c r="L1692" s="2">
        <v>50000</v>
      </c>
      <c r="M1692" s="6">
        <f>Table1[[#This Row],[Total Sales]]+Table1[[#This Row],[Shipping Fee]]</f>
        <v>126500</v>
      </c>
      <c r="N1692" s="2" t="s">
        <v>35</v>
      </c>
      <c r="O1692" t="str">
        <f>VLOOKUP(Table1[[#This Row],[Order ID]],Status!A:B, 2,FALSE)</f>
        <v>Completed</v>
      </c>
      <c r="P1692" s="2" t="s">
        <v>30</v>
      </c>
      <c r="Q1692" s="2">
        <v>5</v>
      </c>
      <c r="R1692" s="2" t="s">
        <v>24</v>
      </c>
      <c r="S1692" s="11" t="str">
        <f t="shared" si="133"/>
        <v>Bagus</v>
      </c>
      <c r="T1692" s="2" t="str">
        <f t="shared" si="134"/>
        <v>Normal</v>
      </c>
    </row>
    <row r="1693" spans="1:20" ht="15.75" customHeight="1" x14ac:dyDescent="0.3">
      <c r="A1693" s="4" t="s">
        <v>586</v>
      </c>
      <c r="B1693" s="3">
        <v>45610.736064814817</v>
      </c>
      <c r="C1693" s="2" t="s">
        <v>102</v>
      </c>
      <c r="D1693" s="2" t="s">
        <v>103</v>
      </c>
      <c r="E1693" s="2" t="s">
        <v>67</v>
      </c>
      <c r="F1693" s="2">
        <v>15000</v>
      </c>
      <c r="G1693" s="2">
        <v>4</v>
      </c>
      <c r="H1693" s="2">
        <v>5</v>
      </c>
      <c r="I1693">
        <f t="shared" si="130"/>
        <v>60000</v>
      </c>
      <c r="J1693">
        <f t="shared" si="131"/>
        <v>3000</v>
      </c>
      <c r="K1693" s="6">
        <f t="shared" si="132"/>
        <v>57000</v>
      </c>
      <c r="L1693" s="2">
        <v>85000</v>
      </c>
      <c r="M1693" s="6">
        <f>Table1[[#This Row],[Total Sales]]+Table1[[#This Row],[Shipping Fee]]</f>
        <v>142000</v>
      </c>
      <c r="N1693" s="2" t="s">
        <v>63</v>
      </c>
      <c r="O1693" t="str">
        <f>VLOOKUP(Table1[[#This Row],[Order ID]],Status!A:B, 2,FALSE)</f>
        <v>Completed</v>
      </c>
      <c r="P1693" s="2" t="s">
        <v>82</v>
      </c>
      <c r="Q1693" s="2">
        <v>4</v>
      </c>
      <c r="R1693" s="2" t="s">
        <v>24</v>
      </c>
      <c r="S1693" s="11" t="str">
        <f t="shared" si="133"/>
        <v>Bagus</v>
      </c>
      <c r="T1693" s="2" t="str">
        <f t="shared" si="134"/>
        <v>Sangat Rendah</v>
      </c>
    </row>
    <row r="1694" spans="1:20" ht="15.75" customHeight="1" x14ac:dyDescent="0.3">
      <c r="A1694" s="4" t="s">
        <v>585</v>
      </c>
      <c r="B1694" s="3">
        <v>45609.545034722221</v>
      </c>
      <c r="C1694" s="2" t="s">
        <v>254</v>
      </c>
      <c r="D1694" s="2" t="s">
        <v>61</v>
      </c>
      <c r="E1694" s="2" t="s">
        <v>190</v>
      </c>
      <c r="F1694" s="2">
        <v>35000</v>
      </c>
      <c r="G1694" s="2">
        <v>2</v>
      </c>
      <c r="H1694" s="2">
        <v>10</v>
      </c>
      <c r="I1694">
        <f t="shared" si="130"/>
        <v>70000</v>
      </c>
      <c r="J1694">
        <f t="shared" si="131"/>
        <v>7000</v>
      </c>
      <c r="K1694" s="6">
        <f t="shared" si="132"/>
        <v>63000</v>
      </c>
      <c r="L1694" s="2">
        <v>26000</v>
      </c>
      <c r="M1694" s="6">
        <f>Table1[[#This Row],[Total Sales]]+Table1[[#This Row],[Shipping Fee]]</f>
        <v>89000</v>
      </c>
      <c r="N1694" s="2" t="s">
        <v>29</v>
      </c>
      <c r="O1694" t="str">
        <f>VLOOKUP(Table1[[#This Row],[Order ID]],Status!A:B, 2,FALSE)</f>
        <v>Returned</v>
      </c>
      <c r="P1694" s="2" t="s">
        <v>36</v>
      </c>
      <c r="Q1694" s="2">
        <v>2</v>
      </c>
      <c r="R1694" s="2" t="s">
        <v>24</v>
      </c>
      <c r="S1694" s="11" t="str">
        <f t="shared" si="133"/>
        <v>Rendah</v>
      </c>
      <c r="T1694" s="2" t="str">
        <f t="shared" si="134"/>
        <v>Rendah</v>
      </c>
    </row>
    <row r="1695" spans="1:20" ht="15.75" customHeight="1" x14ac:dyDescent="0.3">
      <c r="A1695" s="4" t="s">
        <v>583</v>
      </c>
      <c r="B1695" s="3">
        <v>45609.333831018521</v>
      </c>
      <c r="C1695" s="2" t="s">
        <v>584</v>
      </c>
      <c r="D1695" s="2" t="s">
        <v>92</v>
      </c>
      <c r="E1695" s="2" t="s">
        <v>28</v>
      </c>
      <c r="F1695" s="2">
        <v>5000</v>
      </c>
      <c r="G1695" s="2">
        <v>4</v>
      </c>
      <c r="H1695" s="2">
        <v>0</v>
      </c>
      <c r="I1695">
        <f t="shared" si="130"/>
        <v>20000</v>
      </c>
      <c r="J1695">
        <f t="shared" si="131"/>
        <v>0</v>
      </c>
      <c r="K1695" s="6">
        <f t="shared" si="132"/>
        <v>20000</v>
      </c>
      <c r="L1695" s="2">
        <v>30000</v>
      </c>
      <c r="M1695" s="6">
        <f>Table1[[#This Row],[Total Sales]]+Table1[[#This Row],[Shipping Fee]]</f>
        <v>50000</v>
      </c>
      <c r="N1695" s="2" t="s">
        <v>22</v>
      </c>
      <c r="O1695" t="str">
        <f>VLOOKUP(Table1[[#This Row],[Order ID]],Status!A:B, 2,FALSE)</f>
        <v>Returned</v>
      </c>
      <c r="P1695" s="2" t="s">
        <v>82</v>
      </c>
      <c r="Q1695" s="2">
        <v>2</v>
      </c>
      <c r="R1695" s="2" t="s">
        <v>24</v>
      </c>
      <c r="S1695" s="11" t="str">
        <f t="shared" si="133"/>
        <v>Rendah</v>
      </c>
      <c r="T1695" s="2" t="str">
        <f t="shared" si="134"/>
        <v>Sangat Rendah</v>
      </c>
    </row>
    <row r="1696" spans="1:20" ht="15.75" customHeight="1" x14ac:dyDescent="0.3">
      <c r="A1696" s="4" t="s">
        <v>581</v>
      </c>
      <c r="B1696" s="3">
        <v>45609.193136574067</v>
      </c>
      <c r="C1696" s="2" t="s">
        <v>582</v>
      </c>
      <c r="D1696" s="2" t="s">
        <v>435</v>
      </c>
      <c r="E1696" s="2" t="s">
        <v>123</v>
      </c>
      <c r="F1696" s="2">
        <v>22000</v>
      </c>
      <c r="G1696" s="2">
        <v>1</v>
      </c>
      <c r="H1696" s="2">
        <v>15</v>
      </c>
      <c r="I1696">
        <f t="shared" si="130"/>
        <v>22000</v>
      </c>
      <c r="J1696">
        <f t="shared" si="131"/>
        <v>3300</v>
      </c>
      <c r="K1696" s="6">
        <f t="shared" si="132"/>
        <v>18700</v>
      </c>
      <c r="L1696" s="2">
        <v>67000</v>
      </c>
      <c r="M1696" s="6">
        <f>Table1[[#This Row],[Total Sales]]+Table1[[#This Row],[Shipping Fee]]</f>
        <v>85700</v>
      </c>
      <c r="N1696" s="2" t="s">
        <v>29</v>
      </c>
      <c r="O1696" t="str">
        <f>VLOOKUP(Table1[[#This Row],[Order ID]],Status!A:B, 2,FALSE)</f>
        <v>Returned</v>
      </c>
      <c r="P1696" s="2" t="s">
        <v>23</v>
      </c>
      <c r="Q1696" s="2">
        <v>2</v>
      </c>
      <c r="R1696" s="2" t="s">
        <v>24</v>
      </c>
      <c r="S1696" s="11" t="str">
        <f t="shared" si="133"/>
        <v>Rendah</v>
      </c>
      <c r="T1696" s="2" t="str">
        <f t="shared" si="134"/>
        <v>Sangat Rendah</v>
      </c>
    </row>
    <row r="1697" spans="1:20" ht="15.75" customHeight="1" x14ac:dyDescent="0.3">
      <c r="A1697" s="4" t="s">
        <v>580</v>
      </c>
      <c r="B1697" s="3">
        <v>45609.019490740742</v>
      </c>
      <c r="C1697" s="2" t="s">
        <v>549</v>
      </c>
      <c r="D1697" s="2" t="s">
        <v>107</v>
      </c>
      <c r="E1697" s="2" t="s">
        <v>136</v>
      </c>
      <c r="F1697" s="2">
        <v>12000</v>
      </c>
      <c r="G1697" s="2">
        <v>1</v>
      </c>
      <c r="H1697" s="2">
        <v>20</v>
      </c>
      <c r="I1697">
        <f t="shared" si="130"/>
        <v>12000</v>
      </c>
      <c r="J1697">
        <f t="shared" si="131"/>
        <v>2400</v>
      </c>
      <c r="K1697" s="6">
        <f t="shared" si="132"/>
        <v>9600</v>
      </c>
      <c r="L1697" s="2">
        <v>97000</v>
      </c>
      <c r="M1697" s="6">
        <f>Table1[[#This Row],[Total Sales]]+Table1[[#This Row],[Shipping Fee]]</f>
        <v>106600</v>
      </c>
      <c r="N1697" s="2" t="s">
        <v>63</v>
      </c>
      <c r="O1697" t="str">
        <f>VLOOKUP(Table1[[#This Row],[Order ID]],Status!A:B, 2,FALSE)</f>
        <v>Completed</v>
      </c>
      <c r="P1697" s="2" t="s">
        <v>82</v>
      </c>
      <c r="Q1697" s="2">
        <v>3</v>
      </c>
      <c r="R1697" s="2" t="s">
        <v>24</v>
      </c>
      <c r="S1697" s="11" t="str">
        <f t="shared" si="133"/>
        <v>Standar</v>
      </c>
      <c r="T1697" s="2" t="str">
        <f t="shared" si="134"/>
        <v>Sangat Rendah</v>
      </c>
    </row>
    <row r="1698" spans="1:20" ht="15.75" customHeight="1" x14ac:dyDescent="0.3">
      <c r="A1698" s="4" t="s">
        <v>580</v>
      </c>
      <c r="B1698" s="3">
        <v>45609.019490740742</v>
      </c>
      <c r="C1698" s="2" t="s">
        <v>549</v>
      </c>
      <c r="D1698" s="2" t="s">
        <v>107</v>
      </c>
      <c r="E1698" s="2" t="s">
        <v>81</v>
      </c>
      <c r="F1698" s="2">
        <v>17000</v>
      </c>
      <c r="G1698" s="2">
        <v>5</v>
      </c>
      <c r="H1698" s="2">
        <v>10</v>
      </c>
      <c r="I1698">
        <f t="shared" si="130"/>
        <v>85000</v>
      </c>
      <c r="J1698">
        <f t="shared" si="131"/>
        <v>8500</v>
      </c>
      <c r="K1698" s="6">
        <f t="shared" si="132"/>
        <v>76500</v>
      </c>
      <c r="L1698" s="2">
        <v>0</v>
      </c>
      <c r="M1698" s="6">
        <f>Table1[[#This Row],[Total Sales]]+Table1[[#This Row],[Shipping Fee]]</f>
        <v>76500</v>
      </c>
      <c r="N1698" s="2" t="s">
        <v>63</v>
      </c>
      <c r="O1698" t="str">
        <f>VLOOKUP(Table1[[#This Row],[Order ID]],Status!A:B, 2,FALSE)</f>
        <v>Completed</v>
      </c>
      <c r="P1698" s="2" t="s">
        <v>82</v>
      </c>
      <c r="Q1698" s="2">
        <v>3</v>
      </c>
      <c r="R1698" s="2" t="s">
        <v>24</v>
      </c>
      <c r="S1698" s="11" t="str">
        <f t="shared" si="133"/>
        <v>Standar</v>
      </c>
      <c r="T1698" s="2" t="str">
        <f t="shared" si="134"/>
        <v>Rendah</v>
      </c>
    </row>
    <row r="1699" spans="1:20" ht="15.75" customHeight="1" x14ac:dyDescent="0.3">
      <c r="A1699" s="4" t="s">
        <v>579</v>
      </c>
      <c r="B1699" s="3">
        <v>45608.974733796298</v>
      </c>
      <c r="C1699" s="2" t="s">
        <v>201</v>
      </c>
      <c r="D1699" s="2" t="s">
        <v>107</v>
      </c>
      <c r="E1699" s="2" t="s">
        <v>67</v>
      </c>
      <c r="F1699" s="2">
        <v>15000</v>
      </c>
      <c r="G1699" s="2">
        <v>3</v>
      </c>
      <c r="H1699" s="2">
        <v>5</v>
      </c>
      <c r="I1699">
        <f t="shared" si="130"/>
        <v>45000</v>
      </c>
      <c r="J1699">
        <f t="shared" si="131"/>
        <v>2250</v>
      </c>
      <c r="K1699" s="6">
        <f t="shared" si="132"/>
        <v>42750</v>
      </c>
      <c r="L1699" s="2">
        <v>97000</v>
      </c>
      <c r="M1699" s="6">
        <f>Table1[[#This Row],[Total Sales]]+Table1[[#This Row],[Shipping Fee]]</f>
        <v>139750</v>
      </c>
      <c r="N1699" s="2" t="s">
        <v>35</v>
      </c>
      <c r="O1699" t="str">
        <f>VLOOKUP(Table1[[#This Row],[Order ID]],Status!A:B, 2,FALSE)</f>
        <v>Completed</v>
      </c>
      <c r="P1699" s="2" t="s">
        <v>82</v>
      </c>
      <c r="Q1699" s="2">
        <v>4</v>
      </c>
      <c r="R1699" s="2" t="s">
        <v>24</v>
      </c>
      <c r="S1699" s="11" t="str">
        <f t="shared" si="133"/>
        <v>Bagus</v>
      </c>
      <c r="T1699" s="2" t="str">
        <f t="shared" si="134"/>
        <v>Sangat Rendah</v>
      </c>
    </row>
    <row r="1700" spans="1:20" ht="15.75" customHeight="1" x14ac:dyDescent="0.3">
      <c r="A1700" s="4" t="s">
        <v>578</v>
      </c>
      <c r="B1700" s="3">
        <v>45608.480902777781</v>
      </c>
      <c r="C1700" s="2" t="s">
        <v>77</v>
      </c>
      <c r="D1700" s="2" t="s">
        <v>61</v>
      </c>
      <c r="E1700" s="2" t="s">
        <v>58</v>
      </c>
      <c r="F1700" s="2">
        <v>16000</v>
      </c>
      <c r="G1700" s="2">
        <v>1</v>
      </c>
      <c r="H1700" s="2">
        <v>10</v>
      </c>
      <c r="I1700">
        <f t="shared" si="130"/>
        <v>16000</v>
      </c>
      <c r="J1700">
        <f t="shared" si="131"/>
        <v>1600</v>
      </c>
      <c r="K1700" s="6">
        <f t="shared" si="132"/>
        <v>14400</v>
      </c>
      <c r="L1700" s="2">
        <v>26000</v>
      </c>
      <c r="M1700" s="6">
        <f>Table1[[#This Row],[Total Sales]]+Table1[[#This Row],[Shipping Fee]]</f>
        <v>40400</v>
      </c>
      <c r="N1700" s="2" t="s">
        <v>35</v>
      </c>
      <c r="O1700" t="str">
        <f>VLOOKUP(Table1[[#This Row],[Order ID]],Status!A:B, 2,FALSE)</f>
        <v>Completed</v>
      </c>
      <c r="P1700" s="2" t="s">
        <v>46</v>
      </c>
      <c r="Q1700" s="2">
        <v>4</v>
      </c>
      <c r="R1700" s="2" t="s">
        <v>24</v>
      </c>
      <c r="S1700" s="11" t="str">
        <f t="shared" si="133"/>
        <v>Bagus</v>
      </c>
      <c r="T1700" s="2" t="str">
        <f t="shared" si="134"/>
        <v>Sangat Rendah</v>
      </c>
    </row>
    <row r="1701" spans="1:20" ht="15.75" customHeight="1" x14ac:dyDescent="0.3">
      <c r="A1701" s="4" t="s">
        <v>577</v>
      </c>
      <c r="B1701" s="3">
        <v>45608.472233796303</v>
      </c>
      <c r="C1701" s="2" t="s">
        <v>455</v>
      </c>
      <c r="D1701" s="2" t="s">
        <v>33</v>
      </c>
      <c r="E1701" s="2" t="s">
        <v>62</v>
      </c>
      <c r="F1701" s="2">
        <v>50000</v>
      </c>
      <c r="G1701" s="2">
        <v>5</v>
      </c>
      <c r="H1701" s="2">
        <v>15</v>
      </c>
      <c r="I1701">
        <f t="shared" si="130"/>
        <v>250000</v>
      </c>
      <c r="J1701">
        <f t="shared" si="131"/>
        <v>37500</v>
      </c>
      <c r="K1701" s="6">
        <f t="shared" si="132"/>
        <v>212500</v>
      </c>
      <c r="L1701" s="2">
        <v>76000</v>
      </c>
      <c r="M1701" s="6">
        <f>Table1[[#This Row],[Total Sales]]+Table1[[#This Row],[Shipping Fee]]</f>
        <v>288500</v>
      </c>
      <c r="N1701" s="2" t="s">
        <v>63</v>
      </c>
      <c r="O1701" t="str">
        <f>VLOOKUP(Table1[[#This Row],[Order ID]],Status!A:B, 2,FALSE)</f>
        <v>Completed</v>
      </c>
      <c r="P1701" s="2" t="s">
        <v>30</v>
      </c>
      <c r="Q1701" s="2">
        <v>2</v>
      </c>
      <c r="R1701" s="2" t="s">
        <v>24</v>
      </c>
      <c r="S1701" s="11" t="str">
        <f t="shared" si="133"/>
        <v>Rendah</v>
      </c>
      <c r="T1701" s="2" t="str">
        <f t="shared" si="134"/>
        <v>Sangat Tinggi</v>
      </c>
    </row>
    <row r="1702" spans="1:20" ht="15.75" customHeight="1" x14ac:dyDescent="0.3">
      <c r="A1702" s="4" t="s">
        <v>575</v>
      </c>
      <c r="B1702" s="3">
        <v>45608.161423611113</v>
      </c>
      <c r="C1702" s="2" t="s">
        <v>576</v>
      </c>
      <c r="D1702" s="2" t="s">
        <v>57</v>
      </c>
      <c r="E1702" s="2" t="s">
        <v>190</v>
      </c>
      <c r="F1702" s="2">
        <v>35000</v>
      </c>
      <c r="G1702" s="2">
        <v>3</v>
      </c>
      <c r="H1702" s="2">
        <v>0</v>
      </c>
      <c r="I1702">
        <f t="shared" si="130"/>
        <v>105000</v>
      </c>
      <c r="J1702">
        <f t="shared" si="131"/>
        <v>0</v>
      </c>
      <c r="K1702" s="6">
        <f t="shared" si="132"/>
        <v>105000</v>
      </c>
      <c r="L1702" s="2">
        <v>80000</v>
      </c>
      <c r="M1702" s="6">
        <f>Table1[[#This Row],[Total Sales]]+Table1[[#This Row],[Shipping Fee]]</f>
        <v>185000</v>
      </c>
      <c r="N1702" s="2" t="s">
        <v>35</v>
      </c>
      <c r="O1702" t="str">
        <f>VLOOKUP(Table1[[#This Row],[Order ID]],Status!A:B, 2,FALSE)</f>
        <v>Completed</v>
      </c>
      <c r="P1702" s="2" t="s">
        <v>36</v>
      </c>
      <c r="Q1702" s="2">
        <v>1</v>
      </c>
      <c r="R1702" s="2" t="s">
        <v>37</v>
      </c>
      <c r="S1702" s="11" t="str">
        <f t="shared" si="133"/>
        <v>Rendah</v>
      </c>
      <c r="T1702" s="2" t="str">
        <f t="shared" si="134"/>
        <v>Sangat Rendah</v>
      </c>
    </row>
    <row r="1703" spans="1:20" ht="15.75" customHeight="1" x14ac:dyDescent="0.3">
      <c r="A1703" s="4" t="s">
        <v>574</v>
      </c>
      <c r="B1703" s="3">
        <v>45607.567719907413</v>
      </c>
      <c r="C1703" s="2" t="s">
        <v>515</v>
      </c>
      <c r="D1703" s="2" t="s">
        <v>182</v>
      </c>
      <c r="E1703" s="2" t="s">
        <v>81</v>
      </c>
      <c r="F1703" s="2">
        <v>17000</v>
      </c>
      <c r="G1703" s="2">
        <v>3</v>
      </c>
      <c r="H1703" s="2">
        <v>10</v>
      </c>
      <c r="I1703">
        <f t="shared" si="130"/>
        <v>51000</v>
      </c>
      <c r="J1703">
        <f t="shared" si="131"/>
        <v>5100</v>
      </c>
      <c r="K1703" s="6">
        <f t="shared" si="132"/>
        <v>45900</v>
      </c>
      <c r="L1703" s="2">
        <v>48000</v>
      </c>
      <c r="M1703" s="6">
        <f>Table1[[#This Row],[Total Sales]]+Table1[[#This Row],[Shipping Fee]]</f>
        <v>93900</v>
      </c>
      <c r="N1703" s="2" t="s">
        <v>35</v>
      </c>
      <c r="O1703" t="str">
        <f>VLOOKUP(Table1[[#This Row],[Order ID]],Status!A:B, 2,FALSE)</f>
        <v>Completed</v>
      </c>
      <c r="P1703" s="2" t="s">
        <v>36</v>
      </c>
      <c r="Q1703" s="2">
        <v>3</v>
      </c>
      <c r="R1703" s="2" t="s">
        <v>24</v>
      </c>
      <c r="S1703" s="11" t="str">
        <f t="shared" si="133"/>
        <v>Standar</v>
      </c>
      <c r="T1703" s="2" t="str">
        <f t="shared" si="134"/>
        <v>Rendah</v>
      </c>
    </row>
    <row r="1704" spans="1:20" ht="15.75" customHeight="1" x14ac:dyDescent="0.3">
      <c r="A1704" s="4" t="s">
        <v>574</v>
      </c>
      <c r="B1704" s="3">
        <v>45607.567719907413</v>
      </c>
      <c r="C1704" s="2" t="s">
        <v>515</v>
      </c>
      <c r="D1704" s="2" t="s">
        <v>182</v>
      </c>
      <c r="E1704" s="2" t="s">
        <v>62</v>
      </c>
      <c r="F1704" s="2">
        <v>50000</v>
      </c>
      <c r="G1704" s="2">
        <v>1</v>
      </c>
      <c r="H1704" s="2">
        <v>0</v>
      </c>
      <c r="I1704">
        <f t="shared" si="130"/>
        <v>50000</v>
      </c>
      <c r="J1704">
        <f t="shared" si="131"/>
        <v>0</v>
      </c>
      <c r="K1704" s="6">
        <f t="shared" si="132"/>
        <v>50000</v>
      </c>
      <c r="L1704" s="2">
        <v>0</v>
      </c>
      <c r="M1704" s="6">
        <f>Table1[[#This Row],[Total Sales]]+Table1[[#This Row],[Shipping Fee]]</f>
        <v>50000</v>
      </c>
      <c r="N1704" s="2" t="s">
        <v>35</v>
      </c>
      <c r="O1704" t="str">
        <f>VLOOKUP(Table1[[#This Row],[Order ID]],Status!A:B, 2,FALSE)</f>
        <v>Completed</v>
      </c>
      <c r="P1704" s="2" t="s">
        <v>36</v>
      </c>
      <c r="Q1704" s="2">
        <v>3</v>
      </c>
      <c r="R1704" s="2" t="s">
        <v>24</v>
      </c>
      <c r="S1704" s="11" t="str">
        <f t="shared" si="133"/>
        <v>Standar</v>
      </c>
      <c r="T1704" s="2" t="str">
        <f t="shared" si="134"/>
        <v>Sangat Rendah</v>
      </c>
    </row>
    <row r="1705" spans="1:20" ht="15.75" customHeight="1" x14ac:dyDescent="0.3">
      <c r="A1705" s="4" t="s">
        <v>573</v>
      </c>
      <c r="B1705" s="3">
        <v>45607.36209490741</v>
      </c>
      <c r="C1705" s="2" t="s">
        <v>40</v>
      </c>
      <c r="D1705" s="2" t="s">
        <v>27</v>
      </c>
      <c r="E1705" s="2" t="s">
        <v>144</v>
      </c>
      <c r="F1705" s="2">
        <v>18000</v>
      </c>
      <c r="G1705" s="2">
        <v>2</v>
      </c>
      <c r="H1705" s="2">
        <v>5</v>
      </c>
      <c r="I1705">
        <f t="shared" si="130"/>
        <v>36000</v>
      </c>
      <c r="J1705">
        <f t="shared" si="131"/>
        <v>1800</v>
      </c>
      <c r="K1705" s="6">
        <f t="shared" si="132"/>
        <v>34200</v>
      </c>
      <c r="L1705" s="2">
        <v>17000</v>
      </c>
      <c r="M1705" s="6">
        <f>Table1[[#This Row],[Total Sales]]+Table1[[#This Row],[Shipping Fee]]</f>
        <v>51200</v>
      </c>
      <c r="N1705" s="2" t="s">
        <v>29</v>
      </c>
      <c r="O1705" t="str">
        <f>VLOOKUP(Table1[[#This Row],[Order ID]],Status!A:B, 2,FALSE)</f>
        <v>Cancelled</v>
      </c>
      <c r="P1705" s="2" t="s">
        <v>46</v>
      </c>
      <c r="Q1705" s="2">
        <v>4</v>
      </c>
      <c r="R1705" s="2" t="s">
        <v>24</v>
      </c>
      <c r="S1705" s="11" t="str">
        <f t="shared" si="133"/>
        <v>Bagus</v>
      </c>
      <c r="T1705" s="2" t="str">
        <f t="shared" si="134"/>
        <v>Sangat Rendah</v>
      </c>
    </row>
    <row r="1706" spans="1:20" ht="15.75" customHeight="1" x14ac:dyDescent="0.3">
      <c r="A1706" s="4" t="s">
        <v>571</v>
      </c>
      <c r="B1706" s="3">
        <v>45607.079050925917</v>
      </c>
      <c r="C1706" s="2" t="s">
        <v>572</v>
      </c>
      <c r="D1706" s="2" t="s">
        <v>33</v>
      </c>
      <c r="E1706" s="2" t="s">
        <v>58</v>
      </c>
      <c r="F1706" s="2">
        <v>16000</v>
      </c>
      <c r="G1706" s="2">
        <v>3</v>
      </c>
      <c r="H1706" s="2">
        <v>10</v>
      </c>
      <c r="I1706">
        <f t="shared" si="130"/>
        <v>48000</v>
      </c>
      <c r="J1706">
        <f t="shared" si="131"/>
        <v>4800</v>
      </c>
      <c r="K1706" s="6">
        <f t="shared" si="132"/>
        <v>43200</v>
      </c>
      <c r="L1706" s="2">
        <v>76000</v>
      </c>
      <c r="M1706" s="6">
        <f>Table1[[#This Row],[Total Sales]]+Table1[[#This Row],[Shipping Fee]]</f>
        <v>119200</v>
      </c>
      <c r="N1706" s="2" t="s">
        <v>29</v>
      </c>
      <c r="O1706" t="str">
        <f>VLOOKUP(Table1[[#This Row],[Order ID]],Status!A:B, 2,FALSE)</f>
        <v>Returned</v>
      </c>
      <c r="P1706" s="2" t="s">
        <v>46</v>
      </c>
      <c r="Q1706" s="2">
        <v>2</v>
      </c>
      <c r="R1706" s="2" t="s">
        <v>24</v>
      </c>
      <c r="S1706" s="11" t="str">
        <f t="shared" si="133"/>
        <v>Rendah</v>
      </c>
      <c r="T1706" s="2" t="str">
        <f t="shared" si="134"/>
        <v>Sangat Rendah</v>
      </c>
    </row>
    <row r="1707" spans="1:20" ht="15.75" customHeight="1" x14ac:dyDescent="0.3">
      <c r="A1707" s="4" t="s">
        <v>569</v>
      </c>
      <c r="B1707" s="3">
        <v>45606.69021990741</v>
      </c>
      <c r="C1707" s="2" t="s">
        <v>570</v>
      </c>
      <c r="D1707" s="2" t="s">
        <v>80</v>
      </c>
      <c r="E1707" s="2" t="s">
        <v>174</v>
      </c>
      <c r="F1707" s="2">
        <v>10000</v>
      </c>
      <c r="G1707" s="2">
        <v>1</v>
      </c>
      <c r="H1707" s="2">
        <v>20</v>
      </c>
      <c r="I1707">
        <f t="shared" si="130"/>
        <v>10000</v>
      </c>
      <c r="J1707">
        <f t="shared" si="131"/>
        <v>2000</v>
      </c>
      <c r="K1707" s="6">
        <f t="shared" si="132"/>
        <v>8000</v>
      </c>
      <c r="L1707" s="2">
        <v>74000</v>
      </c>
      <c r="M1707" s="6">
        <f>Table1[[#This Row],[Total Sales]]+Table1[[#This Row],[Shipping Fee]]</f>
        <v>82000</v>
      </c>
      <c r="N1707" s="2" t="s">
        <v>63</v>
      </c>
      <c r="O1707" t="str">
        <f>VLOOKUP(Table1[[#This Row],[Order ID]],Status!A:B, 2,FALSE)</f>
        <v>Completed</v>
      </c>
      <c r="P1707" s="2" t="s">
        <v>30</v>
      </c>
      <c r="Q1707" s="2">
        <v>4</v>
      </c>
      <c r="R1707" s="2" t="s">
        <v>24</v>
      </c>
      <c r="S1707" s="11" t="str">
        <f t="shared" si="133"/>
        <v>Bagus</v>
      </c>
      <c r="T1707" s="2" t="str">
        <f t="shared" si="134"/>
        <v>Sangat Rendah</v>
      </c>
    </row>
    <row r="1708" spans="1:20" ht="15.75" customHeight="1" x14ac:dyDescent="0.3">
      <c r="A1708" s="4" t="s">
        <v>567</v>
      </c>
      <c r="B1708" s="3">
        <v>45606.654351851852</v>
      </c>
      <c r="C1708" s="2" t="s">
        <v>568</v>
      </c>
      <c r="D1708" s="2" t="s">
        <v>435</v>
      </c>
      <c r="E1708" s="2" t="s">
        <v>138</v>
      </c>
      <c r="F1708" s="2">
        <v>17000</v>
      </c>
      <c r="G1708" s="2">
        <v>1</v>
      </c>
      <c r="H1708" s="2">
        <v>20</v>
      </c>
      <c r="I1708">
        <f t="shared" si="130"/>
        <v>17000</v>
      </c>
      <c r="J1708">
        <f t="shared" si="131"/>
        <v>3400</v>
      </c>
      <c r="K1708" s="6">
        <f t="shared" si="132"/>
        <v>13600</v>
      </c>
      <c r="L1708" s="2">
        <v>67000</v>
      </c>
      <c r="M1708" s="6">
        <f>Table1[[#This Row],[Total Sales]]+Table1[[#This Row],[Shipping Fee]]</f>
        <v>80600</v>
      </c>
      <c r="N1708" s="2" t="s">
        <v>29</v>
      </c>
      <c r="O1708" t="str">
        <f>VLOOKUP(Table1[[#This Row],[Order ID]],Status!A:B, 2,FALSE)</f>
        <v>Completed</v>
      </c>
      <c r="P1708" s="2" t="s">
        <v>46</v>
      </c>
      <c r="Q1708" s="2">
        <v>2</v>
      </c>
      <c r="R1708" s="2" t="s">
        <v>24</v>
      </c>
      <c r="S1708" s="11" t="str">
        <f t="shared" si="133"/>
        <v>Rendah</v>
      </c>
      <c r="T1708" s="2" t="str">
        <f t="shared" si="134"/>
        <v>Sangat Rendah</v>
      </c>
    </row>
    <row r="1709" spans="1:20" ht="15.75" customHeight="1" x14ac:dyDescent="0.3">
      <c r="A1709" s="4" t="s">
        <v>566</v>
      </c>
      <c r="B1709" s="3">
        <v>45606.393321759257</v>
      </c>
      <c r="C1709" s="2" t="s">
        <v>502</v>
      </c>
      <c r="D1709" s="2" t="s">
        <v>107</v>
      </c>
      <c r="E1709" s="2" t="s">
        <v>93</v>
      </c>
      <c r="F1709" s="2">
        <v>25000</v>
      </c>
      <c r="G1709" s="2">
        <v>1</v>
      </c>
      <c r="H1709" s="2">
        <v>0</v>
      </c>
      <c r="I1709">
        <f t="shared" si="130"/>
        <v>25000</v>
      </c>
      <c r="J1709">
        <f t="shared" si="131"/>
        <v>0</v>
      </c>
      <c r="K1709" s="6">
        <f t="shared" si="132"/>
        <v>25000</v>
      </c>
      <c r="L1709" s="2">
        <v>97000</v>
      </c>
      <c r="M1709" s="6">
        <f>Table1[[#This Row],[Total Sales]]+Table1[[#This Row],[Shipping Fee]]</f>
        <v>122000</v>
      </c>
      <c r="N1709" s="2" t="s">
        <v>63</v>
      </c>
      <c r="O1709" t="str">
        <f>VLOOKUP(Table1[[#This Row],[Order ID]],Status!A:B, 2,FALSE)</f>
        <v>Completed</v>
      </c>
      <c r="P1709" s="2" t="s">
        <v>36</v>
      </c>
      <c r="Q1709" s="2">
        <v>5</v>
      </c>
      <c r="R1709" s="2" t="s">
        <v>24</v>
      </c>
      <c r="S1709" s="11" t="str">
        <f t="shared" si="133"/>
        <v>Bagus</v>
      </c>
      <c r="T1709" s="2" t="str">
        <f t="shared" si="134"/>
        <v>Sangat Rendah</v>
      </c>
    </row>
    <row r="1710" spans="1:20" ht="15.75" customHeight="1" x14ac:dyDescent="0.3">
      <c r="A1710" s="4" t="s">
        <v>564</v>
      </c>
      <c r="B1710" s="3">
        <v>45606.352210648147</v>
      </c>
      <c r="C1710" s="2" t="s">
        <v>565</v>
      </c>
      <c r="D1710" s="2" t="s">
        <v>163</v>
      </c>
      <c r="E1710" s="2" t="s">
        <v>174</v>
      </c>
      <c r="F1710" s="2">
        <v>10000</v>
      </c>
      <c r="G1710" s="2">
        <v>4</v>
      </c>
      <c r="H1710" s="2">
        <v>20</v>
      </c>
      <c r="I1710">
        <f t="shared" si="130"/>
        <v>40000</v>
      </c>
      <c r="J1710">
        <f t="shared" si="131"/>
        <v>8000</v>
      </c>
      <c r="K1710" s="6">
        <f t="shared" si="132"/>
        <v>32000</v>
      </c>
      <c r="L1710" s="2">
        <v>50000</v>
      </c>
      <c r="M1710" s="6">
        <f>Table1[[#This Row],[Total Sales]]+Table1[[#This Row],[Shipping Fee]]</f>
        <v>82000</v>
      </c>
      <c r="N1710" s="2" t="s">
        <v>22</v>
      </c>
      <c r="O1710" t="str">
        <f>VLOOKUP(Table1[[#This Row],[Order ID]],Status!A:B, 2,FALSE)</f>
        <v>Completed</v>
      </c>
      <c r="P1710" s="2" t="s">
        <v>82</v>
      </c>
      <c r="Q1710" s="2">
        <v>2</v>
      </c>
      <c r="R1710" s="2" t="s">
        <v>24</v>
      </c>
      <c r="S1710" s="11" t="str">
        <f t="shared" si="133"/>
        <v>Rendah</v>
      </c>
      <c r="T1710" s="2" t="str">
        <f t="shared" si="134"/>
        <v>Rendah</v>
      </c>
    </row>
    <row r="1711" spans="1:20" ht="15.75" customHeight="1" x14ac:dyDescent="0.3">
      <c r="A1711" s="4" t="s">
        <v>563</v>
      </c>
      <c r="B1711" s="3">
        <v>45605.801388888889</v>
      </c>
      <c r="C1711" s="2" t="s">
        <v>150</v>
      </c>
      <c r="D1711" s="2" t="s">
        <v>151</v>
      </c>
      <c r="E1711" s="2" t="s">
        <v>67</v>
      </c>
      <c r="F1711" s="2">
        <v>15000</v>
      </c>
      <c r="G1711" s="2">
        <v>3</v>
      </c>
      <c r="H1711" s="2">
        <v>10</v>
      </c>
      <c r="I1711">
        <f t="shared" si="130"/>
        <v>45000</v>
      </c>
      <c r="J1711">
        <f t="shared" si="131"/>
        <v>4500</v>
      </c>
      <c r="K1711" s="6">
        <f t="shared" si="132"/>
        <v>40500</v>
      </c>
      <c r="L1711" s="2">
        <v>55000</v>
      </c>
      <c r="M1711" s="6">
        <f>Table1[[#This Row],[Total Sales]]+Table1[[#This Row],[Shipping Fee]]</f>
        <v>95500</v>
      </c>
      <c r="N1711" s="2" t="s">
        <v>35</v>
      </c>
      <c r="O1711" t="str">
        <f>VLOOKUP(Table1[[#This Row],[Order ID]],Status!A:B, 2,FALSE)</f>
        <v>Completed</v>
      </c>
      <c r="P1711" s="2" t="s">
        <v>82</v>
      </c>
      <c r="Q1711" s="2">
        <v>1</v>
      </c>
      <c r="R1711" s="2" t="s">
        <v>37</v>
      </c>
      <c r="S1711" s="11" t="str">
        <f t="shared" si="133"/>
        <v>Rendah</v>
      </c>
      <c r="T1711" s="2" t="str">
        <f t="shared" si="134"/>
        <v>Sangat Rendah</v>
      </c>
    </row>
    <row r="1712" spans="1:20" ht="15.75" customHeight="1" x14ac:dyDescent="0.3">
      <c r="A1712" s="4" t="s">
        <v>562</v>
      </c>
      <c r="B1712" s="3">
        <v>45605.63989583333</v>
      </c>
      <c r="C1712" s="2" t="s">
        <v>216</v>
      </c>
      <c r="D1712" s="2" t="s">
        <v>143</v>
      </c>
      <c r="E1712" s="2" t="s">
        <v>62</v>
      </c>
      <c r="F1712" s="2">
        <v>50000</v>
      </c>
      <c r="G1712" s="2">
        <v>3</v>
      </c>
      <c r="H1712" s="2">
        <v>15</v>
      </c>
      <c r="I1712">
        <f t="shared" si="130"/>
        <v>150000</v>
      </c>
      <c r="J1712">
        <f t="shared" si="131"/>
        <v>22500</v>
      </c>
      <c r="K1712" s="6">
        <f t="shared" si="132"/>
        <v>127500</v>
      </c>
      <c r="L1712" s="2">
        <v>50000</v>
      </c>
      <c r="M1712" s="6">
        <f>Table1[[#This Row],[Total Sales]]+Table1[[#This Row],[Shipping Fee]]</f>
        <v>177500</v>
      </c>
      <c r="N1712" s="2" t="s">
        <v>63</v>
      </c>
      <c r="O1712" t="str">
        <f>VLOOKUP(Table1[[#This Row],[Order ID]],Status!A:B, 2,FALSE)</f>
        <v>Completed</v>
      </c>
      <c r="P1712" s="2" t="s">
        <v>82</v>
      </c>
      <c r="Q1712" s="2">
        <v>2</v>
      </c>
      <c r="R1712" s="2" t="s">
        <v>24</v>
      </c>
      <c r="S1712" s="11" t="str">
        <f t="shared" si="133"/>
        <v>Rendah</v>
      </c>
      <c r="T1712" s="2" t="str">
        <f t="shared" si="134"/>
        <v>Tinggi</v>
      </c>
    </row>
    <row r="1713" spans="1:20" ht="15.75" customHeight="1" x14ac:dyDescent="0.3">
      <c r="A1713" s="4" t="s">
        <v>561</v>
      </c>
      <c r="B1713" s="3">
        <v>45605.499409722222</v>
      </c>
      <c r="C1713" s="2" t="s">
        <v>355</v>
      </c>
      <c r="D1713" s="2" t="s">
        <v>116</v>
      </c>
      <c r="E1713" s="2" t="s">
        <v>138</v>
      </c>
      <c r="F1713" s="2">
        <v>17000</v>
      </c>
      <c r="G1713" s="2">
        <v>5</v>
      </c>
      <c r="H1713" s="2">
        <v>5</v>
      </c>
      <c r="I1713">
        <f t="shared" si="130"/>
        <v>85000</v>
      </c>
      <c r="J1713">
        <f t="shared" si="131"/>
        <v>4250</v>
      </c>
      <c r="K1713" s="6">
        <f t="shared" si="132"/>
        <v>80750</v>
      </c>
      <c r="L1713" s="2">
        <v>72000</v>
      </c>
      <c r="M1713" s="6">
        <f>Table1[[#This Row],[Total Sales]]+Table1[[#This Row],[Shipping Fee]]</f>
        <v>152750</v>
      </c>
      <c r="N1713" s="2" t="s">
        <v>63</v>
      </c>
      <c r="O1713" t="str">
        <f>VLOOKUP(Table1[[#This Row],[Order ID]],Status!A:B, 2,FALSE)</f>
        <v>Completed</v>
      </c>
      <c r="P1713" s="2" t="s">
        <v>23</v>
      </c>
      <c r="Q1713" s="2">
        <v>5</v>
      </c>
      <c r="R1713" s="2" t="s">
        <v>24</v>
      </c>
      <c r="S1713" s="11" t="str">
        <f t="shared" si="133"/>
        <v>Bagus</v>
      </c>
      <c r="T1713" s="2" t="str">
        <f t="shared" si="134"/>
        <v>Sangat Rendah</v>
      </c>
    </row>
    <row r="1714" spans="1:20" ht="15.75" customHeight="1" x14ac:dyDescent="0.3">
      <c r="A1714" s="4" t="s">
        <v>560</v>
      </c>
      <c r="B1714" s="3">
        <v>45605.213784722233</v>
      </c>
      <c r="C1714" s="2" t="s">
        <v>201</v>
      </c>
      <c r="D1714" s="2" t="s">
        <v>107</v>
      </c>
      <c r="E1714" s="2" t="s">
        <v>62</v>
      </c>
      <c r="F1714" s="2">
        <v>50000</v>
      </c>
      <c r="G1714" s="2">
        <v>4</v>
      </c>
      <c r="H1714" s="2">
        <v>20</v>
      </c>
      <c r="I1714">
        <f t="shared" si="130"/>
        <v>200000</v>
      </c>
      <c r="J1714">
        <f t="shared" si="131"/>
        <v>40000</v>
      </c>
      <c r="K1714" s="6">
        <f t="shared" si="132"/>
        <v>160000</v>
      </c>
      <c r="L1714" s="2">
        <v>97000</v>
      </c>
      <c r="M1714" s="6">
        <f>Table1[[#This Row],[Total Sales]]+Table1[[#This Row],[Shipping Fee]]</f>
        <v>257000</v>
      </c>
      <c r="N1714" s="2" t="s">
        <v>63</v>
      </c>
      <c r="O1714" t="str">
        <f>VLOOKUP(Table1[[#This Row],[Order ID]],Status!A:B, 2,FALSE)</f>
        <v>Completed</v>
      </c>
      <c r="P1714" s="2" t="s">
        <v>36</v>
      </c>
      <c r="Q1714" s="2">
        <v>5</v>
      </c>
      <c r="R1714" s="2" t="s">
        <v>24</v>
      </c>
      <c r="S1714" s="11" t="str">
        <f t="shared" si="133"/>
        <v>Bagus</v>
      </c>
      <c r="T1714" s="2" t="str">
        <f t="shared" si="134"/>
        <v>Sangat Tinggi</v>
      </c>
    </row>
    <row r="1715" spans="1:20" ht="15.75" customHeight="1" x14ac:dyDescent="0.3">
      <c r="A1715" s="4" t="s">
        <v>559</v>
      </c>
      <c r="B1715" s="3">
        <v>45605.157650462963</v>
      </c>
      <c r="C1715" s="2" t="s">
        <v>547</v>
      </c>
      <c r="D1715" s="2" t="s">
        <v>119</v>
      </c>
      <c r="E1715" s="2" t="s">
        <v>54</v>
      </c>
      <c r="F1715" s="2">
        <v>16000</v>
      </c>
      <c r="G1715" s="2">
        <v>2</v>
      </c>
      <c r="H1715" s="2">
        <v>20</v>
      </c>
      <c r="I1715">
        <f t="shared" si="130"/>
        <v>32000</v>
      </c>
      <c r="J1715">
        <f t="shared" si="131"/>
        <v>6400</v>
      </c>
      <c r="K1715" s="6">
        <f t="shared" si="132"/>
        <v>25600</v>
      </c>
      <c r="L1715" s="2">
        <v>0</v>
      </c>
      <c r="M1715" s="6">
        <f>Table1[[#This Row],[Total Sales]]+Table1[[#This Row],[Shipping Fee]]</f>
        <v>25600</v>
      </c>
      <c r="N1715" s="2" t="s">
        <v>22</v>
      </c>
      <c r="O1715" t="str">
        <f>VLOOKUP(Table1[[#This Row],[Order ID]],Status!A:B, 2,FALSE)</f>
        <v>Completed</v>
      </c>
      <c r="P1715" s="2" t="s">
        <v>23</v>
      </c>
      <c r="Q1715" s="2">
        <v>4</v>
      </c>
      <c r="R1715" s="2" t="s">
        <v>37</v>
      </c>
      <c r="S1715" s="11" t="str">
        <f t="shared" si="133"/>
        <v>Bagus</v>
      </c>
      <c r="T1715" s="2" t="str">
        <f t="shared" si="134"/>
        <v>Rendah</v>
      </c>
    </row>
    <row r="1716" spans="1:20" ht="15.75" customHeight="1" x14ac:dyDescent="0.3">
      <c r="A1716" s="4" t="s">
        <v>559</v>
      </c>
      <c r="B1716" s="3">
        <v>45605.157650462963</v>
      </c>
      <c r="C1716" s="2" t="s">
        <v>547</v>
      </c>
      <c r="D1716" s="2" t="s">
        <v>119</v>
      </c>
      <c r="E1716" s="2" t="s">
        <v>93</v>
      </c>
      <c r="F1716" s="2">
        <v>25000</v>
      </c>
      <c r="G1716" s="2">
        <v>2</v>
      </c>
      <c r="H1716" s="2">
        <v>10</v>
      </c>
      <c r="I1716">
        <f t="shared" si="130"/>
        <v>50000</v>
      </c>
      <c r="J1716">
        <f t="shared" si="131"/>
        <v>5000</v>
      </c>
      <c r="K1716" s="6">
        <f t="shared" si="132"/>
        <v>45000</v>
      </c>
      <c r="L1716" s="2">
        <v>0</v>
      </c>
      <c r="M1716" s="6">
        <f>Table1[[#This Row],[Total Sales]]+Table1[[#This Row],[Shipping Fee]]</f>
        <v>45000</v>
      </c>
      <c r="N1716" s="2" t="s">
        <v>22</v>
      </c>
      <c r="O1716" t="str">
        <f>VLOOKUP(Table1[[#This Row],[Order ID]],Status!A:B, 2,FALSE)</f>
        <v>Completed</v>
      </c>
      <c r="P1716" s="2" t="s">
        <v>23</v>
      </c>
      <c r="Q1716" s="2">
        <v>4</v>
      </c>
      <c r="R1716" s="2" t="s">
        <v>37</v>
      </c>
      <c r="S1716" s="11" t="str">
        <f t="shared" si="133"/>
        <v>Bagus</v>
      </c>
      <c r="T1716" s="2" t="str">
        <f t="shared" si="134"/>
        <v>Sangat Rendah</v>
      </c>
    </row>
    <row r="1717" spans="1:20" ht="15.75" customHeight="1" x14ac:dyDescent="0.3">
      <c r="A1717" s="4" t="s">
        <v>558</v>
      </c>
      <c r="B1717" s="3">
        <v>45604.992222222223</v>
      </c>
      <c r="C1717" s="2" t="s">
        <v>488</v>
      </c>
      <c r="D1717" s="2" t="s">
        <v>49</v>
      </c>
      <c r="E1717" s="2" t="s">
        <v>34</v>
      </c>
      <c r="F1717" s="2">
        <v>16000</v>
      </c>
      <c r="G1717" s="2">
        <v>5</v>
      </c>
      <c r="H1717" s="2">
        <v>10</v>
      </c>
      <c r="I1717">
        <f t="shared" si="130"/>
        <v>80000</v>
      </c>
      <c r="J1717">
        <f t="shared" si="131"/>
        <v>8000</v>
      </c>
      <c r="K1717" s="6">
        <f t="shared" si="132"/>
        <v>72000</v>
      </c>
      <c r="L1717" s="2">
        <v>43000</v>
      </c>
      <c r="M1717" s="6">
        <f>Table1[[#This Row],[Total Sales]]+Table1[[#This Row],[Shipping Fee]]</f>
        <v>115000</v>
      </c>
      <c r="N1717" s="2" t="s">
        <v>63</v>
      </c>
      <c r="O1717" t="str">
        <f>VLOOKUP(Table1[[#This Row],[Order ID]],Status!A:B, 2,FALSE)</f>
        <v>Completed</v>
      </c>
      <c r="P1717" s="2" t="s">
        <v>46</v>
      </c>
      <c r="Q1717" s="2">
        <v>2</v>
      </c>
      <c r="R1717" s="2" t="s">
        <v>24</v>
      </c>
      <c r="S1717" s="11" t="str">
        <f t="shared" si="133"/>
        <v>Rendah</v>
      </c>
      <c r="T1717" s="2" t="str">
        <f t="shared" si="134"/>
        <v>Rendah</v>
      </c>
    </row>
    <row r="1718" spans="1:20" ht="15.75" customHeight="1" x14ac:dyDescent="0.3">
      <c r="A1718" s="4" t="s">
        <v>556</v>
      </c>
      <c r="B1718" s="3">
        <v>45604.232210648152</v>
      </c>
      <c r="C1718" s="2" t="s">
        <v>557</v>
      </c>
      <c r="D1718" s="2" t="s">
        <v>173</v>
      </c>
      <c r="E1718" s="2" t="s">
        <v>144</v>
      </c>
      <c r="F1718" s="2">
        <v>18000</v>
      </c>
      <c r="G1718" s="2">
        <v>5</v>
      </c>
      <c r="H1718" s="2">
        <v>0</v>
      </c>
      <c r="I1718">
        <f t="shared" si="130"/>
        <v>90000</v>
      </c>
      <c r="J1718">
        <f t="shared" si="131"/>
        <v>0</v>
      </c>
      <c r="K1718" s="6">
        <f t="shared" si="132"/>
        <v>90000</v>
      </c>
      <c r="L1718" s="2">
        <v>49000</v>
      </c>
      <c r="M1718" s="6">
        <f>Table1[[#This Row],[Total Sales]]+Table1[[#This Row],[Shipping Fee]]</f>
        <v>139000</v>
      </c>
      <c r="N1718" s="2" t="s">
        <v>29</v>
      </c>
      <c r="O1718" t="str">
        <f>VLOOKUP(Table1[[#This Row],[Order ID]],Status!A:B, 2,FALSE)</f>
        <v>Completed</v>
      </c>
      <c r="P1718" s="2" t="s">
        <v>82</v>
      </c>
      <c r="Q1718" s="2">
        <v>5</v>
      </c>
      <c r="R1718" s="2" t="s">
        <v>24</v>
      </c>
      <c r="S1718" s="11" t="str">
        <f t="shared" si="133"/>
        <v>Bagus</v>
      </c>
      <c r="T1718" s="2" t="str">
        <f t="shared" si="134"/>
        <v>Sangat Rendah</v>
      </c>
    </row>
    <row r="1719" spans="1:20" ht="15.75" customHeight="1" x14ac:dyDescent="0.3">
      <c r="A1719" s="4" t="s">
        <v>555</v>
      </c>
      <c r="B1719" s="3">
        <v>45604.19804398148</v>
      </c>
      <c r="C1719" s="2" t="s">
        <v>333</v>
      </c>
      <c r="D1719" s="2" t="s">
        <v>107</v>
      </c>
      <c r="E1719" s="2" t="s">
        <v>81</v>
      </c>
      <c r="F1719" s="2">
        <v>17000</v>
      </c>
      <c r="G1719" s="2">
        <v>1</v>
      </c>
      <c r="H1719" s="2">
        <v>20</v>
      </c>
      <c r="I1719">
        <f t="shared" si="130"/>
        <v>17000</v>
      </c>
      <c r="J1719">
        <f t="shared" si="131"/>
        <v>3400</v>
      </c>
      <c r="K1719" s="6">
        <f t="shared" si="132"/>
        <v>13600</v>
      </c>
      <c r="L1719" s="2">
        <v>97000</v>
      </c>
      <c r="M1719" s="6">
        <f>Table1[[#This Row],[Total Sales]]+Table1[[#This Row],[Shipping Fee]]</f>
        <v>110600</v>
      </c>
      <c r="N1719" s="2" t="s">
        <v>22</v>
      </c>
      <c r="O1719" t="str">
        <f>VLOOKUP(Table1[[#This Row],[Order ID]],Status!A:B, 2,FALSE)</f>
        <v>Completed</v>
      </c>
      <c r="P1719" s="2" t="s">
        <v>82</v>
      </c>
      <c r="Q1719" s="2">
        <v>2</v>
      </c>
      <c r="R1719" s="2" t="s">
        <v>37</v>
      </c>
      <c r="S1719" s="11" t="str">
        <f t="shared" si="133"/>
        <v>Rendah</v>
      </c>
      <c r="T1719" s="2" t="str">
        <f t="shared" si="134"/>
        <v>Sangat Rendah</v>
      </c>
    </row>
    <row r="1720" spans="1:20" ht="15.75" customHeight="1" x14ac:dyDescent="0.3">
      <c r="A1720" s="4" t="s">
        <v>554</v>
      </c>
      <c r="B1720" s="3">
        <v>45603.967615740738</v>
      </c>
      <c r="C1720" s="2" t="s">
        <v>453</v>
      </c>
      <c r="D1720" s="2" t="s">
        <v>27</v>
      </c>
      <c r="E1720" s="2" t="s">
        <v>186</v>
      </c>
      <c r="F1720" s="2">
        <v>45000</v>
      </c>
      <c r="G1720" s="2">
        <v>3</v>
      </c>
      <c r="H1720" s="2">
        <v>0</v>
      </c>
      <c r="I1720">
        <f t="shared" si="130"/>
        <v>135000</v>
      </c>
      <c r="J1720">
        <f t="shared" si="131"/>
        <v>0</v>
      </c>
      <c r="K1720" s="6">
        <f t="shared" si="132"/>
        <v>135000</v>
      </c>
      <c r="L1720" s="2">
        <v>17000</v>
      </c>
      <c r="M1720" s="6">
        <f>Table1[[#This Row],[Total Sales]]+Table1[[#This Row],[Shipping Fee]]</f>
        <v>152000</v>
      </c>
      <c r="N1720" s="2" t="s">
        <v>29</v>
      </c>
      <c r="O1720" t="str">
        <f>VLOOKUP(Table1[[#This Row],[Order ID]],Status!A:B, 2,FALSE)</f>
        <v>Completed</v>
      </c>
      <c r="P1720" s="2" t="s">
        <v>23</v>
      </c>
      <c r="Q1720" s="2">
        <v>2</v>
      </c>
      <c r="R1720" s="2" t="s">
        <v>37</v>
      </c>
      <c r="S1720" s="11" t="str">
        <f t="shared" si="133"/>
        <v>Rendah</v>
      </c>
      <c r="T1720" s="2" t="str">
        <f t="shared" si="134"/>
        <v>Sangat Rendah</v>
      </c>
    </row>
    <row r="1721" spans="1:20" ht="15.75" customHeight="1" x14ac:dyDescent="0.3">
      <c r="A1721" s="4" t="s">
        <v>552</v>
      </c>
      <c r="B1721" s="3">
        <v>45603.475717592592</v>
      </c>
      <c r="C1721" s="2" t="s">
        <v>553</v>
      </c>
      <c r="D1721" s="2" t="s">
        <v>107</v>
      </c>
      <c r="E1721" s="2" t="s">
        <v>62</v>
      </c>
      <c r="F1721" s="2">
        <v>50000</v>
      </c>
      <c r="G1721" s="2">
        <v>5</v>
      </c>
      <c r="H1721" s="2">
        <v>10</v>
      </c>
      <c r="I1721">
        <f t="shared" si="130"/>
        <v>250000</v>
      </c>
      <c r="J1721">
        <f t="shared" si="131"/>
        <v>25000</v>
      </c>
      <c r="K1721" s="6">
        <f t="shared" si="132"/>
        <v>225000</v>
      </c>
      <c r="L1721" s="2">
        <v>97000</v>
      </c>
      <c r="M1721" s="6">
        <f>Table1[[#This Row],[Total Sales]]+Table1[[#This Row],[Shipping Fee]]</f>
        <v>322000</v>
      </c>
      <c r="N1721" s="2" t="s">
        <v>29</v>
      </c>
      <c r="O1721" t="str">
        <f>VLOOKUP(Table1[[#This Row],[Order ID]],Status!A:B, 2,FALSE)</f>
        <v>Completed</v>
      </c>
      <c r="P1721" s="2" t="s">
        <v>46</v>
      </c>
      <c r="Q1721" s="2">
        <v>3</v>
      </c>
      <c r="R1721" s="2" t="s">
        <v>24</v>
      </c>
      <c r="S1721" s="11" t="str">
        <f t="shared" si="133"/>
        <v>Standar</v>
      </c>
      <c r="T1721" s="2" t="str">
        <f t="shared" si="134"/>
        <v>Tinggi</v>
      </c>
    </row>
    <row r="1722" spans="1:20" ht="15.75" customHeight="1" x14ac:dyDescent="0.3">
      <c r="A1722" s="4" t="s">
        <v>550</v>
      </c>
      <c r="B1722" s="3">
        <v>45602.363530092603</v>
      </c>
      <c r="C1722" s="2" t="s">
        <v>551</v>
      </c>
      <c r="D1722" s="2" t="s">
        <v>262</v>
      </c>
      <c r="E1722" s="2" t="s">
        <v>88</v>
      </c>
      <c r="F1722" s="2">
        <v>14000</v>
      </c>
      <c r="G1722" s="2">
        <v>1</v>
      </c>
      <c r="H1722" s="2">
        <v>10</v>
      </c>
      <c r="I1722">
        <f t="shared" si="130"/>
        <v>14000</v>
      </c>
      <c r="J1722">
        <f t="shared" si="131"/>
        <v>1400</v>
      </c>
      <c r="K1722" s="6">
        <f t="shared" si="132"/>
        <v>12600</v>
      </c>
      <c r="L1722" s="2">
        <v>18000</v>
      </c>
      <c r="M1722" s="6">
        <f>Table1[[#This Row],[Total Sales]]+Table1[[#This Row],[Shipping Fee]]</f>
        <v>30600</v>
      </c>
      <c r="N1722" s="2" t="s">
        <v>22</v>
      </c>
      <c r="O1722" t="str">
        <f>VLOOKUP(Table1[[#This Row],[Order ID]],Status!A:B, 2,FALSE)</f>
        <v>Cancelled</v>
      </c>
      <c r="P1722" s="2" t="s">
        <v>23</v>
      </c>
      <c r="Q1722" s="2">
        <v>5</v>
      </c>
      <c r="R1722" s="2" t="s">
        <v>37</v>
      </c>
      <c r="S1722" s="11" t="str">
        <f t="shared" si="133"/>
        <v>Bagus</v>
      </c>
      <c r="T1722" s="2" t="str">
        <f t="shared" si="134"/>
        <v>Sangat Rendah</v>
      </c>
    </row>
    <row r="1723" spans="1:20" ht="15.75" customHeight="1" x14ac:dyDescent="0.3">
      <c r="A1723" s="4" t="s">
        <v>548</v>
      </c>
      <c r="B1723" s="3">
        <v>45602.08697916667</v>
      </c>
      <c r="C1723" s="2" t="s">
        <v>549</v>
      </c>
      <c r="D1723" s="2" t="s">
        <v>107</v>
      </c>
      <c r="E1723" s="2" t="s">
        <v>45</v>
      </c>
      <c r="F1723" s="2">
        <v>40000</v>
      </c>
      <c r="G1723" s="2">
        <v>2</v>
      </c>
      <c r="H1723" s="2">
        <v>15</v>
      </c>
      <c r="I1723">
        <f t="shared" si="130"/>
        <v>80000</v>
      </c>
      <c r="J1723">
        <f t="shared" si="131"/>
        <v>12000</v>
      </c>
      <c r="K1723" s="6">
        <f t="shared" si="132"/>
        <v>68000</v>
      </c>
      <c r="L1723" s="2">
        <v>97000</v>
      </c>
      <c r="M1723" s="6">
        <f>Table1[[#This Row],[Total Sales]]+Table1[[#This Row],[Shipping Fee]]</f>
        <v>165000</v>
      </c>
      <c r="N1723" s="2" t="s">
        <v>29</v>
      </c>
      <c r="O1723" t="str">
        <f>VLOOKUP(Table1[[#This Row],[Order ID]],Status!A:B, 2,FALSE)</f>
        <v>Cancelled</v>
      </c>
      <c r="P1723" s="2" t="s">
        <v>36</v>
      </c>
      <c r="Q1723" s="2">
        <v>1</v>
      </c>
      <c r="R1723" s="2" t="s">
        <v>24</v>
      </c>
      <c r="S1723" s="11" t="str">
        <f t="shared" si="133"/>
        <v>Rendah</v>
      </c>
      <c r="T1723" s="2" t="str">
        <f t="shared" si="134"/>
        <v>Normal</v>
      </c>
    </row>
    <row r="1724" spans="1:20" ht="15.75" customHeight="1" x14ac:dyDescent="0.3">
      <c r="A1724" s="4" t="s">
        <v>546</v>
      </c>
      <c r="B1724" s="3">
        <v>45602.008159722223</v>
      </c>
      <c r="C1724" s="2" t="s">
        <v>547</v>
      </c>
      <c r="D1724" s="2" t="s">
        <v>119</v>
      </c>
      <c r="E1724" s="2" t="s">
        <v>250</v>
      </c>
      <c r="F1724" s="2">
        <v>18000</v>
      </c>
      <c r="G1724" s="2">
        <v>3</v>
      </c>
      <c r="H1724" s="2">
        <v>10</v>
      </c>
      <c r="I1724">
        <f t="shared" si="130"/>
        <v>54000</v>
      </c>
      <c r="J1724">
        <f t="shared" si="131"/>
        <v>5400</v>
      </c>
      <c r="K1724" s="6">
        <f t="shared" si="132"/>
        <v>48600</v>
      </c>
      <c r="L1724" s="2">
        <v>0</v>
      </c>
      <c r="M1724" s="6">
        <f>Table1[[#This Row],[Total Sales]]+Table1[[#This Row],[Shipping Fee]]</f>
        <v>48600</v>
      </c>
      <c r="N1724" s="2" t="s">
        <v>35</v>
      </c>
      <c r="O1724" t="str">
        <f>VLOOKUP(Table1[[#This Row],[Order ID]],Status!A:B, 2,FALSE)</f>
        <v>Completed</v>
      </c>
      <c r="P1724" s="2" t="s">
        <v>30</v>
      </c>
      <c r="Q1724" s="2">
        <v>2</v>
      </c>
      <c r="R1724" s="2" t="s">
        <v>37</v>
      </c>
      <c r="S1724" s="11" t="str">
        <f t="shared" si="133"/>
        <v>Rendah</v>
      </c>
      <c r="T1724" s="2" t="str">
        <f t="shared" si="134"/>
        <v>Rendah</v>
      </c>
    </row>
    <row r="1725" spans="1:20" ht="15.75" customHeight="1" x14ac:dyDescent="0.3">
      <c r="A1725" s="4" t="s">
        <v>545</v>
      </c>
      <c r="B1725" s="3">
        <v>45601.34511574074</v>
      </c>
      <c r="C1725" s="2" t="s">
        <v>307</v>
      </c>
      <c r="D1725" s="2" t="s">
        <v>70</v>
      </c>
      <c r="E1725" s="2" t="s">
        <v>81</v>
      </c>
      <c r="F1725" s="2">
        <v>17000</v>
      </c>
      <c r="G1725" s="2">
        <v>4</v>
      </c>
      <c r="H1725" s="2">
        <v>15</v>
      </c>
      <c r="I1725">
        <f t="shared" si="130"/>
        <v>68000</v>
      </c>
      <c r="J1725">
        <f t="shared" si="131"/>
        <v>10200</v>
      </c>
      <c r="K1725" s="6">
        <f t="shared" si="132"/>
        <v>57800</v>
      </c>
      <c r="L1725" s="2">
        <v>89000</v>
      </c>
      <c r="M1725" s="6">
        <f>Table1[[#This Row],[Total Sales]]+Table1[[#This Row],[Shipping Fee]]</f>
        <v>146800</v>
      </c>
      <c r="N1725" s="2" t="s">
        <v>29</v>
      </c>
      <c r="O1725" t="str">
        <f>VLOOKUP(Table1[[#This Row],[Order ID]],Status!A:B, 2,FALSE)</f>
        <v>Completed</v>
      </c>
      <c r="P1725" s="2" t="s">
        <v>82</v>
      </c>
      <c r="Q1725" s="2">
        <v>2</v>
      </c>
      <c r="R1725" s="2" t="s">
        <v>24</v>
      </c>
      <c r="S1725" s="11" t="str">
        <f t="shared" si="133"/>
        <v>Rendah</v>
      </c>
      <c r="T1725" s="2" t="str">
        <f t="shared" si="134"/>
        <v>Normal</v>
      </c>
    </row>
    <row r="1726" spans="1:20" ht="15.75" customHeight="1" x14ac:dyDescent="0.3">
      <c r="A1726" s="4" t="s">
        <v>543</v>
      </c>
      <c r="B1726" s="3">
        <v>45601.289606481478</v>
      </c>
      <c r="C1726" s="2" t="s">
        <v>544</v>
      </c>
      <c r="D1726" s="2" t="s">
        <v>163</v>
      </c>
      <c r="E1726" s="2" t="s">
        <v>67</v>
      </c>
      <c r="F1726" s="2">
        <v>15000</v>
      </c>
      <c r="G1726" s="2">
        <v>4</v>
      </c>
      <c r="H1726" s="2">
        <v>20</v>
      </c>
      <c r="I1726">
        <f t="shared" si="130"/>
        <v>60000</v>
      </c>
      <c r="J1726">
        <f t="shared" si="131"/>
        <v>12000</v>
      </c>
      <c r="K1726" s="6">
        <f t="shared" si="132"/>
        <v>48000</v>
      </c>
      <c r="L1726" s="2">
        <v>50000</v>
      </c>
      <c r="M1726" s="6">
        <f>Table1[[#This Row],[Total Sales]]+Table1[[#This Row],[Shipping Fee]]</f>
        <v>98000</v>
      </c>
      <c r="N1726" s="2" t="s">
        <v>22</v>
      </c>
      <c r="O1726" t="str">
        <f>VLOOKUP(Table1[[#This Row],[Order ID]],Status!A:B, 2,FALSE)</f>
        <v>Completed</v>
      </c>
      <c r="P1726" s="2" t="s">
        <v>23</v>
      </c>
      <c r="Q1726" s="2">
        <v>4</v>
      </c>
      <c r="R1726" s="2" t="s">
        <v>24</v>
      </c>
      <c r="S1726" s="11" t="str">
        <f t="shared" si="133"/>
        <v>Bagus</v>
      </c>
      <c r="T1726" s="2" t="str">
        <f t="shared" si="134"/>
        <v>Normal</v>
      </c>
    </row>
    <row r="1727" spans="1:20" ht="15.75" customHeight="1" x14ac:dyDescent="0.3">
      <c r="A1727" s="4" t="s">
        <v>541</v>
      </c>
      <c r="B1727" s="3">
        <v>45601.280624999999</v>
      </c>
      <c r="C1727" s="2" t="s">
        <v>542</v>
      </c>
      <c r="D1727" s="2" t="s">
        <v>122</v>
      </c>
      <c r="E1727" s="2" t="s">
        <v>93</v>
      </c>
      <c r="F1727" s="2">
        <v>25000</v>
      </c>
      <c r="G1727" s="2">
        <v>3</v>
      </c>
      <c r="H1727" s="2">
        <v>20</v>
      </c>
      <c r="I1727">
        <f t="shared" si="130"/>
        <v>75000</v>
      </c>
      <c r="J1727">
        <f t="shared" si="131"/>
        <v>15000</v>
      </c>
      <c r="K1727" s="6">
        <f t="shared" si="132"/>
        <v>60000</v>
      </c>
      <c r="L1727" s="2">
        <v>78000</v>
      </c>
      <c r="M1727" s="6">
        <f>Table1[[#This Row],[Total Sales]]+Table1[[#This Row],[Shipping Fee]]</f>
        <v>138000</v>
      </c>
      <c r="N1727" s="2" t="s">
        <v>63</v>
      </c>
      <c r="O1727" t="str">
        <f>VLOOKUP(Table1[[#This Row],[Order ID]],Status!A:B, 2,FALSE)</f>
        <v>Completed</v>
      </c>
      <c r="P1727" s="2" t="s">
        <v>36</v>
      </c>
      <c r="Q1727" s="2">
        <v>4</v>
      </c>
      <c r="R1727" s="2" t="s">
        <v>24</v>
      </c>
      <c r="S1727" s="11" t="str">
        <f t="shared" si="133"/>
        <v>Bagus</v>
      </c>
      <c r="T1727" s="2" t="str">
        <f t="shared" si="134"/>
        <v>Normal</v>
      </c>
    </row>
    <row r="1728" spans="1:20" ht="15.75" customHeight="1" x14ac:dyDescent="0.3">
      <c r="A1728" s="4" t="s">
        <v>540</v>
      </c>
      <c r="B1728" s="3">
        <v>45601.156458333331</v>
      </c>
      <c r="C1728" s="2" t="s">
        <v>150</v>
      </c>
      <c r="D1728" s="2" t="s">
        <v>151</v>
      </c>
      <c r="E1728" s="2" t="s">
        <v>34</v>
      </c>
      <c r="F1728" s="2">
        <v>16000</v>
      </c>
      <c r="G1728" s="2">
        <v>5</v>
      </c>
      <c r="H1728" s="2">
        <v>0</v>
      </c>
      <c r="I1728">
        <f t="shared" si="130"/>
        <v>80000</v>
      </c>
      <c r="J1728">
        <f t="shared" si="131"/>
        <v>0</v>
      </c>
      <c r="K1728" s="6">
        <f t="shared" si="132"/>
        <v>80000</v>
      </c>
      <c r="L1728" s="2">
        <v>55000</v>
      </c>
      <c r="M1728" s="6">
        <f>Table1[[#This Row],[Total Sales]]+Table1[[#This Row],[Shipping Fee]]</f>
        <v>135000</v>
      </c>
      <c r="N1728" s="2" t="s">
        <v>63</v>
      </c>
      <c r="O1728" t="str">
        <f>VLOOKUP(Table1[[#This Row],[Order ID]],Status!A:B, 2,FALSE)</f>
        <v>Completed</v>
      </c>
      <c r="P1728" s="2" t="s">
        <v>23</v>
      </c>
      <c r="Q1728" s="2">
        <v>4</v>
      </c>
      <c r="R1728" s="2" t="s">
        <v>37</v>
      </c>
      <c r="S1728" s="11" t="str">
        <f t="shared" si="133"/>
        <v>Bagus</v>
      </c>
      <c r="T1728" s="2" t="str">
        <f t="shared" si="134"/>
        <v>Sangat Rendah</v>
      </c>
    </row>
    <row r="1729" spans="1:20" ht="15.75" customHeight="1" x14ac:dyDescent="0.3">
      <c r="A1729" s="4" t="s">
        <v>539</v>
      </c>
      <c r="B1729" s="3">
        <v>45600.978148148148</v>
      </c>
      <c r="C1729" s="2" t="s">
        <v>79</v>
      </c>
      <c r="D1729" s="2" t="s">
        <v>80</v>
      </c>
      <c r="E1729" s="2" t="s">
        <v>50</v>
      </c>
      <c r="F1729" s="2">
        <v>14000</v>
      </c>
      <c r="G1729" s="2">
        <v>2</v>
      </c>
      <c r="H1729" s="2">
        <v>20</v>
      </c>
      <c r="I1729">
        <f t="shared" si="130"/>
        <v>28000</v>
      </c>
      <c r="J1729">
        <f t="shared" si="131"/>
        <v>5600</v>
      </c>
      <c r="K1729" s="6">
        <f t="shared" si="132"/>
        <v>22400</v>
      </c>
      <c r="L1729" s="2">
        <v>74000</v>
      </c>
      <c r="M1729" s="6">
        <f>Table1[[#This Row],[Total Sales]]+Table1[[#This Row],[Shipping Fee]]</f>
        <v>96400</v>
      </c>
      <c r="N1729" s="2" t="s">
        <v>35</v>
      </c>
      <c r="O1729" t="str">
        <f>VLOOKUP(Table1[[#This Row],[Order ID]],Status!A:B, 2,FALSE)</f>
        <v>Completed</v>
      </c>
      <c r="P1729" s="2" t="s">
        <v>23</v>
      </c>
      <c r="Q1729" s="2">
        <v>4</v>
      </c>
      <c r="R1729" s="2" t="s">
        <v>24</v>
      </c>
      <c r="S1729" s="11" t="str">
        <f t="shared" si="133"/>
        <v>Bagus</v>
      </c>
      <c r="T1729" s="2" t="str">
        <f t="shared" si="134"/>
        <v>Rendah</v>
      </c>
    </row>
    <row r="1730" spans="1:20" ht="15.75" customHeight="1" x14ac:dyDescent="0.3">
      <c r="A1730" s="4" t="s">
        <v>538</v>
      </c>
      <c r="B1730" s="3">
        <v>45600.952939814822</v>
      </c>
      <c r="C1730" s="2" t="s">
        <v>299</v>
      </c>
      <c r="D1730" s="2" t="s">
        <v>163</v>
      </c>
      <c r="E1730" s="2" t="s">
        <v>186</v>
      </c>
      <c r="F1730" s="2">
        <v>45000</v>
      </c>
      <c r="G1730" s="2">
        <v>3</v>
      </c>
      <c r="H1730" s="2">
        <v>5</v>
      </c>
      <c r="I1730">
        <f t="shared" ref="I1730:I1793" si="135">F1730*G1730</f>
        <v>135000</v>
      </c>
      <c r="J1730">
        <f t="shared" ref="J1730:J1793" si="136">I1730*H1730/100</f>
        <v>6750</v>
      </c>
      <c r="K1730" s="6">
        <f t="shared" ref="K1730:K1793" si="137">I1730-J1730</f>
        <v>128250</v>
      </c>
      <c r="L1730" s="2">
        <v>50000</v>
      </c>
      <c r="M1730" s="6">
        <f>Table1[[#This Row],[Total Sales]]+Table1[[#This Row],[Shipping Fee]]</f>
        <v>178250</v>
      </c>
      <c r="N1730" s="2" t="s">
        <v>29</v>
      </c>
      <c r="O1730" t="str">
        <f>VLOOKUP(Table1[[#This Row],[Order ID]],Status!A:B, 2,FALSE)</f>
        <v>Completed</v>
      </c>
      <c r="P1730" s="2" t="s">
        <v>36</v>
      </c>
      <c r="Q1730" s="2">
        <v>3</v>
      </c>
      <c r="R1730" s="2" t="s">
        <v>24</v>
      </c>
      <c r="S1730" s="11" t="str">
        <f t="shared" ref="S1730:S1793" si="138">_xlfn.IFS(Q1730&gt;3,"Bagus",Q1730=3,"Standar",Q1730&lt;3,"Rendah")</f>
        <v>Standar</v>
      </c>
      <c r="T1730" s="2" t="str">
        <f t="shared" ref="T1730:T1793" si="139">_xlfn.IFS(J1730&lt;=5000,"Sangat Rendah", J1730&lt;=10000,"Rendah", J1730&lt;=20000, "Normal", J1730&lt;=35000, "Tinggi", J1730&lt;= 50000, "Sangat Tinggi", J1730&gt;50000, "Clearance")</f>
        <v>Rendah</v>
      </c>
    </row>
    <row r="1731" spans="1:20" ht="15.75" customHeight="1" x14ac:dyDescent="0.3">
      <c r="A1731" s="4" t="s">
        <v>536</v>
      </c>
      <c r="B1731" s="3">
        <v>45600.688842592594</v>
      </c>
      <c r="C1731" s="2" t="s">
        <v>537</v>
      </c>
      <c r="D1731" s="2" t="s">
        <v>57</v>
      </c>
      <c r="E1731" s="2" t="s">
        <v>174</v>
      </c>
      <c r="F1731" s="2">
        <v>10000</v>
      </c>
      <c r="G1731" s="2">
        <v>4</v>
      </c>
      <c r="H1731" s="2">
        <v>20</v>
      </c>
      <c r="I1731">
        <f t="shared" si="135"/>
        <v>40000</v>
      </c>
      <c r="J1731">
        <f t="shared" si="136"/>
        <v>8000</v>
      </c>
      <c r="K1731" s="6">
        <f t="shared" si="137"/>
        <v>32000</v>
      </c>
      <c r="L1731" s="2">
        <v>80000</v>
      </c>
      <c r="M1731" s="6">
        <f>Table1[[#This Row],[Total Sales]]+Table1[[#This Row],[Shipping Fee]]</f>
        <v>112000</v>
      </c>
      <c r="N1731" s="2" t="s">
        <v>22</v>
      </c>
      <c r="O1731" t="str">
        <f>VLOOKUP(Table1[[#This Row],[Order ID]],Status!A:B, 2,FALSE)</f>
        <v>Completed</v>
      </c>
      <c r="P1731" s="2" t="s">
        <v>23</v>
      </c>
      <c r="Q1731" s="2">
        <v>3</v>
      </c>
      <c r="R1731" s="2" t="s">
        <v>37</v>
      </c>
      <c r="S1731" s="11" t="str">
        <f t="shared" si="138"/>
        <v>Standar</v>
      </c>
      <c r="T1731" s="2" t="str">
        <f t="shared" si="139"/>
        <v>Rendah</v>
      </c>
    </row>
    <row r="1732" spans="1:20" ht="15.75" customHeight="1" x14ac:dyDescent="0.3">
      <c r="A1732" s="4" t="s">
        <v>535</v>
      </c>
      <c r="B1732" s="3">
        <v>45600.006215277783</v>
      </c>
      <c r="C1732" s="2" t="s">
        <v>231</v>
      </c>
      <c r="D1732" s="2" t="s">
        <v>66</v>
      </c>
      <c r="E1732" s="2" t="s">
        <v>186</v>
      </c>
      <c r="F1732" s="2">
        <v>45000</v>
      </c>
      <c r="G1732" s="2">
        <v>4</v>
      </c>
      <c r="H1732" s="2">
        <v>15</v>
      </c>
      <c r="I1732">
        <f t="shared" si="135"/>
        <v>180000</v>
      </c>
      <c r="J1732">
        <f t="shared" si="136"/>
        <v>27000</v>
      </c>
      <c r="K1732" s="6">
        <f t="shared" si="137"/>
        <v>153000</v>
      </c>
      <c r="L1732" s="2">
        <v>59000</v>
      </c>
      <c r="M1732" s="6">
        <f>Table1[[#This Row],[Total Sales]]+Table1[[#This Row],[Shipping Fee]]</f>
        <v>212000</v>
      </c>
      <c r="N1732" s="2" t="s">
        <v>29</v>
      </c>
      <c r="O1732" t="str">
        <f>VLOOKUP(Table1[[#This Row],[Order ID]],Status!A:B, 2,FALSE)</f>
        <v>Completed</v>
      </c>
      <c r="P1732" s="2" t="s">
        <v>82</v>
      </c>
      <c r="Q1732" s="2">
        <v>1</v>
      </c>
      <c r="R1732" s="2" t="s">
        <v>24</v>
      </c>
      <c r="S1732" s="11" t="str">
        <f t="shared" si="138"/>
        <v>Rendah</v>
      </c>
      <c r="T1732" s="2" t="str">
        <f t="shared" si="139"/>
        <v>Tinggi</v>
      </c>
    </row>
    <row r="1733" spans="1:20" ht="15.75" customHeight="1" x14ac:dyDescent="0.3">
      <c r="A1733" s="4" t="s">
        <v>534</v>
      </c>
      <c r="B1733" s="3">
        <v>45599.459305555552</v>
      </c>
      <c r="C1733" s="2" t="s">
        <v>466</v>
      </c>
      <c r="D1733" s="2" t="s">
        <v>131</v>
      </c>
      <c r="E1733" s="2" t="s">
        <v>136</v>
      </c>
      <c r="F1733" s="2">
        <v>12000</v>
      </c>
      <c r="G1733" s="2">
        <v>3</v>
      </c>
      <c r="H1733" s="2">
        <v>15</v>
      </c>
      <c r="I1733">
        <f t="shared" si="135"/>
        <v>36000</v>
      </c>
      <c r="J1733">
        <f t="shared" si="136"/>
        <v>5400</v>
      </c>
      <c r="K1733" s="6">
        <f t="shared" si="137"/>
        <v>30600</v>
      </c>
      <c r="L1733" s="2">
        <v>59000</v>
      </c>
      <c r="M1733" s="6">
        <f>Table1[[#This Row],[Total Sales]]+Table1[[#This Row],[Shipping Fee]]</f>
        <v>89600</v>
      </c>
      <c r="N1733" s="2" t="s">
        <v>63</v>
      </c>
      <c r="O1733" t="str">
        <f>VLOOKUP(Table1[[#This Row],[Order ID]],Status!A:B, 2,FALSE)</f>
        <v>Completed</v>
      </c>
      <c r="P1733" s="2" t="s">
        <v>30</v>
      </c>
      <c r="Q1733" s="2">
        <v>3</v>
      </c>
      <c r="R1733" s="2" t="s">
        <v>24</v>
      </c>
      <c r="S1733" s="11" t="str">
        <f t="shared" si="138"/>
        <v>Standar</v>
      </c>
      <c r="T1733" s="2" t="str">
        <f t="shared" si="139"/>
        <v>Rendah</v>
      </c>
    </row>
    <row r="1734" spans="1:20" ht="15.75" customHeight="1" x14ac:dyDescent="0.3">
      <c r="A1734" s="4" t="s">
        <v>533</v>
      </c>
      <c r="B1734" s="3">
        <v>45599.295289351852</v>
      </c>
      <c r="C1734" s="2" t="s">
        <v>231</v>
      </c>
      <c r="D1734" s="2" t="s">
        <v>66</v>
      </c>
      <c r="E1734" s="2" t="s">
        <v>136</v>
      </c>
      <c r="F1734" s="2">
        <v>12000</v>
      </c>
      <c r="G1734" s="2">
        <v>2</v>
      </c>
      <c r="H1734" s="2">
        <v>15</v>
      </c>
      <c r="I1734">
        <f t="shared" si="135"/>
        <v>24000</v>
      </c>
      <c r="J1734">
        <f t="shared" si="136"/>
        <v>3600</v>
      </c>
      <c r="K1734" s="6">
        <f t="shared" si="137"/>
        <v>20400</v>
      </c>
      <c r="L1734" s="2">
        <v>59000</v>
      </c>
      <c r="M1734" s="6">
        <f>Table1[[#This Row],[Total Sales]]+Table1[[#This Row],[Shipping Fee]]</f>
        <v>79400</v>
      </c>
      <c r="N1734" s="2" t="s">
        <v>29</v>
      </c>
      <c r="O1734" t="str">
        <f>VLOOKUP(Table1[[#This Row],[Order ID]],Status!A:B, 2,FALSE)</f>
        <v>Completed</v>
      </c>
      <c r="P1734" s="2" t="s">
        <v>30</v>
      </c>
      <c r="Q1734" s="2">
        <v>3</v>
      </c>
      <c r="R1734" s="2" t="s">
        <v>24</v>
      </c>
      <c r="S1734" s="11" t="str">
        <f t="shared" si="138"/>
        <v>Standar</v>
      </c>
      <c r="T1734" s="2" t="str">
        <f t="shared" si="139"/>
        <v>Sangat Rendah</v>
      </c>
    </row>
    <row r="1735" spans="1:20" ht="15.75" customHeight="1" x14ac:dyDescent="0.3">
      <c r="A1735" s="4" t="s">
        <v>531</v>
      </c>
      <c r="B1735" s="3">
        <v>45599.25885416667</v>
      </c>
      <c r="C1735" s="2" t="s">
        <v>532</v>
      </c>
      <c r="D1735" s="2" t="s">
        <v>262</v>
      </c>
      <c r="E1735" s="2" t="s">
        <v>75</v>
      </c>
      <c r="F1735" s="2">
        <v>55000</v>
      </c>
      <c r="G1735" s="2">
        <v>3</v>
      </c>
      <c r="H1735" s="2">
        <v>0</v>
      </c>
      <c r="I1735">
        <f t="shared" si="135"/>
        <v>165000</v>
      </c>
      <c r="J1735">
        <f t="shared" si="136"/>
        <v>0</v>
      </c>
      <c r="K1735" s="6">
        <f t="shared" si="137"/>
        <v>165000</v>
      </c>
      <c r="L1735" s="2">
        <v>18000</v>
      </c>
      <c r="M1735" s="6">
        <f>Table1[[#This Row],[Total Sales]]+Table1[[#This Row],[Shipping Fee]]</f>
        <v>183000</v>
      </c>
      <c r="N1735" s="2" t="s">
        <v>22</v>
      </c>
      <c r="O1735" t="str">
        <f>VLOOKUP(Table1[[#This Row],[Order ID]],Status!A:B, 2,FALSE)</f>
        <v>Completed</v>
      </c>
      <c r="P1735" s="2" t="s">
        <v>30</v>
      </c>
      <c r="Q1735" s="2">
        <v>2</v>
      </c>
      <c r="R1735" s="2" t="s">
        <v>24</v>
      </c>
      <c r="S1735" s="11" t="str">
        <f t="shared" si="138"/>
        <v>Rendah</v>
      </c>
      <c r="T1735" s="2" t="str">
        <f t="shared" si="139"/>
        <v>Sangat Rendah</v>
      </c>
    </row>
    <row r="1736" spans="1:20" ht="15.75" customHeight="1" x14ac:dyDescent="0.3">
      <c r="A1736" s="4" t="s">
        <v>531</v>
      </c>
      <c r="B1736" s="3">
        <v>45599.25885416667</v>
      </c>
      <c r="C1736" s="2" t="s">
        <v>532</v>
      </c>
      <c r="D1736" s="2" t="s">
        <v>262</v>
      </c>
      <c r="E1736" s="2" t="s">
        <v>28</v>
      </c>
      <c r="F1736" s="2">
        <v>5000</v>
      </c>
      <c r="G1736" s="2">
        <v>2</v>
      </c>
      <c r="H1736" s="2">
        <v>5</v>
      </c>
      <c r="I1736">
        <f t="shared" si="135"/>
        <v>10000</v>
      </c>
      <c r="J1736">
        <f t="shared" si="136"/>
        <v>500</v>
      </c>
      <c r="K1736" s="6">
        <f t="shared" si="137"/>
        <v>9500</v>
      </c>
      <c r="L1736" s="2">
        <v>0</v>
      </c>
      <c r="M1736" s="6">
        <f>Table1[[#This Row],[Total Sales]]+Table1[[#This Row],[Shipping Fee]]</f>
        <v>9500</v>
      </c>
      <c r="N1736" s="2" t="s">
        <v>22</v>
      </c>
      <c r="O1736" t="str">
        <f>VLOOKUP(Table1[[#This Row],[Order ID]],Status!A:B, 2,FALSE)</f>
        <v>Completed</v>
      </c>
      <c r="P1736" s="2" t="s">
        <v>30</v>
      </c>
      <c r="Q1736" s="2">
        <v>2</v>
      </c>
      <c r="R1736" s="2" t="s">
        <v>24</v>
      </c>
      <c r="S1736" s="11" t="str">
        <f t="shared" si="138"/>
        <v>Rendah</v>
      </c>
      <c r="T1736" s="2" t="str">
        <f t="shared" si="139"/>
        <v>Sangat Rendah</v>
      </c>
    </row>
    <row r="1737" spans="1:20" ht="15.75" customHeight="1" x14ac:dyDescent="0.3">
      <c r="A1737" s="4" t="s">
        <v>529</v>
      </c>
      <c r="B1737" s="3">
        <v>45598.904791666668</v>
      </c>
      <c r="C1737" s="2" t="s">
        <v>530</v>
      </c>
      <c r="D1737" s="2" t="s">
        <v>151</v>
      </c>
      <c r="E1737" s="2" t="s">
        <v>250</v>
      </c>
      <c r="F1737" s="2">
        <v>18000</v>
      </c>
      <c r="G1737" s="2">
        <v>5</v>
      </c>
      <c r="H1737" s="2">
        <v>0</v>
      </c>
      <c r="I1737">
        <f t="shared" si="135"/>
        <v>90000</v>
      </c>
      <c r="J1737">
        <f t="shared" si="136"/>
        <v>0</v>
      </c>
      <c r="K1737" s="6">
        <f t="shared" si="137"/>
        <v>90000</v>
      </c>
      <c r="L1737" s="2">
        <v>55000</v>
      </c>
      <c r="M1737" s="6">
        <f>Table1[[#This Row],[Total Sales]]+Table1[[#This Row],[Shipping Fee]]</f>
        <v>145000</v>
      </c>
      <c r="N1737" s="2" t="s">
        <v>63</v>
      </c>
      <c r="O1737" t="str">
        <f>VLOOKUP(Table1[[#This Row],[Order ID]],Status!A:B, 2,FALSE)</f>
        <v>Completed</v>
      </c>
      <c r="P1737" s="2" t="s">
        <v>82</v>
      </c>
      <c r="Q1737" s="2">
        <v>2</v>
      </c>
      <c r="R1737" s="2" t="s">
        <v>24</v>
      </c>
      <c r="S1737" s="11" t="str">
        <f t="shared" si="138"/>
        <v>Rendah</v>
      </c>
      <c r="T1737" s="2" t="str">
        <f t="shared" si="139"/>
        <v>Sangat Rendah</v>
      </c>
    </row>
    <row r="1738" spans="1:20" ht="15.75" customHeight="1" x14ac:dyDescent="0.3">
      <c r="A1738" s="4" t="s">
        <v>528</v>
      </c>
      <c r="B1738" s="3">
        <v>45598.751608796287</v>
      </c>
      <c r="C1738" s="2" t="s">
        <v>455</v>
      </c>
      <c r="D1738" s="2" t="s">
        <v>33</v>
      </c>
      <c r="E1738" s="2" t="s">
        <v>58</v>
      </c>
      <c r="F1738" s="2">
        <v>16000</v>
      </c>
      <c r="G1738" s="2">
        <v>1</v>
      </c>
      <c r="H1738" s="2">
        <v>10</v>
      </c>
      <c r="I1738">
        <f t="shared" si="135"/>
        <v>16000</v>
      </c>
      <c r="J1738">
        <f t="shared" si="136"/>
        <v>1600</v>
      </c>
      <c r="K1738" s="6">
        <f t="shared" si="137"/>
        <v>14400</v>
      </c>
      <c r="L1738" s="2">
        <v>76000</v>
      </c>
      <c r="M1738" s="6">
        <f>Table1[[#This Row],[Total Sales]]+Table1[[#This Row],[Shipping Fee]]</f>
        <v>90400</v>
      </c>
      <c r="N1738" s="2" t="s">
        <v>35</v>
      </c>
      <c r="O1738" t="str">
        <f>VLOOKUP(Table1[[#This Row],[Order ID]],Status!A:B, 2,FALSE)</f>
        <v>Returned</v>
      </c>
      <c r="P1738" s="2" t="s">
        <v>46</v>
      </c>
      <c r="Q1738" s="2">
        <v>1</v>
      </c>
      <c r="R1738" s="2" t="s">
        <v>24</v>
      </c>
      <c r="S1738" s="11" t="str">
        <f t="shared" si="138"/>
        <v>Rendah</v>
      </c>
      <c r="T1738" s="2" t="str">
        <f t="shared" si="139"/>
        <v>Sangat Rendah</v>
      </c>
    </row>
    <row r="1739" spans="1:20" ht="15.75" customHeight="1" x14ac:dyDescent="0.3">
      <c r="A1739" s="4" t="s">
        <v>526</v>
      </c>
      <c r="B1739" s="3">
        <v>45598.30060185185</v>
      </c>
      <c r="C1739" s="2" t="s">
        <v>527</v>
      </c>
      <c r="D1739" s="2" t="s">
        <v>173</v>
      </c>
      <c r="E1739" s="2" t="s">
        <v>71</v>
      </c>
      <c r="F1739" s="2">
        <v>40000</v>
      </c>
      <c r="G1739" s="2">
        <v>4</v>
      </c>
      <c r="H1739" s="2">
        <v>0</v>
      </c>
      <c r="I1739">
        <f t="shared" si="135"/>
        <v>160000</v>
      </c>
      <c r="J1739">
        <f t="shared" si="136"/>
        <v>0</v>
      </c>
      <c r="K1739" s="6">
        <f t="shared" si="137"/>
        <v>160000</v>
      </c>
      <c r="L1739" s="2">
        <v>49000</v>
      </c>
      <c r="M1739" s="6">
        <f>Table1[[#This Row],[Total Sales]]+Table1[[#This Row],[Shipping Fee]]</f>
        <v>209000</v>
      </c>
      <c r="N1739" s="2" t="s">
        <v>29</v>
      </c>
      <c r="O1739" t="str">
        <f>VLOOKUP(Table1[[#This Row],[Order ID]],Status!A:B, 2,FALSE)</f>
        <v>Completed</v>
      </c>
      <c r="P1739" s="2" t="s">
        <v>23</v>
      </c>
      <c r="Q1739" s="2">
        <v>1</v>
      </c>
      <c r="R1739" s="2" t="s">
        <v>24</v>
      </c>
      <c r="S1739" s="11" t="str">
        <f t="shared" si="138"/>
        <v>Rendah</v>
      </c>
      <c r="T1739" s="2" t="str">
        <f t="shared" si="139"/>
        <v>Sangat Rendah</v>
      </c>
    </row>
    <row r="1740" spans="1:20" ht="15.75" customHeight="1" x14ac:dyDescent="0.3">
      <c r="A1740" s="4" t="s">
        <v>524</v>
      </c>
      <c r="B1740" s="3">
        <v>45597.910775462973</v>
      </c>
      <c r="C1740" s="2" t="s">
        <v>525</v>
      </c>
      <c r="D1740" s="2" t="s">
        <v>96</v>
      </c>
      <c r="E1740" s="2" t="s">
        <v>81</v>
      </c>
      <c r="F1740" s="2">
        <v>17000</v>
      </c>
      <c r="G1740" s="2">
        <v>1</v>
      </c>
      <c r="H1740" s="2">
        <v>20</v>
      </c>
      <c r="I1740">
        <f t="shared" si="135"/>
        <v>17000</v>
      </c>
      <c r="J1740">
        <f t="shared" si="136"/>
        <v>3400</v>
      </c>
      <c r="K1740" s="6">
        <f t="shared" si="137"/>
        <v>13600</v>
      </c>
      <c r="L1740" s="2">
        <v>49000</v>
      </c>
      <c r="M1740" s="6">
        <f>Table1[[#This Row],[Total Sales]]+Table1[[#This Row],[Shipping Fee]]</f>
        <v>62600</v>
      </c>
      <c r="N1740" s="2" t="s">
        <v>29</v>
      </c>
      <c r="O1740" t="str">
        <f>VLOOKUP(Table1[[#This Row],[Order ID]],Status!A:B, 2,FALSE)</f>
        <v>Completed</v>
      </c>
      <c r="P1740" s="2" t="s">
        <v>36</v>
      </c>
      <c r="Q1740" s="2">
        <v>3</v>
      </c>
      <c r="R1740" s="2" t="s">
        <v>24</v>
      </c>
      <c r="S1740" s="11" t="str">
        <f t="shared" si="138"/>
        <v>Standar</v>
      </c>
      <c r="T1740" s="2" t="str">
        <f t="shared" si="139"/>
        <v>Sangat Rendah</v>
      </c>
    </row>
    <row r="1741" spans="1:20" ht="15.75" customHeight="1" x14ac:dyDescent="0.3">
      <c r="A1741" s="4" t="s">
        <v>522</v>
      </c>
      <c r="B1741" s="3">
        <v>45597.866851851853</v>
      </c>
      <c r="C1741" s="2" t="s">
        <v>523</v>
      </c>
      <c r="D1741" s="2" t="s">
        <v>113</v>
      </c>
      <c r="E1741" s="2" t="s">
        <v>186</v>
      </c>
      <c r="F1741" s="2">
        <v>45000</v>
      </c>
      <c r="G1741" s="2">
        <v>4</v>
      </c>
      <c r="H1741" s="2">
        <v>0</v>
      </c>
      <c r="I1741">
        <f t="shared" si="135"/>
        <v>180000</v>
      </c>
      <c r="J1741">
        <f t="shared" si="136"/>
        <v>0</v>
      </c>
      <c r="K1741" s="6">
        <f t="shared" si="137"/>
        <v>180000</v>
      </c>
      <c r="L1741" s="2">
        <v>18000</v>
      </c>
      <c r="M1741" s="6">
        <f>Table1[[#This Row],[Total Sales]]+Table1[[#This Row],[Shipping Fee]]</f>
        <v>198000</v>
      </c>
      <c r="N1741" s="2" t="s">
        <v>29</v>
      </c>
      <c r="O1741" t="str">
        <f>VLOOKUP(Table1[[#This Row],[Order ID]],Status!A:B, 2,FALSE)</f>
        <v>Completed</v>
      </c>
      <c r="P1741" s="2" t="s">
        <v>30</v>
      </c>
      <c r="Q1741" s="2">
        <v>4</v>
      </c>
      <c r="R1741" s="2" t="s">
        <v>24</v>
      </c>
      <c r="S1741" s="11" t="str">
        <f t="shared" si="138"/>
        <v>Bagus</v>
      </c>
      <c r="T1741" s="2" t="str">
        <f t="shared" si="139"/>
        <v>Sangat Rendah</v>
      </c>
    </row>
    <row r="1742" spans="1:20" ht="15.75" customHeight="1" x14ac:dyDescent="0.3">
      <c r="A1742" s="4" t="s">
        <v>521</v>
      </c>
      <c r="B1742" s="3">
        <v>45597.640682870369</v>
      </c>
      <c r="C1742" s="2" t="s">
        <v>285</v>
      </c>
      <c r="D1742" s="2" t="s">
        <v>20</v>
      </c>
      <c r="E1742" s="2" t="s">
        <v>71</v>
      </c>
      <c r="F1742" s="2">
        <v>40000</v>
      </c>
      <c r="G1742" s="2">
        <v>2</v>
      </c>
      <c r="H1742" s="2">
        <v>15</v>
      </c>
      <c r="I1742">
        <f t="shared" si="135"/>
        <v>80000</v>
      </c>
      <c r="J1742">
        <f t="shared" si="136"/>
        <v>12000</v>
      </c>
      <c r="K1742" s="6">
        <f t="shared" si="137"/>
        <v>68000</v>
      </c>
      <c r="L1742" s="2">
        <v>15000</v>
      </c>
      <c r="M1742" s="6">
        <f>Table1[[#This Row],[Total Sales]]+Table1[[#This Row],[Shipping Fee]]</f>
        <v>83000</v>
      </c>
      <c r="N1742" s="2" t="s">
        <v>35</v>
      </c>
      <c r="O1742" t="str">
        <f>VLOOKUP(Table1[[#This Row],[Order ID]],Status!A:B, 2,FALSE)</f>
        <v>Cancelled</v>
      </c>
      <c r="P1742" s="2" t="s">
        <v>46</v>
      </c>
      <c r="Q1742" s="2">
        <v>3</v>
      </c>
      <c r="R1742" s="2" t="s">
        <v>37</v>
      </c>
      <c r="S1742" s="11" t="str">
        <f t="shared" si="138"/>
        <v>Standar</v>
      </c>
      <c r="T1742" s="2" t="str">
        <f t="shared" si="139"/>
        <v>Normal</v>
      </c>
    </row>
    <row r="1743" spans="1:20" ht="15.75" customHeight="1" x14ac:dyDescent="0.3">
      <c r="A1743" s="4" t="s">
        <v>519</v>
      </c>
      <c r="B1743" s="3">
        <v>45597.089837962973</v>
      </c>
      <c r="C1743" s="2" t="s">
        <v>520</v>
      </c>
      <c r="D1743" s="2" t="s">
        <v>103</v>
      </c>
      <c r="E1743" s="2" t="s">
        <v>67</v>
      </c>
      <c r="F1743" s="2">
        <v>15000</v>
      </c>
      <c r="G1743" s="2">
        <v>1</v>
      </c>
      <c r="H1743" s="2">
        <v>5</v>
      </c>
      <c r="I1743">
        <f t="shared" si="135"/>
        <v>15000</v>
      </c>
      <c r="J1743">
        <f t="shared" si="136"/>
        <v>750</v>
      </c>
      <c r="K1743" s="6">
        <f t="shared" si="137"/>
        <v>14250</v>
      </c>
      <c r="L1743" s="2">
        <v>85000</v>
      </c>
      <c r="M1743" s="6">
        <f>Table1[[#This Row],[Total Sales]]+Table1[[#This Row],[Shipping Fee]]</f>
        <v>99250</v>
      </c>
      <c r="N1743" s="2" t="s">
        <v>22</v>
      </c>
      <c r="O1743" t="str">
        <f>VLOOKUP(Table1[[#This Row],[Order ID]],Status!A:B, 2,FALSE)</f>
        <v>Completed</v>
      </c>
      <c r="P1743" s="2" t="s">
        <v>36</v>
      </c>
      <c r="Q1743" s="2">
        <v>5</v>
      </c>
      <c r="R1743" s="2" t="s">
        <v>24</v>
      </c>
      <c r="S1743" s="11" t="str">
        <f t="shared" si="138"/>
        <v>Bagus</v>
      </c>
      <c r="T1743" s="2" t="str">
        <f t="shared" si="139"/>
        <v>Sangat Rendah</v>
      </c>
    </row>
    <row r="1744" spans="1:20" ht="15.75" customHeight="1" x14ac:dyDescent="0.3">
      <c r="A1744" s="4" t="s">
        <v>518</v>
      </c>
      <c r="B1744" s="3">
        <v>45597.078587962962</v>
      </c>
      <c r="C1744" s="2" t="s">
        <v>87</v>
      </c>
      <c r="D1744" s="2" t="s">
        <v>80</v>
      </c>
      <c r="E1744" s="2" t="s">
        <v>75</v>
      </c>
      <c r="F1744" s="2">
        <v>55000</v>
      </c>
      <c r="G1744" s="2">
        <v>1</v>
      </c>
      <c r="H1744" s="2">
        <v>10</v>
      </c>
      <c r="I1744">
        <f t="shared" si="135"/>
        <v>55000</v>
      </c>
      <c r="J1744">
        <f t="shared" si="136"/>
        <v>5500</v>
      </c>
      <c r="K1744" s="6">
        <f t="shared" si="137"/>
        <v>49500</v>
      </c>
      <c r="L1744" s="2">
        <v>74000</v>
      </c>
      <c r="M1744" s="6">
        <f>Table1[[#This Row],[Total Sales]]+Table1[[#This Row],[Shipping Fee]]</f>
        <v>123500</v>
      </c>
      <c r="N1744" s="2" t="s">
        <v>22</v>
      </c>
      <c r="O1744" t="str">
        <f>VLOOKUP(Table1[[#This Row],[Order ID]],Status!A:B, 2,FALSE)</f>
        <v>Returned</v>
      </c>
      <c r="P1744" s="2" t="s">
        <v>30</v>
      </c>
      <c r="Q1744" s="2">
        <v>3</v>
      </c>
      <c r="R1744" s="2" t="s">
        <v>24</v>
      </c>
      <c r="S1744" s="11" t="str">
        <f t="shared" si="138"/>
        <v>Standar</v>
      </c>
      <c r="T1744" s="2" t="str">
        <f t="shared" si="139"/>
        <v>Rendah</v>
      </c>
    </row>
    <row r="1745" spans="1:20" ht="15.75" customHeight="1" x14ac:dyDescent="0.3">
      <c r="A1745" s="4" t="s">
        <v>517</v>
      </c>
      <c r="B1745" s="3">
        <v>45597.015821759262</v>
      </c>
      <c r="C1745" s="2" t="s">
        <v>365</v>
      </c>
      <c r="D1745" s="2" t="s">
        <v>61</v>
      </c>
      <c r="E1745" s="2" t="s">
        <v>85</v>
      </c>
      <c r="F1745" s="2">
        <v>35000</v>
      </c>
      <c r="G1745" s="2">
        <v>2</v>
      </c>
      <c r="H1745" s="2">
        <v>0</v>
      </c>
      <c r="I1745">
        <f t="shared" si="135"/>
        <v>70000</v>
      </c>
      <c r="J1745">
        <f t="shared" si="136"/>
        <v>0</v>
      </c>
      <c r="K1745" s="6">
        <f t="shared" si="137"/>
        <v>70000</v>
      </c>
      <c r="L1745" s="2">
        <v>26000</v>
      </c>
      <c r="M1745" s="6">
        <f>Table1[[#This Row],[Total Sales]]+Table1[[#This Row],[Shipping Fee]]</f>
        <v>96000</v>
      </c>
      <c r="N1745" s="2" t="s">
        <v>35</v>
      </c>
      <c r="O1745" t="str">
        <f>VLOOKUP(Table1[[#This Row],[Order ID]],Status!A:B, 2,FALSE)</f>
        <v>Returned</v>
      </c>
      <c r="P1745" s="2" t="s">
        <v>23</v>
      </c>
      <c r="Q1745" s="2">
        <v>2</v>
      </c>
      <c r="R1745" s="2" t="s">
        <v>24</v>
      </c>
      <c r="S1745" s="11" t="str">
        <f t="shared" si="138"/>
        <v>Rendah</v>
      </c>
      <c r="T1745" s="2" t="str">
        <f t="shared" si="139"/>
        <v>Sangat Rendah</v>
      </c>
    </row>
    <row r="1746" spans="1:20" ht="15.75" customHeight="1" x14ac:dyDescent="0.3">
      <c r="A1746" s="4" t="s">
        <v>516</v>
      </c>
      <c r="B1746" s="3">
        <v>45596.643530092602</v>
      </c>
      <c r="C1746" s="2" t="s">
        <v>408</v>
      </c>
      <c r="D1746" s="2" t="s">
        <v>74</v>
      </c>
      <c r="E1746" s="2" t="s">
        <v>41</v>
      </c>
      <c r="F1746" s="2">
        <v>4000</v>
      </c>
      <c r="G1746" s="2">
        <v>2</v>
      </c>
      <c r="H1746" s="2">
        <v>5</v>
      </c>
      <c r="I1746">
        <f t="shared" si="135"/>
        <v>8000</v>
      </c>
      <c r="J1746">
        <f t="shared" si="136"/>
        <v>400</v>
      </c>
      <c r="K1746" s="6">
        <f t="shared" si="137"/>
        <v>7600</v>
      </c>
      <c r="L1746" s="2">
        <v>87000</v>
      </c>
      <c r="M1746" s="6">
        <f>Table1[[#This Row],[Total Sales]]+Table1[[#This Row],[Shipping Fee]]</f>
        <v>94600</v>
      </c>
      <c r="N1746" s="2" t="s">
        <v>29</v>
      </c>
      <c r="O1746" t="str">
        <f>VLOOKUP(Table1[[#This Row],[Order ID]],Status!A:B, 2,FALSE)</f>
        <v>Completed</v>
      </c>
      <c r="P1746" s="2" t="s">
        <v>30</v>
      </c>
      <c r="Q1746" s="2">
        <v>3</v>
      </c>
      <c r="R1746" s="2" t="s">
        <v>24</v>
      </c>
      <c r="S1746" s="11" t="str">
        <f t="shared" si="138"/>
        <v>Standar</v>
      </c>
      <c r="T1746" s="2" t="str">
        <f t="shared" si="139"/>
        <v>Sangat Rendah</v>
      </c>
    </row>
    <row r="1747" spans="1:20" ht="15.75" customHeight="1" x14ac:dyDescent="0.3">
      <c r="A1747" s="4" t="s">
        <v>514</v>
      </c>
      <c r="B1747" s="3">
        <v>45595.439872685187</v>
      </c>
      <c r="C1747" s="2" t="s">
        <v>515</v>
      </c>
      <c r="D1747" s="2" t="s">
        <v>182</v>
      </c>
      <c r="E1747" s="2" t="s">
        <v>62</v>
      </c>
      <c r="F1747" s="2">
        <v>50000</v>
      </c>
      <c r="G1747" s="2">
        <v>1</v>
      </c>
      <c r="H1747" s="2">
        <v>5</v>
      </c>
      <c r="I1747">
        <f t="shared" si="135"/>
        <v>50000</v>
      </c>
      <c r="J1747">
        <f t="shared" si="136"/>
        <v>2500</v>
      </c>
      <c r="K1747" s="6">
        <f t="shared" si="137"/>
        <v>47500</v>
      </c>
      <c r="L1747" s="2">
        <v>48000</v>
      </c>
      <c r="M1747" s="6">
        <f>Table1[[#This Row],[Total Sales]]+Table1[[#This Row],[Shipping Fee]]</f>
        <v>95500</v>
      </c>
      <c r="N1747" s="2" t="s">
        <v>22</v>
      </c>
      <c r="O1747" t="str">
        <f>VLOOKUP(Table1[[#This Row],[Order ID]],Status!A:B, 2,FALSE)</f>
        <v>Completed</v>
      </c>
      <c r="P1747" s="2" t="s">
        <v>30</v>
      </c>
      <c r="Q1747" s="2">
        <v>2</v>
      </c>
      <c r="R1747" s="2" t="s">
        <v>24</v>
      </c>
      <c r="S1747" s="11" t="str">
        <f t="shared" si="138"/>
        <v>Rendah</v>
      </c>
      <c r="T1747" s="2" t="str">
        <f t="shared" si="139"/>
        <v>Sangat Rendah</v>
      </c>
    </row>
    <row r="1748" spans="1:20" ht="15.75" customHeight="1" x14ac:dyDescent="0.3">
      <c r="A1748" s="4" t="s">
        <v>512</v>
      </c>
      <c r="B1748" s="3">
        <v>45595.261643518519</v>
      </c>
      <c r="C1748" s="2" t="s">
        <v>513</v>
      </c>
      <c r="D1748" s="2" t="s">
        <v>182</v>
      </c>
      <c r="E1748" s="2" t="s">
        <v>110</v>
      </c>
      <c r="F1748" s="2">
        <v>6000</v>
      </c>
      <c r="G1748" s="2">
        <v>3</v>
      </c>
      <c r="H1748" s="2">
        <v>20</v>
      </c>
      <c r="I1748">
        <f t="shared" si="135"/>
        <v>18000</v>
      </c>
      <c r="J1748">
        <f t="shared" si="136"/>
        <v>3600</v>
      </c>
      <c r="K1748" s="6">
        <f t="shared" si="137"/>
        <v>14400</v>
      </c>
      <c r="L1748" s="2">
        <v>48000</v>
      </c>
      <c r="M1748" s="6">
        <f>Table1[[#This Row],[Total Sales]]+Table1[[#This Row],[Shipping Fee]]</f>
        <v>62400</v>
      </c>
      <c r="N1748" s="2" t="s">
        <v>22</v>
      </c>
      <c r="O1748" t="str">
        <f>VLOOKUP(Table1[[#This Row],[Order ID]],Status!A:B, 2,FALSE)</f>
        <v>Completed</v>
      </c>
      <c r="P1748" s="2" t="s">
        <v>23</v>
      </c>
      <c r="Q1748" s="2">
        <v>3</v>
      </c>
      <c r="R1748" s="2" t="s">
        <v>24</v>
      </c>
      <c r="S1748" s="11" t="str">
        <f t="shared" si="138"/>
        <v>Standar</v>
      </c>
      <c r="T1748" s="2" t="str">
        <f t="shared" si="139"/>
        <v>Sangat Rendah</v>
      </c>
    </row>
    <row r="1749" spans="1:20" ht="15.75" customHeight="1" x14ac:dyDescent="0.3">
      <c r="A1749" s="4" t="s">
        <v>511</v>
      </c>
      <c r="B1749" s="3">
        <v>45594.980034722219</v>
      </c>
      <c r="C1749" s="2" t="s">
        <v>26</v>
      </c>
      <c r="D1749" s="2" t="s">
        <v>27</v>
      </c>
      <c r="E1749" s="2" t="s">
        <v>67</v>
      </c>
      <c r="F1749" s="2">
        <v>15000</v>
      </c>
      <c r="G1749" s="2">
        <v>4</v>
      </c>
      <c r="H1749" s="2">
        <v>10</v>
      </c>
      <c r="I1749">
        <f t="shared" si="135"/>
        <v>60000</v>
      </c>
      <c r="J1749">
        <f t="shared" si="136"/>
        <v>6000</v>
      </c>
      <c r="K1749" s="6">
        <f t="shared" si="137"/>
        <v>54000</v>
      </c>
      <c r="L1749" s="2">
        <v>17000</v>
      </c>
      <c r="M1749" s="6">
        <f>Table1[[#This Row],[Total Sales]]+Table1[[#This Row],[Shipping Fee]]</f>
        <v>71000</v>
      </c>
      <c r="N1749" s="2" t="s">
        <v>22</v>
      </c>
      <c r="O1749" t="str">
        <f>VLOOKUP(Table1[[#This Row],[Order ID]],Status!A:B, 2,FALSE)</f>
        <v>Completed</v>
      </c>
      <c r="P1749" s="2" t="s">
        <v>46</v>
      </c>
      <c r="Q1749" s="2">
        <v>2</v>
      </c>
      <c r="R1749" s="2" t="s">
        <v>24</v>
      </c>
      <c r="S1749" s="11" t="str">
        <f t="shared" si="138"/>
        <v>Rendah</v>
      </c>
      <c r="T1749" s="2" t="str">
        <f t="shared" si="139"/>
        <v>Rendah</v>
      </c>
    </row>
    <row r="1750" spans="1:20" ht="15.75" customHeight="1" x14ac:dyDescent="0.3">
      <c r="A1750" s="4" t="s">
        <v>509</v>
      </c>
      <c r="B1750" s="3">
        <v>45594.764247685183</v>
      </c>
      <c r="C1750" s="2" t="s">
        <v>510</v>
      </c>
      <c r="D1750" s="2" t="s">
        <v>96</v>
      </c>
      <c r="E1750" s="2" t="s">
        <v>81</v>
      </c>
      <c r="F1750" s="2">
        <v>17000</v>
      </c>
      <c r="G1750" s="2">
        <v>2</v>
      </c>
      <c r="H1750" s="2">
        <v>0</v>
      </c>
      <c r="I1750">
        <f t="shared" si="135"/>
        <v>34000</v>
      </c>
      <c r="J1750">
        <f t="shared" si="136"/>
        <v>0</v>
      </c>
      <c r="K1750" s="6">
        <f t="shared" si="137"/>
        <v>34000</v>
      </c>
      <c r="L1750" s="2">
        <v>49000</v>
      </c>
      <c r="M1750" s="6">
        <f>Table1[[#This Row],[Total Sales]]+Table1[[#This Row],[Shipping Fee]]</f>
        <v>83000</v>
      </c>
      <c r="N1750" s="2" t="s">
        <v>22</v>
      </c>
      <c r="O1750" t="str">
        <f>VLOOKUP(Table1[[#This Row],[Order ID]],Status!A:B, 2,FALSE)</f>
        <v>Completed</v>
      </c>
      <c r="P1750" s="2" t="s">
        <v>23</v>
      </c>
      <c r="Q1750" s="2">
        <v>4</v>
      </c>
      <c r="R1750" s="2" t="s">
        <v>24</v>
      </c>
      <c r="S1750" s="11" t="str">
        <f t="shared" si="138"/>
        <v>Bagus</v>
      </c>
      <c r="T1750" s="2" t="str">
        <f t="shared" si="139"/>
        <v>Sangat Rendah</v>
      </c>
    </row>
    <row r="1751" spans="1:20" ht="15.75" customHeight="1" x14ac:dyDescent="0.3">
      <c r="A1751" s="4" t="s">
        <v>507</v>
      </c>
      <c r="B1751" s="3">
        <v>45594.518923611111</v>
      </c>
      <c r="C1751" s="2" t="s">
        <v>508</v>
      </c>
      <c r="D1751" s="2" t="s">
        <v>20</v>
      </c>
      <c r="E1751" s="2" t="s">
        <v>174</v>
      </c>
      <c r="F1751" s="2">
        <v>10000</v>
      </c>
      <c r="G1751" s="2">
        <v>4</v>
      </c>
      <c r="H1751" s="2">
        <v>10</v>
      </c>
      <c r="I1751">
        <f t="shared" si="135"/>
        <v>40000</v>
      </c>
      <c r="J1751">
        <f t="shared" si="136"/>
        <v>4000</v>
      </c>
      <c r="K1751" s="6">
        <f t="shared" si="137"/>
        <v>36000</v>
      </c>
      <c r="L1751" s="2">
        <v>15000</v>
      </c>
      <c r="M1751" s="6">
        <f>Table1[[#This Row],[Total Sales]]+Table1[[#This Row],[Shipping Fee]]</f>
        <v>51000</v>
      </c>
      <c r="N1751" s="2" t="s">
        <v>63</v>
      </c>
      <c r="O1751" t="str">
        <f>VLOOKUP(Table1[[#This Row],[Order ID]],Status!A:B, 2,FALSE)</f>
        <v>Completed</v>
      </c>
      <c r="P1751" s="2" t="s">
        <v>36</v>
      </c>
      <c r="Q1751" s="2">
        <v>5</v>
      </c>
      <c r="R1751" s="2" t="s">
        <v>37</v>
      </c>
      <c r="S1751" s="11" t="str">
        <f t="shared" si="138"/>
        <v>Bagus</v>
      </c>
      <c r="T1751" s="2" t="str">
        <f t="shared" si="139"/>
        <v>Sangat Rendah</v>
      </c>
    </row>
    <row r="1752" spans="1:20" ht="15.75" customHeight="1" x14ac:dyDescent="0.3">
      <c r="A1752" s="4" t="s">
        <v>506</v>
      </c>
      <c r="B1752" s="3">
        <v>45594.41207175926</v>
      </c>
      <c r="C1752" s="2" t="s">
        <v>203</v>
      </c>
      <c r="D1752" s="2" t="s">
        <v>20</v>
      </c>
      <c r="E1752" s="2" t="s">
        <v>50</v>
      </c>
      <c r="F1752" s="2">
        <v>14000</v>
      </c>
      <c r="G1752" s="2">
        <v>4</v>
      </c>
      <c r="H1752" s="2">
        <v>10</v>
      </c>
      <c r="I1752">
        <f t="shared" si="135"/>
        <v>56000</v>
      </c>
      <c r="J1752">
        <f t="shared" si="136"/>
        <v>5600</v>
      </c>
      <c r="K1752" s="6">
        <f t="shared" si="137"/>
        <v>50400</v>
      </c>
      <c r="L1752" s="2">
        <v>15000</v>
      </c>
      <c r="M1752" s="6">
        <f>Table1[[#This Row],[Total Sales]]+Table1[[#This Row],[Shipping Fee]]</f>
        <v>65400</v>
      </c>
      <c r="N1752" s="2" t="s">
        <v>63</v>
      </c>
      <c r="O1752" t="str">
        <f>VLOOKUP(Table1[[#This Row],[Order ID]],Status!A:B, 2,FALSE)</f>
        <v>Cancelled</v>
      </c>
      <c r="P1752" s="2" t="s">
        <v>82</v>
      </c>
      <c r="Q1752" s="2">
        <v>2</v>
      </c>
      <c r="R1752" s="2" t="s">
        <v>24</v>
      </c>
      <c r="S1752" s="11" t="str">
        <f t="shared" si="138"/>
        <v>Rendah</v>
      </c>
      <c r="T1752" s="2" t="str">
        <f t="shared" si="139"/>
        <v>Rendah</v>
      </c>
    </row>
    <row r="1753" spans="1:20" ht="15.75" customHeight="1" x14ac:dyDescent="0.3">
      <c r="A1753" s="4" t="s">
        <v>505</v>
      </c>
      <c r="B1753" s="3">
        <v>45594.350405092591</v>
      </c>
      <c r="C1753" s="2" t="s">
        <v>281</v>
      </c>
      <c r="D1753" s="2" t="s">
        <v>151</v>
      </c>
      <c r="E1753" s="2" t="s">
        <v>144</v>
      </c>
      <c r="F1753" s="2">
        <v>18000</v>
      </c>
      <c r="G1753" s="2">
        <v>3</v>
      </c>
      <c r="H1753" s="2">
        <v>10</v>
      </c>
      <c r="I1753">
        <f t="shared" si="135"/>
        <v>54000</v>
      </c>
      <c r="J1753">
        <f t="shared" si="136"/>
        <v>5400</v>
      </c>
      <c r="K1753" s="6">
        <f t="shared" si="137"/>
        <v>48600</v>
      </c>
      <c r="L1753" s="2">
        <v>55000</v>
      </c>
      <c r="M1753" s="6">
        <f>Table1[[#This Row],[Total Sales]]+Table1[[#This Row],[Shipping Fee]]</f>
        <v>103600</v>
      </c>
      <c r="N1753" s="2" t="s">
        <v>35</v>
      </c>
      <c r="O1753" t="str">
        <f>VLOOKUP(Table1[[#This Row],[Order ID]],Status!A:B, 2,FALSE)</f>
        <v>Completed</v>
      </c>
      <c r="P1753" s="2" t="s">
        <v>36</v>
      </c>
      <c r="Q1753" s="2">
        <v>3</v>
      </c>
      <c r="R1753" s="2" t="s">
        <v>24</v>
      </c>
      <c r="S1753" s="11" t="str">
        <f t="shared" si="138"/>
        <v>Standar</v>
      </c>
      <c r="T1753" s="2" t="str">
        <f t="shared" si="139"/>
        <v>Rendah</v>
      </c>
    </row>
    <row r="1754" spans="1:20" ht="15.75" customHeight="1" x14ac:dyDescent="0.3">
      <c r="A1754" s="4" t="s">
        <v>503</v>
      </c>
      <c r="B1754" s="3">
        <v>45594.145104166673</v>
      </c>
      <c r="C1754" s="2" t="s">
        <v>504</v>
      </c>
      <c r="D1754" s="2" t="s">
        <v>195</v>
      </c>
      <c r="E1754" s="2" t="s">
        <v>41</v>
      </c>
      <c r="F1754" s="2">
        <v>4000</v>
      </c>
      <c r="G1754" s="2">
        <v>3</v>
      </c>
      <c r="H1754" s="2">
        <v>20</v>
      </c>
      <c r="I1754">
        <f t="shared" si="135"/>
        <v>12000</v>
      </c>
      <c r="J1754">
        <f t="shared" si="136"/>
        <v>2400</v>
      </c>
      <c r="K1754" s="6">
        <f t="shared" si="137"/>
        <v>9600</v>
      </c>
      <c r="L1754" s="2">
        <v>87000</v>
      </c>
      <c r="M1754" s="6">
        <f>Table1[[#This Row],[Total Sales]]+Table1[[#This Row],[Shipping Fee]]</f>
        <v>96600</v>
      </c>
      <c r="N1754" s="2" t="s">
        <v>35</v>
      </c>
      <c r="O1754" t="str">
        <f>VLOOKUP(Table1[[#This Row],[Order ID]],Status!A:B, 2,FALSE)</f>
        <v>Cancelled</v>
      </c>
      <c r="P1754" s="2" t="s">
        <v>23</v>
      </c>
      <c r="Q1754" s="2">
        <v>4</v>
      </c>
      <c r="R1754" s="2" t="s">
        <v>24</v>
      </c>
      <c r="S1754" s="11" t="str">
        <f t="shared" si="138"/>
        <v>Bagus</v>
      </c>
      <c r="T1754" s="2" t="str">
        <f t="shared" si="139"/>
        <v>Sangat Rendah</v>
      </c>
    </row>
    <row r="1755" spans="1:20" ht="15.75" customHeight="1" x14ac:dyDescent="0.3">
      <c r="A1755" s="4" t="s">
        <v>501</v>
      </c>
      <c r="B1755" s="3">
        <v>45593.403321759259</v>
      </c>
      <c r="C1755" s="2" t="s">
        <v>502</v>
      </c>
      <c r="D1755" s="2" t="s">
        <v>107</v>
      </c>
      <c r="E1755" s="2" t="s">
        <v>41</v>
      </c>
      <c r="F1755" s="2">
        <v>4000</v>
      </c>
      <c r="G1755" s="2">
        <v>4</v>
      </c>
      <c r="H1755" s="2">
        <v>0</v>
      </c>
      <c r="I1755">
        <f t="shared" si="135"/>
        <v>16000</v>
      </c>
      <c r="J1755">
        <f t="shared" si="136"/>
        <v>0</v>
      </c>
      <c r="K1755" s="6">
        <f t="shared" si="137"/>
        <v>16000</v>
      </c>
      <c r="L1755" s="2">
        <v>97000</v>
      </c>
      <c r="M1755" s="6">
        <f>Table1[[#This Row],[Total Sales]]+Table1[[#This Row],[Shipping Fee]]</f>
        <v>113000</v>
      </c>
      <c r="N1755" s="2" t="s">
        <v>63</v>
      </c>
      <c r="O1755" t="str">
        <f>VLOOKUP(Table1[[#This Row],[Order ID]],Status!A:B, 2,FALSE)</f>
        <v>Completed</v>
      </c>
      <c r="P1755" s="2" t="s">
        <v>82</v>
      </c>
      <c r="Q1755" s="2">
        <v>2</v>
      </c>
      <c r="R1755" s="2" t="s">
        <v>24</v>
      </c>
      <c r="S1755" s="11" t="str">
        <f t="shared" si="138"/>
        <v>Rendah</v>
      </c>
      <c r="T1755" s="2" t="str">
        <f t="shared" si="139"/>
        <v>Sangat Rendah</v>
      </c>
    </row>
    <row r="1756" spans="1:20" ht="15.75" customHeight="1" x14ac:dyDescent="0.3">
      <c r="A1756" s="4" t="s">
        <v>500</v>
      </c>
      <c r="B1756" s="3">
        <v>45593.151678240742</v>
      </c>
      <c r="C1756" s="2" t="s">
        <v>153</v>
      </c>
      <c r="D1756" s="2" t="s">
        <v>103</v>
      </c>
      <c r="E1756" s="2" t="s">
        <v>250</v>
      </c>
      <c r="F1756" s="2">
        <v>18000</v>
      </c>
      <c r="G1756" s="2">
        <v>2</v>
      </c>
      <c r="H1756" s="2">
        <v>10</v>
      </c>
      <c r="I1756">
        <f t="shared" si="135"/>
        <v>36000</v>
      </c>
      <c r="J1756">
        <f t="shared" si="136"/>
        <v>3600</v>
      </c>
      <c r="K1756" s="6">
        <f t="shared" si="137"/>
        <v>32400</v>
      </c>
      <c r="L1756" s="2">
        <v>85000</v>
      </c>
      <c r="M1756" s="6">
        <f>Table1[[#This Row],[Total Sales]]+Table1[[#This Row],[Shipping Fee]]</f>
        <v>117400</v>
      </c>
      <c r="N1756" s="2" t="s">
        <v>29</v>
      </c>
      <c r="O1756" t="str">
        <f>VLOOKUP(Table1[[#This Row],[Order ID]],Status!A:B, 2,FALSE)</f>
        <v>Completed</v>
      </c>
      <c r="P1756" s="2" t="s">
        <v>30</v>
      </c>
      <c r="Q1756" s="2">
        <v>1</v>
      </c>
      <c r="R1756" s="2" t="s">
        <v>37</v>
      </c>
      <c r="S1756" s="11" t="str">
        <f t="shared" si="138"/>
        <v>Rendah</v>
      </c>
      <c r="T1756" s="2" t="str">
        <f t="shared" si="139"/>
        <v>Sangat Rendah</v>
      </c>
    </row>
    <row r="1757" spans="1:20" ht="15.75" customHeight="1" x14ac:dyDescent="0.3">
      <c r="A1757" s="4" t="s">
        <v>498</v>
      </c>
      <c r="B1757" s="3">
        <v>45593.106770833343</v>
      </c>
      <c r="C1757" s="2" t="s">
        <v>499</v>
      </c>
      <c r="D1757" s="2" t="s">
        <v>131</v>
      </c>
      <c r="E1757" s="2" t="s">
        <v>28</v>
      </c>
      <c r="F1757" s="2">
        <v>5000</v>
      </c>
      <c r="G1757" s="2">
        <v>4</v>
      </c>
      <c r="H1757" s="2">
        <v>0</v>
      </c>
      <c r="I1757">
        <f t="shared" si="135"/>
        <v>20000</v>
      </c>
      <c r="J1757">
        <f t="shared" si="136"/>
        <v>0</v>
      </c>
      <c r="K1757" s="6">
        <f t="shared" si="137"/>
        <v>20000</v>
      </c>
      <c r="L1757" s="2">
        <v>59000</v>
      </c>
      <c r="M1757" s="6">
        <f>Table1[[#This Row],[Total Sales]]+Table1[[#This Row],[Shipping Fee]]</f>
        <v>79000</v>
      </c>
      <c r="N1757" s="2" t="s">
        <v>29</v>
      </c>
      <c r="O1757" t="str">
        <f>VLOOKUP(Table1[[#This Row],[Order ID]],Status!A:B, 2,FALSE)</f>
        <v>Completed</v>
      </c>
      <c r="P1757" s="2" t="s">
        <v>36</v>
      </c>
      <c r="Q1757" s="2">
        <v>5</v>
      </c>
      <c r="R1757" s="2" t="s">
        <v>24</v>
      </c>
      <c r="S1757" s="11" t="str">
        <f t="shared" si="138"/>
        <v>Bagus</v>
      </c>
      <c r="T1757" s="2" t="str">
        <f t="shared" si="139"/>
        <v>Sangat Rendah</v>
      </c>
    </row>
    <row r="1758" spans="1:20" ht="15.75" customHeight="1" x14ac:dyDescent="0.3">
      <c r="A1758" s="4" t="s">
        <v>496</v>
      </c>
      <c r="B1758" s="3">
        <v>45592.76121527778</v>
      </c>
      <c r="C1758" s="2" t="s">
        <v>497</v>
      </c>
      <c r="D1758" s="2" t="s">
        <v>173</v>
      </c>
      <c r="E1758" s="2" t="s">
        <v>85</v>
      </c>
      <c r="F1758" s="2">
        <v>35000</v>
      </c>
      <c r="G1758" s="2">
        <v>5</v>
      </c>
      <c r="H1758" s="2">
        <v>10</v>
      </c>
      <c r="I1758">
        <f t="shared" si="135"/>
        <v>175000</v>
      </c>
      <c r="J1758">
        <f t="shared" si="136"/>
        <v>17500</v>
      </c>
      <c r="K1758" s="6">
        <f t="shared" si="137"/>
        <v>157500</v>
      </c>
      <c r="L1758" s="2">
        <v>49000</v>
      </c>
      <c r="M1758" s="6">
        <f>Table1[[#This Row],[Total Sales]]+Table1[[#This Row],[Shipping Fee]]</f>
        <v>206500</v>
      </c>
      <c r="N1758" s="2" t="s">
        <v>22</v>
      </c>
      <c r="O1758" t="str">
        <f>VLOOKUP(Table1[[#This Row],[Order ID]],Status!A:B, 2,FALSE)</f>
        <v>Returned</v>
      </c>
      <c r="P1758" s="2" t="s">
        <v>23</v>
      </c>
      <c r="Q1758" s="2">
        <v>1</v>
      </c>
      <c r="R1758" s="2" t="s">
        <v>37</v>
      </c>
      <c r="S1758" s="11" t="str">
        <f t="shared" si="138"/>
        <v>Rendah</v>
      </c>
      <c r="T1758" s="2" t="str">
        <f t="shared" si="139"/>
        <v>Normal</v>
      </c>
    </row>
    <row r="1759" spans="1:20" ht="15.75" customHeight="1" x14ac:dyDescent="0.3">
      <c r="A1759" s="4" t="s">
        <v>494</v>
      </c>
      <c r="B1759" s="3">
        <v>45592.706921296303</v>
      </c>
      <c r="C1759" s="2" t="s">
        <v>495</v>
      </c>
      <c r="D1759" s="2" t="s">
        <v>44</v>
      </c>
      <c r="E1759" s="2" t="s">
        <v>45</v>
      </c>
      <c r="F1759" s="2">
        <v>40000</v>
      </c>
      <c r="G1759" s="2">
        <v>5</v>
      </c>
      <c r="H1759" s="2">
        <v>0</v>
      </c>
      <c r="I1759">
        <f t="shared" si="135"/>
        <v>200000</v>
      </c>
      <c r="J1759">
        <f t="shared" si="136"/>
        <v>0</v>
      </c>
      <c r="K1759" s="6">
        <f t="shared" si="137"/>
        <v>200000</v>
      </c>
      <c r="L1759" s="2">
        <v>93000</v>
      </c>
      <c r="M1759" s="6">
        <f>Table1[[#This Row],[Total Sales]]+Table1[[#This Row],[Shipping Fee]]</f>
        <v>293000</v>
      </c>
      <c r="N1759" s="2" t="s">
        <v>22</v>
      </c>
      <c r="O1759" t="str">
        <f>VLOOKUP(Table1[[#This Row],[Order ID]],Status!A:B, 2,FALSE)</f>
        <v>Completed</v>
      </c>
      <c r="P1759" s="2" t="s">
        <v>23</v>
      </c>
      <c r="Q1759" s="2">
        <v>2</v>
      </c>
      <c r="R1759" s="2" t="s">
        <v>37</v>
      </c>
      <c r="S1759" s="11" t="str">
        <f t="shared" si="138"/>
        <v>Rendah</v>
      </c>
      <c r="T1759" s="2" t="str">
        <f t="shared" si="139"/>
        <v>Sangat Rendah</v>
      </c>
    </row>
    <row r="1760" spans="1:20" ht="15.75" customHeight="1" x14ac:dyDescent="0.3">
      <c r="A1760" s="4" t="s">
        <v>493</v>
      </c>
      <c r="B1760" s="3">
        <v>45592.339837962973</v>
      </c>
      <c r="C1760" s="2" t="s">
        <v>477</v>
      </c>
      <c r="D1760" s="2" t="s">
        <v>182</v>
      </c>
      <c r="E1760" s="2" t="s">
        <v>190</v>
      </c>
      <c r="F1760" s="2">
        <v>35000</v>
      </c>
      <c r="G1760" s="2">
        <v>2</v>
      </c>
      <c r="H1760" s="2">
        <v>10</v>
      </c>
      <c r="I1760">
        <f t="shared" si="135"/>
        <v>70000</v>
      </c>
      <c r="J1760">
        <f t="shared" si="136"/>
        <v>7000</v>
      </c>
      <c r="K1760" s="6">
        <f t="shared" si="137"/>
        <v>63000</v>
      </c>
      <c r="L1760" s="2">
        <v>48000</v>
      </c>
      <c r="M1760" s="6">
        <f>Table1[[#This Row],[Total Sales]]+Table1[[#This Row],[Shipping Fee]]</f>
        <v>111000</v>
      </c>
      <c r="N1760" s="2" t="s">
        <v>35</v>
      </c>
      <c r="O1760" t="str">
        <f>VLOOKUP(Table1[[#This Row],[Order ID]],Status!A:B, 2,FALSE)</f>
        <v>Completed</v>
      </c>
      <c r="P1760" s="2" t="s">
        <v>82</v>
      </c>
      <c r="Q1760" s="2">
        <v>1</v>
      </c>
      <c r="R1760" s="2" t="s">
        <v>24</v>
      </c>
      <c r="S1760" s="11" t="str">
        <f t="shared" si="138"/>
        <v>Rendah</v>
      </c>
      <c r="T1760" s="2" t="str">
        <f t="shared" si="139"/>
        <v>Rendah</v>
      </c>
    </row>
    <row r="1761" spans="1:20" ht="15.75" customHeight="1" x14ac:dyDescent="0.3">
      <c r="A1761" s="4" t="s">
        <v>491</v>
      </c>
      <c r="B1761" s="3">
        <v>45592.29173611111</v>
      </c>
      <c r="C1761" s="2" t="s">
        <v>492</v>
      </c>
      <c r="D1761" s="2" t="s">
        <v>96</v>
      </c>
      <c r="E1761" s="2" t="s">
        <v>21</v>
      </c>
      <c r="F1761" s="2">
        <v>45000</v>
      </c>
      <c r="G1761" s="2">
        <v>4</v>
      </c>
      <c r="H1761" s="2">
        <v>0</v>
      </c>
      <c r="I1761">
        <f t="shared" si="135"/>
        <v>180000</v>
      </c>
      <c r="J1761">
        <f t="shared" si="136"/>
        <v>0</v>
      </c>
      <c r="K1761" s="6">
        <f t="shared" si="137"/>
        <v>180000</v>
      </c>
      <c r="L1761" s="2">
        <v>49000</v>
      </c>
      <c r="M1761" s="6">
        <f>Table1[[#This Row],[Total Sales]]+Table1[[#This Row],[Shipping Fee]]</f>
        <v>229000</v>
      </c>
      <c r="N1761" s="2" t="s">
        <v>63</v>
      </c>
      <c r="O1761" t="str">
        <f>VLOOKUP(Table1[[#This Row],[Order ID]],Status!A:B, 2,FALSE)</f>
        <v>Returned</v>
      </c>
      <c r="P1761" s="2" t="s">
        <v>82</v>
      </c>
      <c r="Q1761" s="2">
        <v>1</v>
      </c>
      <c r="R1761" s="2" t="s">
        <v>37</v>
      </c>
      <c r="S1761" s="11" t="str">
        <f t="shared" si="138"/>
        <v>Rendah</v>
      </c>
      <c r="T1761" s="2" t="str">
        <f t="shared" si="139"/>
        <v>Sangat Rendah</v>
      </c>
    </row>
    <row r="1762" spans="1:20" ht="15.75" customHeight="1" x14ac:dyDescent="0.3">
      <c r="A1762" s="4" t="s">
        <v>490</v>
      </c>
      <c r="B1762" s="3">
        <v>45591.96943287037</v>
      </c>
      <c r="C1762" s="2" t="s">
        <v>181</v>
      </c>
      <c r="D1762" s="2" t="s">
        <v>182</v>
      </c>
      <c r="E1762" s="2" t="s">
        <v>75</v>
      </c>
      <c r="F1762" s="2">
        <v>55000</v>
      </c>
      <c r="G1762" s="2">
        <v>3</v>
      </c>
      <c r="H1762" s="2">
        <v>0</v>
      </c>
      <c r="I1762">
        <f t="shared" si="135"/>
        <v>165000</v>
      </c>
      <c r="J1762">
        <f t="shared" si="136"/>
        <v>0</v>
      </c>
      <c r="K1762" s="6">
        <f t="shared" si="137"/>
        <v>165000</v>
      </c>
      <c r="L1762" s="2">
        <v>48000</v>
      </c>
      <c r="M1762" s="6">
        <f>Table1[[#This Row],[Total Sales]]+Table1[[#This Row],[Shipping Fee]]</f>
        <v>213000</v>
      </c>
      <c r="N1762" s="2" t="s">
        <v>63</v>
      </c>
      <c r="O1762" t="str">
        <f>VLOOKUP(Table1[[#This Row],[Order ID]],Status!A:B, 2,FALSE)</f>
        <v>Completed</v>
      </c>
      <c r="P1762" s="2" t="s">
        <v>30</v>
      </c>
      <c r="Q1762" s="2">
        <v>2</v>
      </c>
      <c r="R1762" s="2" t="s">
        <v>24</v>
      </c>
      <c r="S1762" s="11" t="str">
        <f t="shared" si="138"/>
        <v>Rendah</v>
      </c>
      <c r="T1762" s="2" t="str">
        <f t="shared" si="139"/>
        <v>Sangat Rendah</v>
      </c>
    </row>
    <row r="1763" spans="1:20" ht="15.75" customHeight="1" x14ac:dyDescent="0.3">
      <c r="A1763" s="4" t="s">
        <v>489</v>
      </c>
      <c r="B1763" s="3">
        <v>45591.931064814817</v>
      </c>
      <c r="C1763" s="2" t="s">
        <v>203</v>
      </c>
      <c r="D1763" s="2" t="s">
        <v>20</v>
      </c>
      <c r="E1763" s="2" t="s">
        <v>136</v>
      </c>
      <c r="F1763" s="2">
        <v>12000</v>
      </c>
      <c r="G1763" s="2">
        <v>1</v>
      </c>
      <c r="H1763" s="2">
        <v>0</v>
      </c>
      <c r="I1763">
        <f t="shared" si="135"/>
        <v>12000</v>
      </c>
      <c r="J1763">
        <f t="shared" si="136"/>
        <v>0</v>
      </c>
      <c r="K1763" s="6">
        <f t="shared" si="137"/>
        <v>12000</v>
      </c>
      <c r="L1763" s="2">
        <v>15000</v>
      </c>
      <c r="M1763" s="6">
        <f>Table1[[#This Row],[Total Sales]]+Table1[[#This Row],[Shipping Fee]]</f>
        <v>27000</v>
      </c>
      <c r="N1763" s="2" t="s">
        <v>22</v>
      </c>
      <c r="O1763" t="str">
        <f>VLOOKUP(Table1[[#This Row],[Order ID]],Status!A:B, 2,FALSE)</f>
        <v>Completed</v>
      </c>
      <c r="P1763" s="2" t="s">
        <v>30</v>
      </c>
      <c r="Q1763" s="2">
        <v>5</v>
      </c>
      <c r="R1763" s="2" t="s">
        <v>24</v>
      </c>
      <c r="S1763" s="11" t="str">
        <f t="shared" si="138"/>
        <v>Bagus</v>
      </c>
      <c r="T1763" s="2" t="str">
        <f t="shared" si="139"/>
        <v>Sangat Rendah</v>
      </c>
    </row>
    <row r="1764" spans="1:20" ht="15.75" customHeight="1" x14ac:dyDescent="0.3">
      <c r="A1764" s="4" t="s">
        <v>487</v>
      </c>
      <c r="B1764" s="3">
        <v>45591.748981481483</v>
      </c>
      <c r="C1764" s="2" t="s">
        <v>488</v>
      </c>
      <c r="D1764" s="2" t="s">
        <v>49</v>
      </c>
      <c r="E1764" s="2" t="s">
        <v>62</v>
      </c>
      <c r="F1764" s="2">
        <v>50000</v>
      </c>
      <c r="G1764" s="2">
        <v>5</v>
      </c>
      <c r="H1764" s="2">
        <v>15</v>
      </c>
      <c r="I1764">
        <f t="shared" si="135"/>
        <v>250000</v>
      </c>
      <c r="J1764">
        <f t="shared" si="136"/>
        <v>37500</v>
      </c>
      <c r="K1764" s="6">
        <f t="shared" si="137"/>
        <v>212500</v>
      </c>
      <c r="L1764" s="2">
        <v>43000</v>
      </c>
      <c r="M1764" s="6">
        <f>Table1[[#This Row],[Total Sales]]+Table1[[#This Row],[Shipping Fee]]</f>
        <v>255500</v>
      </c>
      <c r="N1764" s="2" t="s">
        <v>35</v>
      </c>
      <c r="O1764" t="str">
        <f>VLOOKUP(Table1[[#This Row],[Order ID]],Status!A:B, 2,FALSE)</f>
        <v>Completed</v>
      </c>
      <c r="P1764" s="2" t="s">
        <v>36</v>
      </c>
      <c r="Q1764" s="2">
        <v>5</v>
      </c>
      <c r="R1764" s="2" t="s">
        <v>24</v>
      </c>
      <c r="S1764" s="11" t="str">
        <f t="shared" si="138"/>
        <v>Bagus</v>
      </c>
      <c r="T1764" s="2" t="str">
        <f t="shared" si="139"/>
        <v>Sangat Tinggi</v>
      </c>
    </row>
    <row r="1765" spans="1:20" ht="15.75" customHeight="1" x14ac:dyDescent="0.3">
      <c r="A1765" s="4" t="s">
        <v>485</v>
      </c>
      <c r="B1765" s="3">
        <v>45591.467962962961</v>
      </c>
      <c r="C1765" s="2" t="s">
        <v>486</v>
      </c>
      <c r="D1765" s="2" t="s">
        <v>182</v>
      </c>
      <c r="E1765" s="2" t="s">
        <v>123</v>
      </c>
      <c r="F1765" s="2">
        <v>22000</v>
      </c>
      <c r="G1765" s="2">
        <v>3</v>
      </c>
      <c r="H1765" s="2">
        <v>0</v>
      </c>
      <c r="I1765">
        <f t="shared" si="135"/>
        <v>66000</v>
      </c>
      <c r="J1765">
        <f t="shared" si="136"/>
        <v>0</v>
      </c>
      <c r="K1765" s="6">
        <f t="shared" si="137"/>
        <v>66000</v>
      </c>
      <c r="L1765" s="2">
        <v>48000</v>
      </c>
      <c r="M1765" s="6">
        <f>Table1[[#This Row],[Total Sales]]+Table1[[#This Row],[Shipping Fee]]</f>
        <v>114000</v>
      </c>
      <c r="N1765" s="2" t="s">
        <v>63</v>
      </c>
      <c r="O1765" t="str">
        <f>VLOOKUP(Table1[[#This Row],[Order ID]],Status!A:B, 2,FALSE)</f>
        <v>Completed</v>
      </c>
      <c r="P1765" s="2" t="s">
        <v>36</v>
      </c>
      <c r="Q1765" s="2">
        <v>2</v>
      </c>
      <c r="R1765" s="2" t="s">
        <v>24</v>
      </c>
      <c r="S1765" s="11" t="str">
        <f t="shared" si="138"/>
        <v>Rendah</v>
      </c>
      <c r="T1765" s="2" t="str">
        <f t="shared" si="139"/>
        <v>Sangat Rendah</v>
      </c>
    </row>
    <row r="1766" spans="1:20" ht="15.75" customHeight="1" x14ac:dyDescent="0.3">
      <c r="A1766" s="4" t="s">
        <v>484</v>
      </c>
      <c r="B1766" s="3">
        <v>45591.140474537038</v>
      </c>
      <c r="C1766" s="2" t="s">
        <v>201</v>
      </c>
      <c r="D1766" s="2" t="s">
        <v>107</v>
      </c>
      <c r="E1766" s="2" t="s">
        <v>190</v>
      </c>
      <c r="F1766" s="2">
        <v>35000</v>
      </c>
      <c r="G1766" s="2">
        <v>1</v>
      </c>
      <c r="H1766" s="2">
        <v>15</v>
      </c>
      <c r="I1766">
        <f t="shared" si="135"/>
        <v>35000</v>
      </c>
      <c r="J1766">
        <f t="shared" si="136"/>
        <v>5250</v>
      </c>
      <c r="K1766" s="6">
        <f t="shared" si="137"/>
        <v>29750</v>
      </c>
      <c r="L1766" s="2">
        <v>97000</v>
      </c>
      <c r="M1766" s="6">
        <f>Table1[[#This Row],[Total Sales]]+Table1[[#This Row],[Shipping Fee]]</f>
        <v>126750</v>
      </c>
      <c r="N1766" s="2" t="s">
        <v>63</v>
      </c>
      <c r="O1766" t="str">
        <f>VLOOKUP(Table1[[#This Row],[Order ID]],Status!A:B, 2,FALSE)</f>
        <v>Completed</v>
      </c>
      <c r="P1766" s="2" t="s">
        <v>46</v>
      </c>
      <c r="Q1766" s="2">
        <v>5</v>
      </c>
      <c r="R1766" s="2" t="s">
        <v>24</v>
      </c>
      <c r="S1766" s="11" t="str">
        <f t="shared" si="138"/>
        <v>Bagus</v>
      </c>
      <c r="T1766" s="2" t="str">
        <f t="shared" si="139"/>
        <v>Rendah</v>
      </c>
    </row>
    <row r="1767" spans="1:20" ht="15.75" customHeight="1" x14ac:dyDescent="0.3">
      <c r="A1767" s="4" t="s">
        <v>482</v>
      </c>
      <c r="B1767" s="3">
        <v>45591.019918981481</v>
      </c>
      <c r="C1767" s="2" t="s">
        <v>483</v>
      </c>
      <c r="D1767" s="2" t="s">
        <v>170</v>
      </c>
      <c r="E1767" s="2" t="s">
        <v>54</v>
      </c>
      <c r="F1767" s="2">
        <v>16000</v>
      </c>
      <c r="G1767" s="2">
        <v>5</v>
      </c>
      <c r="H1767" s="2">
        <v>10</v>
      </c>
      <c r="I1767">
        <f t="shared" si="135"/>
        <v>80000</v>
      </c>
      <c r="J1767">
        <f t="shared" si="136"/>
        <v>8000</v>
      </c>
      <c r="K1767" s="6">
        <f t="shared" si="137"/>
        <v>72000</v>
      </c>
      <c r="L1767" s="2">
        <v>46000</v>
      </c>
      <c r="M1767" s="6">
        <f>Table1[[#This Row],[Total Sales]]+Table1[[#This Row],[Shipping Fee]]</f>
        <v>118000</v>
      </c>
      <c r="N1767" s="2" t="s">
        <v>29</v>
      </c>
      <c r="O1767" t="str">
        <f>VLOOKUP(Table1[[#This Row],[Order ID]],Status!A:B, 2,FALSE)</f>
        <v>Completed</v>
      </c>
      <c r="P1767" s="2" t="s">
        <v>30</v>
      </c>
      <c r="Q1767" s="2">
        <v>4</v>
      </c>
      <c r="R1767" s="2" t="s">
        <v>24</v>
      </c>
      <c r="S1767" s="11" t="str">
        <f t="shared" si="138"/>
        <v>Bagus</v>
      </c>
      <c r="T1767" s="2" t="str">
        <f t="shared" si="139"/>
        <v>Rendah</v>
      </c>
    </row>
    <row r="1768" spans="1:20" ht="15.75" customHeight="1" x14ac:dyDescent="0.3">
      <c r="A1768" s="4" t="s">
        <v>481</v>
      </c>
      <c r="B1768" s="3">
        <v>45590.895532407398</v>
      </c>
      <c r="C1768" s="2" t="s">
        <v>184</v>
      </c>
      <c r="D1768" s="2" t="s">
        <v>103</v>
      </c>
      <c r="E1768" s="2" t="s">
        <v>123</v>
      </c>
      <c r="F1768" s="2">
        <v>22000</v>
      </c>
      <c r="G1768" s="2">
        <v>3</v>
      </c>
      <c r="H1768" s="2">
        <v>0</v>
      </c>
      <c r="I1768">
        <f t="shared" si="135"/>
        <v>66000</v>
      </c>
      <c r="J1768">
        <f t="shared" si="136"/>
        <v>0</v>
      </c>
      <c r="K1768" s="6">
        <f t="shared" si="137"/>
        <v>66000</v>
      </c>
      <c r="L1768" s="2">
        <v>85000</v>
      </c>
      <c r="M1768" s="6">
        <f>Table1[[#This Row],[Total Sales]]+Table1[[#This Row],[Shipping Fee]]</f>
        <v>151000</v>
      </c>
      <c r="N1768" s="2" t="s">
        <v>35</v>
      </c>
      <c r="O1768" t="str">
        <f>VLOOKUP(Table1[[#This Row],[Order ID]],Status!A:B, 2,FALSE)</f>
        <v>Completed</v>
      </c>
      <c r="P1768" s="2" t="s">
        <v>23</v>
      </c>
      <c r="Q1768" s="2">
        <v>1</v>
      </c>
      <c r="R1768" s="2" t="s">
        <v>24</v>
      </c>
      <c r="S1768" s="11" t="str">
        <f t="shared" si="138"/>
        <v>Rendah</v>
      </c>
      <c r="T1768" s="2" t="str">
        <f t="shared" si="139"/>
        <v>Sangat Rendah</v>
      </c>
    </row>
    <row r="1769" spans="1:20" ht="15.75" customHeight="1" x14ac:dyDescent="0.3">
      <c r="A1769" s="4" t="s">
        <v>480</v>
      </c>
      <c r="B1769" s="3">
        <v>45590.888842592591</v>
      </c>
      <c r="C1769" s="2" t="s">
        <v>377</v>
      </c>
      <c r="D1769" s="2" t="s">
        <v>182</v>
      </c>
      <c r="E1769" s="2" t="s">
        <v>123</v>
      </c>
      <c r="F1769" s="2">
        <v>22000</v>
      </c>
      <c r="G1769" s="2">
        <v>5</v>
      </c>
      <c r="H1769" s="2">
        <v>10</v>
      </c>
      <c r="I1769">
        <f t="shared" si="135"/>
        <v>110000</v>
      </c>
      <c r="J1769">
        <f t="shared" si="136"/>
        <v>11000</v>
      </c>
      <c r="K1769" s="6">
        <f t="shared" si="137"/>
        <v>99000</v>
      </c>
      <c r="L1769" s="2">
        <v>48000</v>
      </c>
      <c r="M1769" s="6">
        <f>Table1[[#This Row],[Total Sales]]+Table1[[#This Row],[Shipping Fee]]</f>
        <v>147000</v>
      </c>
      <c r="N1769" s="2" t="s">
        <v>22</v>
      </c>
      <c r="O1769" t="str">
        <f>VLOOKUP(Table1[[#This Row],[Order ID]],Status!A:B, 2,FALSE)</f>
        <v>Completed</v>
      </c>
      <c r="P1769" s="2" t="s">
        <v>82</v>
      </c>
      <c r="Q1769" s="2">
        <v>3</v>
      </c>
      <c r="R1769" s="2" t="s">
        <v>24</v>
      </c>
      <c r="S1769" s="11" t="str">
        <f t="shared" si="138"/>
        <v>Standar</v>
      </c>
      <c r="T1769" s="2" t="str">
        <f t="shared" si="139"/>
        <v>Normal</v>
      </c>
    </row>
    <row r="1770" spans="1:20" ht="15.75" customHeight="1" x14ac:dyDescent="0.3">
      <c r="A1770" s="4" t="s">
        <v>478</v>
      </c>
      <c r="B1770" s="3">
        <v>45590.867025462961</v>
      </c>
      <c r="C1770" s="2" t="s">
        <v>479</v>
      </c>
      <c r="D1770" s="2" t="s">
        <v>107</v>
      </c>
      <c r="E1770" s="2" t="s">
        <v>81</v>
      </c>
      <c r="F1770" s="2">
        <v>17000</v>
      </c>
      <c r="G1770" s="2">
        <v>3</v>
      </c>
      <c r="H1770" s="2">
        <v>15</v>
      </c>
      <c r="I1770">
        <f t="shared" si="135"/>
        <v>51000</v>
      </c>
      <c r="J1770">
        <f t="shared" si="136"/>
        <v>7650</v>
      </c>
      <c r="K1770" s="6">
        <f t="shared" si="137"/>
        <v>43350</v>
      </c>
      <c r="L1770" s="2">
        <v>97000</v>
      </c>
      <c r="M1770" s="6">
        <f>Table1[[#This Row],[Total Sales]]+Table1[[#This Row],[Shipping Fee]]</f>
        <v>140350</v>
      </c>
      <c r="N1770" s="2" t="s">
        <v>63</v>
      </c>
      <c r="O1770" t="str">
        <f>VLOOKUP(Table1[[#This Row],[Order ID]],Status!A:B, 2,FALSE)</f>
        <v>Completed</v>
      </c>
      <c r="P1770" s="2" t="s">
        <v>36</v>
      </c>
      <c r="Q1770" s="2">
        <v>5</v>
      </c>
      <c r="R1770" s="2" t="s">
        <v>37</v>
      </c>
      <c r="S1770" s="11" t="str">
        <f t="shared" si="138"/>
        <v>Bagus</v>
      </c>
      <c r="T1770" s="2" t="str">
        <f t="shared" si="139"/>
        <v>Rendah</v>
      </c>
    </row>
    <row r="1771" spans="1:20" ht="15.75" customHeight="1" x14ac:dyDescent="0.3">
      <c r="A1771" s="4" t="s">
        <v>476</v>
      </c>
      <c r="B1771" s="3">
        <v>45590.768460648149</v>
      </c>
      <c r="C1771" s="2" t="s">
        <v>477</v>
      </c>
      <c r="D1771" s="2" t="s">
        <v>182</v>
      </c>
      <c r="E1771" s="2" t="s">
        <v>75</v>
      </c>
      <c r="F1771" s="2">
        <v>55000</v>
      </c>
      <c r="G1771" s="2">
        <v>5</v>
      </c>
      <c r="H1771" s="2">
        <v>5</v>
      </c>
      <c r="I1771">
        <f t="shared" si="135"/>
        <v>275000</v>
      </c>
      <c r="J1771">
        <f t="shared" si="136"/>
        <v>13750</v>
      </c>
      <c r="K1771" s="6">
        <f t="shared" si="137"/>
        <v>261250</v>
      </c>
      <c r="L1771" s="2">
        <v>48000</v>
      </c>
      <c r="M1771" s="6">
        <f>Table1[[#This Row],[Total Sales]]+Table1[[#This Row],[Shipping Fee]]</f>
        <v>309250</v>
      </c>
      <c r="N1771" s="2" t="s">
        <v>35</v>
      </c>
      <c r="O1771" t="str">
        <f>VLOOKUP(Table1[[#This Row],[Order ID]],Status!A:B, 2,FALSE)</f>
        <v>Returned</v>
      </c>
      <c r="P1771" s="2" t="s">
        <v>82</v>
      </c>
      <c r="Q1771" s="2">
        <v>1</v>
      </c>
      <c r="R1771" s="2" t="s">
        <v>24</v>
      </c>
      <c r="S1771" s="11" t="str">
        <f t="shared" si="138"/>
        <v>Rendah</v>
      </c>
      <c r="T1771" s="2" t="str">
        <f t="shared" si="139"/>
        <v>Normal</v>
      </c>
    </row>
    <row r="1772" spans="1:20" ht="15.75" customHeight="1" x14ac:dyDescent="0.3">
      <c r="A1772" s="4" t="s">
        <v>475</v>
      </c>
      <c r="B1772" s="3">
        <v>45590.681967592587</v>
      </c>
      <c r="C1772" s="2" t="s">
        <v>446</v>
      </c>
      <c r="D1772" s="2" t="s">
        <v>296</v>
      </c>
      <c r="E1772" s="2" t="s">
        <v>21</v>
      </c>
      <c r="F1772" s="2">
        <v>45000</v>
      </c>
      <c r="G1772" s="2">
        <v>2</v>
      </c>
      <c r="H1772" s="2">
        <v>0</v>
      </c>
      <c r="I1772">
        <f t="shared" si="135"/>
        <v>90000</v>
      </c>
      <c r="J1772">
        <f t="shared" si="136"/>
        <v>0</v>
      </c>
      <c r="K1772" s="6">
        <f t="shared" si="137"/>
        <v>90000</v>
      </c>
      <c r="L1772" s="2">
        <v>79000</v>
      </c>
      <c r="M1772" s="6">
        <f>Table1[[#This Row],[Total Sales]]+Table1[[#This Row],[Shipping Fee]]</f>
        <v>169000</v>
      </c>
      <c r="N1772" s="2" t="s">
        <v>29</v>
      </c>
      <c r="O1772" t="str">
        <f>VLOOKUP(Table1[[#This Row],[Order ID]],Status!A:B, 2,FALSE)</f>
        <v>Completed</v>
      </c>
      <c r="P1772" s="2" t="s">
        <v>82</v>
      </c>
      <c r="Q1772" s="2">
        <v>5</v>
      </c>
      <c r="R1772" s="2" t="s">
        <v>37</v>
      </c>
      <c r="S1772" s="11" t="str">
        <f t="shared" si="138"/>
        <v>Bagus</v>
      </c>
      <c r="T1772" s="2" t="str">
        <f t="shared" si="139"/>
        <v>Sangat Rendah</v>
      </c>
    </row>
    <row r="1773" spans="1:20" ht="15.75" customHeight="1" x14ac:dyDescent="0.3">
      <c r="A1773" s="4" t="s">
        <v>474</v>
      </c>
      <c r="B1773" s="3">
        <v>45590.454780092587</v>
      </c>
      <c r="C1773" s="2" t="s">
        <v>52</v>
      </c>
      <c r="D1773" s="2" t="s">
        <v>53</v>
      </c>
      <c r="E1773" s="2" t="s">
        <v>34</v>
      </c>
      <c r="F1773" s="2">
        <v>16000</v>
      </c>
      <c r="G1773" s="2">
        <v>4</v>
      </c>
      <c r="H1773" s="2">
        <v>0</v>
      </c>
      <c r="I1773">
        <f t="shared" si="135"/>
        <v>64000</v>
      </c>
      <c r="J1773">
        <f t="shared" si="136"/>
        <v>0</v>
      </c>
      <c r="K1773" s="6">
        <f t="shared" si="137"/>
        <v>64000</v>
      </c>
      <c r="L1773" s="2">
        <v>18000</v>
      </c>
      <c r="M1773" s="6">
        <f>Table1[[#This Row],[Total Sales]]+Table1[[#This Row],[Shipping Fee]]</f>
        <v>82000</v>
      </c>
      <c r="N1773" s="2" t="s">
        <v>22</v>
      </c>
      <c r="O1773" t="str">
        <f>VLOOKUP(Table1[[#This Row],[Order ID]],Status!A:B, 2,FALSE)</f>
        <v>Completed</v>
      </c>
      <c r="P1773" s="2" t="s">
        <v>82</v>
      </c>
      <c r="Q1773" s="2">
        <v>5</v>
      </c>
      <c r="R1773" s="2" t="s">
        <v>24</v>
      </c>
      <c r="S1773" s="11" t="str">
        <f t="shared" si="138"/>
        <v>Bagus</v>
      </c>
      <c r="T1773" s="2" t="str">
        <f t="shared" si="139"/>
        <v>Sangat Rendah</v>
      </c>
    </row>
    <row r="1774" spans="1:20" ht="15.75" customHeight="1" x14ac:dyDescent="0.3">
      <c r="A1774" s="4" t="s">
        <v>472</v>
      </c>
      <c r="B1774" s="3">
        <v>45590.156111111108</v>
      </c>
      <c r="C1774" s="2" t="s">
        <v>473</v>
      </c>
      <c r="D1774" s="2" t="s">
        <v>122</v>
      </c>
      <c r="E1774" s="2" t="s">
        <v>88</v>
      </c>
      <c r="F1774" s="2">
        <v>14000</v>
      </c>
      <c r="G1774" s="2">
        <v>4</v>
      </c>
      <c r="H1774" s="2">
        <v>5</v>
      </c>
      <c r="I1774">
        <f t="shared" si="135"/>
        <v>56000</v>
      </c>
      <c r="J1774">
        <f t="shared" si="136"/>
        <v>2800</v>
      </c>
      <c r="K1774" s="6">
        <f t="shared" si="137"/>
        <v>53200</v>
      </c>
      <c r="L1774" s="2">
        <v>78000</v>
      </c>
      <c r="M1774" s="6">
        <f>Table1[[#This Row],[Total Sales]]+Table1[[#This Row],[Shipping Fee]]</f>
        <v>131200</v>
      </c>
      <c r="N1774" s="2" t="s">
        <v>29</v>
      </c>
      <c r="O1774" t="str">
        <f>VLOOKUP(Table1[[#This Row],[Order ID]],Status!A:B, 2,FALSE)</f>
        <v>Returned</v>
      </c>
      <c r="P1774" s="2" t="s">
        <v>23</v>
      </c>
      <c r="Q1774" s="2">
        <v>1</v>
      </c>
      <c r="R1774" s="2" t="s">
        <v>24</v>
      </c>
      <c r="S1774" s="11" t="str">
        <f t="shared" si="138"/>
        <v>Rendah</v>
      </c>
      <c r="T1774" s="2" t="str">
        <f t="shared" si="139"/>
        <v>Sangat Rendah</v>
      </c>
    </row>
    <row r="1775" spans="1:20" ht="15.75" customHeight="1" x14ac:dyDescent="0.3">
      <c r="A1775" s="4" t="s">
        <v>471</v>
      </c>
      <c r="B1775" s="3">
        <v>45590.070925925917</v>
      </c>
      <c r="C1775" s="2" t="s">
        <v>379</v>
      </c>
      <c r="D1775" s="2" t="s">
        <v>27</v>
      </c>
      <c r="E1775" s="2" t="s">
        <v>136</v>
      </c>
      <c r="F1775" s="2">
        <v>12000</v>
      </c>
      <c r="G1775" s="2">
        <v>1</v>
      </c>
      <c r="H1775" s="2">
        <v>0</v>
      </c>
      <c r="I1775">
        <f t="shared" si="135"/>
        <v>12000</v>
      </c>
      <c r="J1775">
        <f t="shared" si="136"/>
        <v>0</v>
      </c>
      <c r="K1775" s="6">
        <f t="shared" si="137"/>
        <v>12000</v>
      </c>
      <c r="L1775" s="2">
        <v>17000</v>
      </c>
      <c r="M1775" s="6">
        <f>Table1[[#This Row],[Total Sales]]+Table1[[#This Row],[Shipping Fee]]</f>
        <v>29000</v>
      </c>
      <c r="N1775" s="2" t="s">
        <v>35</v>
      </c>
      <c r="O1775" t="str">
        <f>VLOOKUP(Table1[[#This Row],[Order ID]],Status!A:B, 2,FALSE)</f>
        <v>Completed</v>
      </c>
      <c r="P1775" s="2" t="s">
        <v>23</v>
      </c>
      <c r="Q1775" s="2">
        <v>4</v>
      </c>
      <c r="R1775" s="2" t="s">
        <v>24</v>
      </c>
      <c r="S1775" s="11" t="str">
        <f t="shared" si="138"/>
        <v>Bagus</v>
      </c>
      <c r="T1775" s="2" t="str">
        <f t="shared" si="139"/>
        <v>Sangat Rendah</v>
      </c>
    </row>
    <row r="1776" spans="1:20" ht="15.75" customHeight="1" x14ac:dyDescent="0.3">
      <c r="A1776" s="4" t="s">
        <v>469</v>
      </c>
      <c r="B1776" s="3">
        <v>45590.060011574067</v>
      </c>
      <c r="C1776" s="2" t="s">
        <v>470</v>
      </c>
      <c r="D1776" s="2" t="s">
        <v>116</v>
      </c>
      <c r="E1776" s="2" t="s">
        <v>110</v>
      </c>
      <c r="F1776" s="2">
        <v>6000</v>
      </c>
      <c r="G1776" s="2">
        <v>4</v>
      </c>
      <c r="H1776" s="2">
        <v>5</v>
      </c>
      <c r="I1776">
        <f t="shared" si="135"/>
        <v>24000</v>
      </c>
      <c r="J1776">
        <f t="shared" si="136"/>
        <v>1200</v>
      </c>
      <c r="K1776" s="6">
        <f t="shared" si="137"/>
        <v>22800</v>
      </c>
      <c r="L1776" s="2">
        <v>72000</v>
      </c>
      <c r="M1776" s="6">
        <f>Table1[[#This Row],[Total Sales]]+Table1[[#This Row],[Shipping Fee]]</f>
        <v>94800</v>
      </c>
      <c r="N1776" s="2" t="s">
        <v>63</v>
      </c>
      <c r="O1776" t="str">
        <f>VLOOKUP(Table1[[#This Row],[Order ID]],Status!A:B, 2,FALSE)</f>
        <v>Completed</v>
      </c>
      <c r="P1776" s="2" t="s">
        <v>46</v>
      </c>
      <c r="Q1776" s="2">
        <v>2</v>
      </c>
      <c r="R1776" s="2" t="s">
        <v>24</v>
      </c>
      <c r="S1776" s="11" t="str">
        <f t="shared" si="138"/>
        <v>Rendah</v>
      </c>
      <c r="T1776" s="2" t="str">
        <f t="shared" si="139"/>
        <v>Sangat Rendah</v>
      </c>
    </row>
    <row r="1777" spans="1:20" ht="15.75" customHeight="1" x14ac:dyDescent="0.3">
      <c r="A1777" s="4" t="s">
        <v>467</v>
      </c>
      <c r="B1777" s="3">
        <v>45590.049872685187</v>
      </c>
      <c r="C1777" s="2" t="s">
        <v>468</v>
      </c>
      <c r="D1777" s="2" t="s">
        <v>163</v>
      </c>
      <c r="E1777" s="2" t="s">
        <v>144</v>
      </c>
      <c r="F1777" s="2">
        <v>18000</v>
      </c>
      <c r="G1777" s="2">
        <v>1</v>
      </c>
      <c r="H1777" s="2">
        <v>10</v>
      </c>
      <c r="I1777">
        <f t="shared" si="135"/>
        <v>18000</v>
      </c>
      <c r="J1777">
        <f t="shared" si="136"/>
        <v>1800</v>
      </c>
      <c r="K1777" s="6">
        <f t="shared" si="137"/>
        <v>16200</v>
      </c>
      <c r="L1777" s="2">
        <v>50000</v>
      </c>
      <c r="M1777" s="6">
        <f>Table1[[#This Row],[Total Sales]]+Table1[[#This Row],[Shipping Fee]]</f>
        <v>66200</v>
      </c>
      <c r="N1777" s="2" t="s">
        <v>35</v>
      </c>
      <c r="O1777" t="str">
        <f>VLOOKUP(Table1[[#This Row],[Order ID]],Status!A:B, 2,FALSE)</f>
        <v>Completed</v>
      </c>
      <c r="P1777" s="2" t="s">
        <v>36</v>
      </c>
      <c r="Q1777" s="2">
        <v>4</v>
      </c>
      <c r="R1777" s="2" t="s">
        <v>24</v>
      </c>
      <c r="S1777" s="11" t="str">
        <f t="shared" si="138"/>
        <v>Bagus</v>
      </c>
      <c r="T1777" s="2" t="str">
        <f t="shared" si="139"/>
        <v>Sangat Rendah</v>
      </c>
    </row>
    <row r="1778" spans="1:20" ht="15.75" customHeight="1" x14ac:dyDescent="0.3">
      <c r="A1778" s="4" t="s">
        <v>465</v>
      </c>
      <c r="B1778" s="3">
        <v>45589.987604166658</v>
      </c>
      <c r="C1778" s="2" t="s">
        <v>466</v>
      </c>
      <c r="D1778" s="2" t="s">
        <v>131</v>
      </c>
      <c r="E1778" s="2" t="s">
        <v>71</v>
      </c>
      <c r="F1778" s="2">
        <v>40000</v>
      </c>
      <c r="G1778" s="2">
        <v>1</v>
      </c>
      <c r="H1778" s="2">
        <v>5</v>
      </c>
      <c r="I1778">
        <f t="shared" si="135"/>
        <v>40000</v>
      </c>
      <c r="J1778">
        <f t="shared" si="136"/>
        <v>2000</v>
      </c>
      <c r="K1778" s="6">
        <f t="shared" si="137"/>
        <v>38000</v>
      </c>
      <c r="L1778" s="2">
        <v>59000</v>
      </c>
      <c r="M1778" s="6">
        <f>Table1[[#This Row],[Total Sales]]+Table1[[#This Row],[Shipping Fee]]</f>
        <v>97000</v>
      </c>
      <c r="N1778" s="2" t="s">
        <v>22</v>
      </c>
      <c r="O1778" t="str">
        <f>VLOOKUP(Table1[[#This Row],[Order ID]],Status!A:B, 2,FALSE)</f>
        <v>Completed</v>
      </c>
      <c r="P1778" s="2" t="s">
        <v>82</v>
      </c>
      <c r="Q1778" s="2">
        <v>5</v>
      </c>
      <c r="R1778" s="2" t="s">
        <v>24</v>
      </c>
      <c r="S1778" s="11" t="str">
        <f t="shared" si="138"/>
        <v>Bagus</v>
      </c>
      <c r="T1778" s="2" t="str">
        <f t="shared" si="139"/>
        <v>Sangat Rendah</v>
      </c>
    </row>
    <row r="1779" spans="1:20" ht="15.75" customHeight="1" x14ac:dyDescent="0.3">
      <c r="A1779" s="4" t="s">
        <v>463</v>
      </c>
      <c r="B1779" s="3">
        <v>45589.90861111111</v>
      </c>
      <c r="C1779" s="2" t="s">
        <v>464</v>
      </c>
      <c r="D1779" s="2" t="s">
        <v>296</v>
      </c>
      <c r="E1779" s="2" t="s">
        <v>190</v>
      </c>
      <c r="F1779" s="2">
        <v>35000</v>
      </c>
      <c r="G1779" s="2">
        <v>4</v>
      </c>
      <c r="H1779" s="2">
        <v>20</v>
      </c>
      <c r="I1779">
        <f t="shared" si="135"/>
        <v>140000</v>
      </c>
      <c r="J1779">
        <f t="shared" si="136"/>
        <v>28000</v>
      </c>
      <c r="K1779" s="6">
        <f t="shared" si="137"/>
        <v>112000</v>
      </c>
      <c r="L1779" s="2">
        <v>79000</v>
      </c>
      <c r="M1779" s="6">
        <f>Table1[[#This Row],[Total Sales]]+Table1[[#This Row],[Shipping Fee]]</f>
        <v>191000</v>
      </c>
      <c r="N1779" s="2" t="s">
        <v>29</v>
      </c>
      <c r="O1779" t="str">
        <f>VLOOKUP(Table1[[#This Row],[Order ID]],Status!A:B, 2,FALSE)</f>
        <v>Completed</v>
      </c>
      <c r="P1779" s="2" t="s">
        <v>46</v>
      </c>
      <c r="Q1779" s="2">
        <v>4</v>
      </c>
      <c r="R1779" s="2" t="s">
        <v>37</v>
      </c>
      <c r="S1779" s="11" t="str">
        <f t="shared" si="138"/>
        <v>Bagus</v>
      </c>
      <c r="T1779" s="2" t="str">
        <f t="shared" si="139"/>
        <v>Tinggi</v>
      </c>
    </row>
    <row r="1780" spans="1:20" ht="15.75" customHeight="1" x14ac:dyDescent="0.3">
      <c r="A1780" s="4" t="s">
        <v>462</v>
      </c>
      <c r="B1780" s="3">
        <v>45589.828738425917</v>
      </c>
      <c r="C1780" s="2" t="s">
        <v>118</v>
      </c>
      <c r="D1780" s="2" t="s">
        <v>119</v>
      </c>
      <c r="E1780" s="2" t="s">
        <v>110</v>
      </c>
      <c r="F1780" s="2">
        <v>6000</v>
      </c>
      <c r="G1780" s="2">
        <v>5</v>
      </c>
      <c r="H1780" s="2">
        <v>15</v>
      </c>
      <c r="I1780">
        <f t="shared" si="135"/>
        <v>30000</v>
      </c>
      <c r="J1780">
        <f t="shared" si="136"/>
        <v>4500</v>
      </c>
      <c r="K1780" s="6">
        <f t="shared" si="137"/>
        <v>25500</v>
      </c>
      <c r="L1780" s="2">
        <v>0</v>
      </c>
      <c r="M1780" s="6">
        <f>Table1[[#This Row],[Total Sales]]+Table1[[#This Row],[Shipping Fee]]</f>
        <v>25500</v>
      </c>
      <c r="N1780" s="2" t="s">
        <v>35</v>
      </c>
      <c r="O1780" t="str">
        <f>VLOOKUP(Table1[[#This Row],[Order ID]],Status!A:B, 2,FALSE)</f>
        <v>Completed</v>
      </c>
      <c r="P1780" s="2" t="s">
        <v>36</v>
      </c>
      <c r="Q1780" s="2">
        <v>3</v>
      </c>
      <c r="R1780" s="2" t="s">
        <v>24</v>
      </c>
      <c r="S1780" s="11" t="str">
        <f t="shared" si="138"/>
        <v>Standar</v>
      </c>
      <c r="T1780" s="2" t="str">
        <f t="shared" si="139"/>
        <v>Sangat Rendah</v>
      </c>
    </row>
    <row r="1781" spans="1:20" ht="15.75" customHeight="1" x14ac:dyDescent="0.3">
      <c r="A1781" s="4" t="s">
        <v>460</v>
      </c>
      <c r="B1781" s="3">
        <v>45589.551249999997</v>
      </c>
      <c r="C1781" s="2" t="s">
        <v>461</v>
      </c>
      <c r="D1781" s="2" t="s">
        <v>92</v>
      </c>
      <c r="E1781" s="2" t="s">
        <v>85</v>
      </c>
      <c r="F1781" s="2">
        <v>35000</v>
      </c>
      <c r="G1781" s="2">
        <v>3</v>
      </c>
      <c r="H1781" s="2">
        <v>0</v>
      </c>
      <c r="I1781">
        <f t="shared" si="135"/>
        <v>105000</v>
      </c>
      <c r="J1781">
        <f t="shared" si="136"/>
        <v>0</v>
      </c>
      <c r="K1781" s="6">
        <f t="shared" si="137"/>
        <v>105000</v>
      </c>
      <c r="L1781" s="2">
        <v>30000</v>
      </c>
      <c r="M1781" s="6">
        <f>Table1[[#This Row],[Total Sales]]+Table1[[#This Row],[Shipping Fee]]</f>
        <v>135000</v>
      </c>
      <c r="N1781" s="2" t="s">
        <v>35</v>
      </c>
      <c r="O1781" t="str">
        <f>VLOOKUP(Table1[[#This Row],[Order ID]],Status!A:B, 2,FALSE)</f>
        <v>Completed</v>
      </c>
      <c r="P1781" s="2" t="s">
        <v>36</v>
      </c>
      <c r="Q1781" s="2">
        <v>1</v>
      </c>
      <c r="R1781" s="2" t="s">
        <v>37</v>
      </c>
      <c r="S1781" s="11" t="str">
        <f t="shared" si="138"/>
        <v>Rendah</v>
      </c>
      <c r="T1781" s="2" t="str">
        <f t="shared" si="139"/>
        <v>Sangat Rendah</v>
      </c>
    </row>
    <row r="1782" spans="1:20" ht="15.75" customHeight="1" x14ac:dyDescent="0.3">
      <c r="A1782" s="4" t="s">
        <v>458</v>
      </c>
      <c r="B1782" s="3">
        <v>45589.502523148149</v>
      </c>
      <c r="C1782" s="2" t="s">
        <v>459</v>
      </c>
      <c r="D1782" s="2" t="s">
        <v>61</v>
      </c>
      <c r="E1782" s="2" t="s">
        <v>93</v>
      </c>
      <c r="F1782" s="2">
        <v>25000</v>
      </c>
      <c r="G1782" s="2">
        <v>3</v>
      </c>
      <c r="H1782" s="2">
        <v>10</v>
      </c>
      <c r="I1782">
        <f t="shared" si="135"/>
        <v>75000</v>
      </c>
      <c r="J1782">
        <f t="shared" si="136"/>
        <v>7500</v>
      </c>
      <c r="K1782" s="6">
        <f t="shared" si="137"/>
        <v>67500</v>
      </c>
      <c r="L1782" s="2">
        <v>26000</v>
      </c>
      <c r="M1782" s="6">
        <f>Table1[[#This Row],[Total Sales]]+Table1[[#This Row],[Shipping Fee]]</f>
        <v>93500</v>
      </c>
      <c r="N1782" s="2" t="s">
        <v>29</v>
      </c>
      <c r="O1782" t="str">
        <f>VLOOKUP(Table1[[#This Row],[Order ID]],Status!A:B, 2,FALSE)</f>
        <v>Completed</v>
      </c>
      <c r="P1782" s="2" t="s">
        <v>46</v>
      </c>
      <c r="Q1782" s="2">
        <v>5</v>
      </c>
      <c r="R1782" s="2" t="s">
        <v>24</v>
      </c>
      <c r="S1782" s="11" t="str">
        <f t="shared" si="138"/>
        <v>Bagus</v>
      </c>
      <c r="T1782" s="2" t="str">
        <f t="shared" si="139"/>
        <v>Rendah</v>
      </c>
    </row>
    <row r="1783" spans="1:20" ht="15.75" customHeight="1" x14ac:dyDescent="0.3">
      <c r="A1783" s="4" t="s">
        <v>456</v>
      </c>
      <c r="B1783" s="3">
        <v>45589.446782407409</v>
      </c>
      <c r="C1783" s="2" t="s">
        <v>457</v>
      </c>
      <c r="D1783" s="2" t="s">
        <v>80</v>
      </c>
      <c r="E1783" s="2" t="s">
        <v>123</v>
      </c>
      <c r="F1783" s="2">
        <v>22000</v>
      </c>
      <c r="G1783" s="2">
        <v>3</v>
      </c>
      <c r="H1783" s="2">
        <v>10</v>
      </c>
      <c r="I1783">
        <f t="shared" si="135"/>
        <v>66000</v>
      </c>
      <c r="J1783">
        <f t="shared" si="136"/>
        <v>6600</v>
      </c>
      <c r="K1783" s="6">
        <f t="shared" si="137"/>
        <v>59400</v>
      </c>
      <c r="L1783" s="2">
        <v>74000</v>
      </c>
      <c r="M1783" s="6">
        <f>Table1[[#This Row],[Total Sales]]+Table1[[#This Row],[Shipping Fee]]</f>
        <v>133400</v>
      </c>
      <c r="N1783" s="2" t="s">
        <v>22</v>
      </c>
      <c r="O1783" t="str">
        <f>VLOOKUP(Table1[[#This Row],[Order ID]],Status!A:B, 2,FALSE)</f>
        <v>Completed</v>
      </c>
      <c r="P1783" s="2" t="s">
        <v>23</v>
      </c>
      <c r="Q1783" s="2">
        <v>3</v>
      </c>
      <c r="R1783" s="2" t="s">
        <v>24</v>
      </c>
      <c r="S1783" s="11" t="str">
        <f t="shared" si="138"/>
        <v>Standar</v>
      </c>
      <c r="T1783" s="2" t="str">
        <f t="shared" si="139"/>
        <v>Rendah</v>
      </c>
    </row>
    <row r="1784" spans="1:20" ht="15.75" customHeight="1" x14ac:dyDescent="0.3">
      <c r="A1784" s="4" t="s">
        <v>454</v>
      </c>
      <c r="B1784" s="3">
        <v>45588.748912037037</v>
      </c>
      <c r="C1784" s="2" t="s">
        <v>455</v>
      </c>
      <c r="D1784" s="2" t="s">
        <v>33</v>
      </c>
      <c r="E1784" s="2" t="s">
        <v>186</v>
      </c>
      <c r="F1784" s="2">
        <v>45000</v>
      </c>
      <c r="G1784" s="2">
        <v>3</v>
      </c>
      <c r="H1784" s="2">
        <v>15</v>
      </c>
      <c r="I1784">
        <f t="shared" si="135"/>
        <v>135000</v>
      </c>
      <c r="J1784">
        <f t="shared" si="136"/>
        <v>20250</v>
      </c>
      <c r="K1784" s="6">
        <f t="shared" si="137"/>
        <v>114750</v>
      </c>
      <c r="L1784" s="2">
        <v>76000</v>
      </c>
      <c r="M1784" s="6">
        <f>Table1[[#This Row],[Total Sales]]+Table1[[#This Row],[Shipping Fee]]</f>
        <v>190750</v>
      </c>
      <c r="N1784" s="2" t="s">
        <v>29</v>
      </c>
      <c r="O1784" t="str">
        <f>VLOOKUP(Table1[[#This Row],[Order ID]],Status!A:B, 2,FALSE)</f>
        <v>Completed</v>
      </c>
      <c r="P1784" s="2" t="s">
        <v>36</v>
      </c>
      <c r="Q1784" s="2">
        <v>1</v>
      </c>
      <c r="R1784" s="2" t="s">
        <v>24</v>
      </c>
      <c r="S1784" s="11" t="str">
        <f t="shared" si="138"/>
        <v>Rendah</v>
      </c>
      <c r="T1784" s="2" t="str">
        <f t="shared" si="139"/>
        <v>Tinggi</v>
      </c>
    </row>
    <row r="1785" spans="1:20" ht="15.75" customHeight="1" x14ac:dyDescent="0.3">
      <c r="A1785" s="4" t="s">
        <v>454</v>
      </c>
      <c r="B1785" s="3">
        <v>45588.748912037037</v>
      </c>
      <c r="C1785" s="2" t="s">
        <v>455</v>
      </c>
      <c r="D1785" s="2" t="s">
        <v>33</v>
      </c>
      <c r="E1785" s="2" t="s">
        <v>81</v>
      </c>
      <c r="F1785" s="2">
        <v>17000</v>
      </c>
      <c r="G1785" s="2">
        <v>4</v>
      </c>
      <c r="H1785" s="2">
        <v>20</v>
      </c>
      <c r="I1785">
        <f t="shared" si="135"/>
        <v>68000</v>
      </c>
      <c r="J1785">
        <f t="shared" si="136"/>
        <v>13600</v>
      </c>
      <c r="K1785" s="6">
        <f t="shared" si="137"/>
        <v>54400</v>
      </c>
      <c r="L1785" s="2">
        <v>0</v>
      </c>
      <c r="M1785" s="6">
        <f>Table1[[#This Row],[Total Sales]]+Table1[[#This Row],[Shipping Fee]]</f>
        <v>54400</v>
      </c>
      <c r="N1785" s="2" t="s">
        <v>29</v>
      </c>
      <c r="O1785" t="str">
        <f>VLOOKUP(Table1[[#This Row],[Order ID]],Status!A:B, 2,FALSE)</f>
        <v>Completed</v>
      </c>
      <c r="P1785" s="2" t="s">
        <v>36</v>
      </c>
      <c r="Q1785" s="2">
        <v>1</v>
      </c>
      <c r="R1785" s="2" t="s">
        <v>24</v>
      </c>
      <c r="S1785" s="11" t="str">
        <f t="shared" si="138"/>
        <v>Rendah</v>
      </c>
      <c r="T1785" s="2" t="str">
        <f t="shared" si="139"/>
        <v>Normal</v>
      </c>
    </row>
    <row r="1786" spans="1:20" ht="15.75" customHeight="1" x14ac:dyDescent="0.3">
      <c r="A1786" s="4" t="s">
        <v>452</v>
      </c>
      <c r="B1786" s="3">
        <v>45588.701851851853</v>
      </c>
      <c r="C1786" s="2" t="s">
        <v>453</v>
      </c>
      <c r="D1786" s="2" t="s">
        <v>27</v>
      </c>
      <c r="E1786" s="2" t="s">
        <v>110</v>
      </c>
      <c r="F1786" s="2">
        <v>6000</v>
      </c>
      <c r="G1786" s="2">
        <v>4</v>
      </c>
      <c r="H1786" s="2">
        <v>10</v>
      </c>
      <c r="I1786">
        <f t="shared" si="135"/>
        <v>24000</v>
      </c>
      <c r="J1786">
        <f t="shared" si="136"/>
        <v>2400</v>
      </c>
      <c r="K1786" s="6">
        <f t="shared" si="137"/>
        <v>21600</v>
      </c>
      <c r="L1786" s="2">
        <v>17000</v>
      </c>
      <c r="M1786" s="6">
        <f>Table1[[#This Row],[Total Sales]]+Table1[[#This Row],[Shipping Fee]]</f>
        <v>38600</v>
      </c>
      <c r="N1786" s="2" t="s">
        <v>29</v>
      </c>
      <c r="O1786" t="str">
        <f>VLOOKUP(Table1[[#This Row],[Order ID]],Status!A:B, 2,FALSE)</f>
        <v>Completed</v>
      </c>
      <c r="P1786" s="2" t="s">
        <v>23</v>
      </c>
      <c r="Q1786" s="2">
        <v>4</v>
      </c>
      <c r="R1786" s="2" t="s">
        <v>37</v>
      </c>
      <c r="S1786" s="11" t="str">
        <f t="shared" si="138"/>
        <v>Bagus</v>
      </c>
      <c r="T1786" s="2" t="str">
        <f t="shared" si="139"/>
        <v>Sangat Rendah</v>
      </c>
    </row>
    <row r="1787" spans="1:20" ht="15.75" customHeight="1" x14ac:dyDescent="0.3">
      <c r="A1787" s="4" t="s">
        <v>450</v>
      </c>
      <c r="B1787" s="3">
        <v>45588.701157407413</v>
      </c>
      <c r="C1787" s="2" t="s">
        <v>451</v>
      </c>
      <c r="D1787" s="2" t="s">
        <v>116</v>
      </c>
      <c r="E1787" s="2" t="s">
        <v>136</v>
      </c>
      <c r="F1787" s="2">
        <v>12000</v>
      </c>
      <c r="G1787" s="2">
        <v>4</v>
      </c>
      <c r="H1787" s="2">
        <v>5</v>
      </c>
      <c r="I1787">
        <f t="shared" si="135"/>
        <v>48000</v>
      </c>
      <c r="J1787">
        <f t="shared" si="136"/>
        <v>2400</v>
      </c>
      <c r="K1787" s="6">
        <f t="shared" si="137"/>
        <v>45600</v>
      </c>
      <c r="L1787" s="2">
        <v>72000</v>
      </c>
      <c r="M1787" s="6">
        <f>Table1[[#This Row],[Total Sales]]+Table1[[#This Row],[Shipping Fee]]</f>
        <v>117600</v>
      </c>
      <c r="N1787" s="2" t="s">
        <v>29</v>
      </c>
      <c r="O1787" t="str">
        <f>VLOOKUP(Table1[[#This Row],[Order ID]],Status!A:B, 2,FALSE)</f>
        <v>Completed</v>
      </c>
      <c r="P1787" s="2" t="s">
        <v>36</v>
      </c>
      <c r="Q1787" s="2">
        <v>4</v>
      </c>
      <c r="R1787" s="2" t="s">
        <v>24</v>
      </c>
      <c r="S1787" s="11" t="str">
        <f t="shared" si="138"/>
        <v>Bagus</v>
      </c>
      <c r="T1787" s="2" t="str">
        <f t="shared" si="139"/>
        <v>Sangat Rendah</v>
      </c>
    </row>
    <row r="1788" spans="1:20" ht="15.75" customHeight="1" x14ac:dyDescent="0.3">
      <c r="A1788" s="4" t="s">
        <v>448</v>
      </c>
      <c r="B1788" s="3">
        <v>45588.265324074076</v>
      </c>
      <c r="C1788" s="2" t="s">
        <v>449</v>
      </c>
      <c r="D1788" s="2" t="s">
        <v>151</v>
      </c>
      <c r="E1788" s="2" t="s">
        <v>34</v>
      </c>
      <c r="F1788" s="2">
        <v>16000</v>
      </c>
      <c r="G1788" s="2">
        <v>4</v>
      </c>
      <c r="H1788" s="2">
        <v>15</v>
      </c>
      <c r="I1788">
        <f t="shared" si="135"/>
        <v>64000</v>
      </c>
      <c r="J1788">
        <f t="shared" si="136"/>
        <v>9600</v>
      </c>
      <c r="K1788" s="6">
        <f t="shared" si="137"/>
        <v>54400</v>
      </c>
      <c r="L1788" s="2">
        <v>55000</v>
      </c>
      <c r="M1788" s="6">
        <f>Table1[[#This Row],[Total Sales]]+Table1[[#This Row],[Shipping Fee]]</f>
        <v>109400</v>
      </c>
      <c r="N1788" s="2" t="s">
        <v>35</v>
      </c>
      <c r="O1788" t="str">
        <f>VLOOKUP(Table1[[#This Row],[Order ID]],Status!A:B, 2,FALSE)</f>
        <v>Completed</v>
      </c>
      <c r="P1788" s="2" t="s">
        <v>36</v>
      </c>
      <c r="Q1788" s="2">
        <v>1</v>
      </c>
      <c r="R1788" s="2" t="s">
        <v>24</v>
      </c>
      <c r="S1788" s="11" t="str">
        <f t="shared" si="138"/>
        <v>Rendah</v>
      </c>
      <c r="T1788" s="2" t="str">
        <f t="shared" si="139"/>
        <v>Rendah</v>
      </c>
    </row>
    <row r="1789" spans="1:20" ht="15.75" customHeight="1" x14ac:dyDescent="0.3">
      <c r="A1789" s="4" t="s">
        <v>447</v>
      </c>
      <c r="B1789" s="3">
        <v>45588.201261574082</v>
      </c>
      <c r="C1789" s="2" t="s">
        <v>249</v>
      </c>
      <c r="D1789" s="2" t="s">
        <v>49</v>
      </c>
      <c r="E1789" s="2" t="s">
        <v>250</v>
      </c>
      <c r="F1789" s="2">
        <v>18000</v>
      </c>
      <c r="G1789" s="2">
        <v>5</v>
      </c>
      <c r="H1789" s="2">
        <v>5</v>
      </c>
      <c r="I1789">
        <f t="shared" si="135"/>
        <v>90000</v>
      </c>
      <c r="J1789">
        <f t="shared" si="136"/>
        <v>4500</v>
      </c>
      <c r="K1789" s="6">
        <f t="shared" si="137"/>
        <v>85500</v>
      </c>
      <c r="L1789" s="2">
        <v>43000</v>
      </c>
      <c r="M1789" s="6">
        <f>Table1[[#This Row],[Total Sales]]+Table1[[#This Row],[Shipping Fee]]</f>
        <v>128500</v>
      </c>
      <c r="N1789" s="2" t="s">
        <v>29</v>
      </c>
      <c r="O1789" t="str">
        <f>VLOOKUP(Table1[[#This Row],[Order ID]],Status!A:B, 2,FALSE)</f>
        <v>Completed</v>
      </c>
      <c r="P1789" s="2" t="s">
        <v>82</v>
      </c>
      <c r="Q1789" s="2">
        <v>2</v>
      </c>
      <c r="R1789" s="2" t="s">
        <v>24</v>
      </c>
      <c r="S1789" s="11" t="str">
        <f t="shared" si="138"/>
        <v>Rendah</v>
      </c>
      <c r="T1789" s="2" t="str">
        <f t="shared" si="139"/>
        <v>Sangat Rendah</v>
      </c>
    </row>
    <row r="1790" spans="1:20" ht="15.75" customHeight="1" x14ac:dyDescent="0.3">
      <c r="A1790" s="4" t="s">
        <v>447</v>
      </c>
      <c r="B1790" s="3">
        <v>45588.201261574082</v>
      </c>
      <c r="C1790" s="2" t="s">
        <v>249</v>
      </c>
      <c r="D1790" s="2" t="s">
        <v>49</v>
      </c>
      <c r="E1790" s="2" t="s">
        <v>186</v>
      </c>
      <c r="F1790" s="2">
        <v>45000</v>
      </c>
      <c r="G1790" s="2">
        <v>5</v>
      </c>
      <c r="H1790" s="2">
        <v>20</v>
      </c>
      <c r="I1790">
        <f t="shared" si="135"/>
        <v>225000</v>
      </c>
      <c r="J1790">
        <f t="shared" si="136"/>
        <v>45000</v>
      </c>
      <c r="K1790" s="6">
        <f t="shared" si="137"/>
        <v>180000</v>
      </c>
      <c r="L1790" s="2">
        <v>0</v>
      </c>
      <c r="M1790" s="6">
        <f>Table1[[#This Row],[Total Sales]]+Table1[[#This Row],[Shipping Fee]]</f>
        <v>180000</v>
      </c>
      <c r="N1790" s="2" t="s">
        <v>29</v>
      </c>
      <c r="O1790" t="str">
        <f>VLOOKUP(Table1[[#This Row],[Order ID]],Status!A:B, 2,FALSE)</f>
        <v>Completed</v>
      </c>
      <c r="P1790" s="2" t="s">
        <v>82</v>
      </c>
      <c r="Q1790" s="2">
        <v>2</v>
      </c>
      <c r="R1790" s="2" t="s">
        <v>24</v>
      </c>
      <c r="S1790" s="11" t="str">
        <f t="shared" si="138"/>
        <v>Rendah</v>
      </c>
      <c r="T1790" s="2" t="str">
        <f t="shared" si="139"/>
        <v>Sangat Tinggi</v>
      </c>
    </row>
    <row r="1791" spans="1:20" ht="15.75" customHeight="1" x14ac:dyDescent="0.3">
      <c r="A1791" s="4" t="s">
        <v>445</v>
      </c>
      <c r="B1791" s="3">
        <v>45588.139120370368</v>
      </c>
      <c r="C1791" s="2" t="s">
        <v>446</v>
      </c>
      <c r="D1791" s="2" t="s">
        <v>296</v>
      </c>
      <c r="E1791" s="2" t="s">
        <v>81</v>
      </c>
      <c r="F1791" s="2">
        <v>17000</v>
      </c>
      <c r="G1791" s="2">
        <v>2</v>
      </c>
      <c r="H1791" s="2">
        <v>15</v>
      </c>
      <c r="I1791">
        <f t="shared" si="135"/>
        <v>34000</v>
      </c>
      <c r="J1791">
        <f t="shared" si="136"/>
        <v>5100</v>
      </c>
      <c r="K1791" s="6">
        <f t="shared" si="137"/>
        <v>28900</v>
      </c>
      <c r="L1791" s="2">
        <v>79000</v>
      </c>
      <c r="M1791" s="6">
        <f>Table1[[#This Row],[Total Sales]]+Table1[[#This Row],[Shipping Fee]]</f>
        <v>107900</v>
      </c>
      <c r="N1791" s="2" t="s">
        <v>35</v>
      </c>
      <c r="O1791" t="str">
        <f>VLOOKUP(Table1[[#This Row],[Order ID]],Status!A:B, 2,FALSE)</f>
        <v>Returned</v>
      </c>
      <c r="P1791" s="2" t="s">
        <v>30</v>
      </c>
      <c r="Q1791" s="2">
        <v>5</v>
      </c>
      <c r="R1791" s="2" t="s">
        <v>37</v>
      </c>
      <c r="S1791" s="11" t="str">
        <f t="shared" si="138"/>
        <v>Bagus</v>
      </c>
      <c r="T1791" s="2" t="str">
        <f t="shared" si="139"/>
        <v>Rendah</v>
      </c>
    </row>
    <row r="1792" spans="1:20" ht="15.75" customHeight="1" x14ac:dyDescent="0.3">
      <c r="A1792" s="4" t="s">
        <v>444</v>
      </c>
      <c r="B1792" s="3">
        <v>45587.500289351847</v>
      </c>
      <c r="C1792" s="2" t="s">
        <v>84</v>
      </c>
      <c r="D1792" s="2" t="s">
        <v>57</v>
      </c>
      <c r="E1792" s="2" t="s">
        <v>104</v>
      </c>
      <c r="F1792" s="2">
        <v>30000</v>
      </c>
      <c r="G1792" s="2">
        <v>1</v>
      </c>
      <c r="H1792" s="2">
        <v>20</v>
      </c>
      <c r="I1792">
        <f t="shared" si="135"/>
        <v>30000</v>
      </c>
      <c r="J1792">
        <f t="shared" si="136"/>
        <v>6000</v>
      </c>
      <c r="K1792" s="6">
        <f t="shared" si="137"/>
        <v>24000</v>
      </c>
      <c r="L1792" s="2">
        <v>80000</v>
      </c>
      <c r="M1792" s="6">
        <f>Table1[[#This Row],[Total Sales]]+Table1[[#This Row],[Shipping Fee]]</f>
        <v>104000</v>
      </c>
      <c r="N1792" s="2" t="s">
        <v>63</v>
      </c>
      <c r="O1792" t="str">
        <f>VLOOKUP(Table1[[#This Row],[Order ID]],Status!A:B, 2,FALSE)</f>
        <v>Completed</v>
      </c>
      <c r="P1792" s="2" t="s">
        <v>23</v>
      </c>
      <c r="Q1792" s="2">
        <v>3</v>
      </c>
      <c r="R1792" s="2" t="s">
        <v>37</v>
      </c>
      <c r="S1792" s="11" t="str">
        <f t="shared" si="138"/>
        <v>Standar</v>
      </c>
      <c r="T1792" s="2" t="str">
        <f t="shared" si="139"/>
        <v>Rendah</v>
      </c>
    </row>
    <row r="1793" spans="1:20" ht="15.75" customHeight="1" x14ac:dyDescent="0.3">
      <c r="A1793" s="4" t="s">
        <v>442</v>
      </c>
      <c r="B1793" s="3">
        <v>45587.469409722216</v>
      </c>
      <c r="C1793" s="2" t="s">
        <v>443</v>
      </c>
      <c r="D1793" s="2" t="s">
        <v>53</v>
      </c>
      <c r="E1793" s="2" t="s">
        <v>186</v>
      </c>
      <c r="F1793" s="2">
        <v>45000</v>
      </c>
      <c r="G1793" s="2">
        <v>4</v>
      </c>
      <c r="H1793" s="2">
        <v>15</v>
      </c>
      <c r="I1793">
        <f t="shared" si="135"/>
        <v>180000</v>
      </c>
      <c r="J1793">
        <f t="shared" si="136"/>
        <v>27000</v>
      </c>
      <c r="K1793" s="6">
        <f t="shared" si="137"/>
        <v>153000</v>
      </c>
      <c r="L1793" s="2">
        <v>18000</v>
      </c>
      <c r="M1793" s="6">
        <f>Table1[[#This Row],[Total Sales]]+Table1[[#This Row],[Shipping Fee]]</f>
        <v>171000</v>
      </c>
      <c r="N1793" s="2" t="s">
        <v>29</v>
      </c>
      <c r="O1793" t="str">
        <f>VLOOKUP(Table1[[#This Row],[Order ID]],Status!A:B, 2,FALSE)</f>
        <v>Completed</v>
      </c>
      <c r="P1793" s="2" t="s">
        <v>36</v>
      </c>
      <c r="Q1793" s="2">
        <v>1</v>
      </c>
      <c r="R1793" s="2" t="s">
        <v>24</v>
      </c>
      <c r="S1793" s="11" t="str">
        <f t="shared" si="138"/>
        <v>Rendah</v>
      </c>
      <c r="T1793" s="2" t="str">
        <f t="shared" si="139"/>
        <v>Tinggi</v>
      </c>
    </row>
    <row r="1794" spans="1:20" ht="15.75" customHeight="1" x14ac:dyDescent="0.3">
      <c r="A1794" s="4" t="s">
        <v>440</v>
      </c>
      <c r="B1794" s="3">
        <v>45587.341643518521</v>
      </c>
      <c r="C1794" s="2" t="s">
        <v>441</v>
      </c>
      <c r="D1794" s="2" t="s">
        <v>116</v>
      </c>
      <c r="E1794" s="2" t="s">
        <v>58</v>
      </c>
      <c r="F1794" s="2">
        <v>16000</v>
      </c>
      <c r="G1794" s="2">
        <v>2</v>
      </c>
      <c r="H1794" s="2">
        <v>0</v>
      </c>
      <c r="I1794">
        <f t="shared" ref="I1794:I1857" si="140">F1794*G1794</f>
        <v>32000</v>
      </c>
      <c r="J1794">
        <f t="shared" ref="J1794:J1857" si="141">I1794*H1794/100</f>
        <v>0</v>
      </c>
      <c r="K1794" s="6">
        <f t="shared" ref="K1794:K1857" si="142">I1794-J1794</f>
        <v>32000</v>
      </c>
      <c r="L1794" s="2">
        <v>72000</v>
      </c>
      <c r="M1794" s="6">
        <f>Table1[[#This Row],[Total Sales]]+Table1[[#This Row],[Shipping Fee]]</f>
        <v>104000</v>
      </c>
      <c r="N1794" s="2" t="s">
        <v>63</v>
      </c>
      <c r="O1794" t="str">
        <f>VLOOKUP(Table1[[#This Row],[Order ID]],Status!A:B, 2,FALSE)</f>
        <v>Completed</v>
      </c>
      <c r="P1794" s="2" t="s">
        <v>46</v>
      </c>
      <c r="Q1794" s="2">
        <v>1</v>
      </c>
      <c r="R1794" s="2" t="s">
        <v>37</v>
      </c>
      <c r="S1794" s="11" t="str">
        <f t="shared" ref="S1794:S1857" si="143">_xlfn.IFS(Q1794&gt;3,"Bagus",Q1794=3,"Standar",Q1794&lt;3,"Rendah")</f>
        <v>Rendah</v>
      </c>
      <c r="T1794" s="2" t="str">
        <f t="shared" ref="T1794:T1857" si="144">_xlfn.IFS(J1794&lt;=5000,"Sangat Rendah", J1794&lt;=10000,"Rendah", J1794&lt;=20000, "Normal", J1794&lt;=35000, "Tinggi", J1794&lt;= 50000, "Sangat Tinggi", J1794&gt;50000, "Clearance")</f>
        <v>Sangat Rendah</v>
      </c>
    </row>
    <row r="1795" spans="1:20" ht="15.75" customHeight="1" x14ac:dyDescent="0.3">
      <c r="A1795" s="4" t="s">
        <v>438</v>
      </c>
      <c r="B1795" s="3">
        <v>45587.162407407413</v>
      </c>
      <c r="C1795" s="2" t="s">
        <v>439</v>
      </c>
      <c r="D1795" s="2" t="s">
        <v>119</v>
      </c>
      <c r="E1795" s="2" t="s">
        <v>93</v>
      </c>
      <c r="F1795" s="2">
        <v>25000</v>
      </c>
      <c r="G1795" s="2">
        <v>1</v>
      </c>
      <c r="H1795" s="2">
        <v>0</v>
      </c>
      <c r="I1795">
        <f t="shared" si="140"/>
        <v>25000</v>
      </c>
      <c r="J1795">
        <f t="shared" si="141"/>
        <v>0</v>
      </c>
      <c r="K1795" s="6">
        <f t="shared" si="142"/>
        <v>25000</v>
      </c>
      <c r="L1795" s="2">
        <v>0</v>
      </c>
      <c r="M1795" s="6">
        <f>Table1[[#This Row],[Total Sales]]+Table1[[#This Row],[Shipping Fee]]</f>
        <v>25000</v>
      </c>
      <c r="N1795" s="2" t="s">
        <v>35</v>
      </c>
      <c r="O1795" t="str">
        <f>VLOOKUP(Table1[[#This Row],[Order ID]],Status!A:B, 2,FALSE)</f>
        <v>Completed</v>
      </c>
      <c r="P1795" s="2" t="s">
        <v>23</v>
      </c>
      <c r="Q1795" s="2">
        <v>1</v>
      </c>
      <c r="R1795" s="2" t="s">
        <v>37</v>
      </c>
      <c r="S1795" s="11" t="str">
        <f t="shared" si="143"/>
        <v>Rendah</v>
      </c>
      <c r="T1795" s="2" t="str">
        <f t="shared" si="144"/>
        <v>Sangat Rendah</v>
      </c>
    </row>
    <row r="1796" spans="1:20" ht="15.75" customHeight="1" x14ac:dyDescent="0.3">
      <c r="A1796" s="4" t="s">
        <v>436</v>
      </c>
      <c r="B1796" s="3">
        <v>45586.38616898148</v>
      </c>
      <c r="C1796" s="2" t="s">
        <v>437</v>
      </c>
      <c r="D1796" s="2" t="s">
        <v>375</v>
      </c>
      <c r="E1796" s="2" t="s">
        <v>45</v>
      </c>
      <c r="F1796" s="2">
        <v>40000</v>
      </c>
      <c r="G1796" s="2">
        <v>3</v>
      </c>
      <c r="H1796" s="2">
        <v>5</v>
      </c>
      <c r="I1796">
        <f t="shared" si="140"/>
        <v>120000</v>
      </c>
      <c r="J1796">
        <f t="shared" si="141"/>
        <v>6000</v>
      </c>
      <c r="K1796" s="6">
        <f t="shared" si="142"/>
        <v>114000</v>
      </c>
      <c r="L1796" s="2">
        <v>21000</v>
      </c>
      <c r="M1796" s="6">
        <f>Table1[[#This Row],[Total Sales]]+Table1[[#This Row],[Shipping Fee]]</f>
        <v>135000</v>
      </c>
      <c r="N1796" s="2" t="s">
        <v>63</v>
      </c>
      <c r="O1796" t="str">
        <f>VLOOKUP(Table1[[#This Row],[Order ID]],Status!A:B, 2,FALSE)</f>
        <v>Completed</v>
      </c>
      <c r="P1796" s="2" t="s">
        <v>23</v>
      </c>
      <c r="Q1796" s="2">
        <v>3</v>
      </c>
      <c r="R1796" s="2" t="s">
        <v>24</v>
      </c>
      <c r="S1796" s="11" t="str">
        <f t="shared" si="143"/>
        <v>Standar</v>
      </c>
      <c r="T1796" s="2" t="str">
        <f t="shared" si="144"/>
        <v>Rendah</v>
      </c>
    </row>
    <row r="1797" spans="1:20" ht="15.75" customHeight="1" x14ac:dyDescent="0.3">
      <c r="A1797" s="4" t="s">
        <v>433</v>
      </c>
      <c r="B1797" s="3">
        <v>45586.347326388888</v>
      </c>
      <c r="C1797" s="2" t="s">
        <v>434</v>
      </c>
      <c r="D1797" s="2" t="s">
        <v>435</v>
      </c>
      <c r="E1797" s="2" t="s">
        <v>138</v>
      </c>
      <c r="F1797" s="2">
        <v>17000</v>
      </c>
      <c r="G1797" s="2">
        <v>2</v>
      </c>
      <c r="H1797" s="2">
        <v>20</v>
      </c>
      <c r="I1797">
        <f t="shared" si="140"/>
        <v>34000</v>
      </c>
      <c r="J1797">
        <f t="shared" si="141"/>
        <v>6800</v>
      </c>
      <c r="K1797" s="6">
        <f t="shared" si="142"/>
        <v>27200</v>
      </c>
      <c r="L1797" s="2">
        <v>67000</v>
      </c>
      <c r="M1797" s="6">
        <f>Table1[[#This Row],[Total Sales]]+Table1[[#This Row],[Shipping Fee]]</f>
        <v>94200</v>
      </c>
      <c r="N1797" s="2" t="s">
        <v>29</v>
      </c>
      <c r="O1797" t="str">
        <f>VLOOKUP(Table1[[#This Row],[Order ID]],Status!A:B, 2,FALSE)</f>
        <v>Returned</v>
      </c>
      <c r="P1797" s="2" t="s">
        <v>46</v>
      </c>
      <c r="Q1797" s="2">
        <v>4</v>
      </c>
      <c r="R1797" s="2" t="s">
        <v>24</v>
      </c>
      <c r="S1797" s="11" t="str">
        <f t="shared" si="143"/>
        <v>Bagus</v>
      </c>
      <c r="T1797" s="2" t="str">
        <f t="shared" si="144"/>
        <v>Rendah</v>
      </c>
    </row>
    <row r="1798" spans="1:20" ht="15.75" customHeight="1" x14ac:dyDescent="0.3">
      <c r="A1798" s="4" t="s">
        <v>432</v>
      </c>
      <c r="B1798" s="3">
        <v>45585.430104166669</v>
      </c>
      <c r="C1798" s="2" t="s">
        <v>265</v>
      </c>
      <c r="D1798" s="2" t="s">
        <v>119</v>
      </c>
      <c r="E1798" s="2" t="s">
        <v>45</v>
      </c>
      <c r="F1798" s="2">
        <v>40000</v>
      </c>
      <c r="G1798" s="2">
        <v>5</v>
      </c>
      <c r="H1798" s="2">
        <v>15</v>
      </c>
      <c r="I1798">
        <f t="shared" si="140"/>
        <v>200000</v>
      </c>
      <c r="J1798">
        <f t="shared" si="141"/>
        <v>30000</v>
      </c>
      <c r="K1798" s="6">
        <f t="shared" si="142"/>
        <v>170000</v>
      </c>
      <c r="L1798" s="2">
        <v>0</v>
      </c>
      <c r="M1798" s="6">
        <f>Table1[[#This Row],[Total Sales]]+Table1[[#This Row],[Shipping Fee]]</f>
        <v>170000</v>
      </c>
      <c r="N1798" s="2" t="s">
        <v>29</v>
      </c>
      <c r="O1798" t="str">
        <f>VLOOKUP(Table1[[#This Row],[Order ID]],Status!A:B, 2,FALSE)</f>
        <v>Returned</v>
      </c>
      <c r="P1798" s="2" t="s">
        <v>46</v>
      </c>
      <c r="Q1798" s="2">
        <v>2</v>
      </c>
      <c r="R1798" s="2" t="s">
        <v>24</v>
      </c>
      <c r="S1798" s="11" t="str">
        <f t="shared" si="143"/>
        <v>Rendah</v>
      </c>
      <c r="T1798" s="2" t="str">
        <f t="shared" si="144"/>
        <v>Tinggi</v>
      </c>
    </row>
    <row r="1799" spans="1:20" ht="15.75" customHeight="1" x14ac:dyDescent="0.3">
      <c r="A1799" s="4" t="s">
        <v>430</v>
      </c>
      <c r="B1799" s="3">
        <v>45585.31559027778</v>
      </c>
      <c r="C1799" s="2" t="s">
        <v>431</v>
      </c>
      <c r="D1799" s="2" t="s">
        <v>33</v>
      </c>
      <c r="E1799" s="2" t="s">
        <v>104</v>
      </c>
      <c r="F1799" s="2">
        <v>30000</v>
      </c>
      <c r="G1799" s="2">
        <v>3</v>
      </c>
      <c r="H1799" s="2">
        <v>5</v>
      </c>
      <c r="I1799">
        <f t="shared" si="140"/>
        <v>90000</v>
      </c>
      <c r="J1799">
        <f t="shared" si="141"/>
        <v>4500</v>
      </c>
      <c r="K1799" s="6">
        <f t="shared" si="142"/>
        <v>85500</v>
      </c>
      <c r="L1799" s="2">
        <v>76000</v>
      </c>
      <c r="M1799" s="6">
        <f>Table1[[#This Row],[Total Sales]]+Table1[[#This Row],[Shipping Fee]]</f>
        <v>161500</v>
      </c>
      <c r="N1799" s="2" t="s">
        <v>29</v>
      </c>
      <c r="O1799" t="str">
        <f>VLOOKUP(Table1[[#This Row],[Order ID]],Status!A:B, 2,FALSE)</f>
        <v>Returned</v>
      </c>
      <c r="P1799" s="2" t="s">
        <v>82</v>
      </c>
      <c r="Q1799" s="2">
        <v>1</v>
      </c>
      <c r="R1799" s="2" t="s">
        <v>24</v>
      </c>
      <c r="S1799" s="11" t="str">
        <f t="shared" si="143"/>
        <v>Rendah</v>
      </c>
      <c r="T1799" s="2" t="str">
        <f t="shared" si="144"/>
        <v>Sangat Rendah</v>
      </c>
    </row>
    <row r="1800" spans="1:20" ht="15.75" customHeight="1" x14ac:dyDescent="0.3">
      <c r="A1800" s="4" t="s">
        <v>430</v>
      </c>
      <c r="B1800" s="3">
        <v>45585.31559027778</v>
      </c>
      <c r="C1800" s="2" t="s">
        <v>431</v>
      </c>
      <c r="D1800" s="2" t="s">
        <v>33</v>
      </c>
      <c r="E1800" s="2" t="s">
        <v>144</v>
      </c>
      <c r="F1800" s="2">
        <v>18000</v>
      </c>
      <c r="G1800" s="2">
        <v>2</v>
      </c>
      <c r="H1800" s="2">
        <v>10</v>
      </c>
      <c r="I1800">
        <f t="shared" si="140"/>
        <v>36000</v>
      </c>
      <c r="J1800">
        <f t="shared" si="141"/>
        <v>3600</v>
      </c>
      <c r="K1800" s="6">
        <f t="shared" si="142"/>
        <v>32400</v>
      </c>
      <c r="L1800" s="2">
        <v>0</v>
      </c>
      <c r="M1800" s="6">
        <f>Table1[[#This Row],[Total Sales]]+Table1[[#This Row],[Shipping Fee]]</f>
        <v>32400</v>
      </c>
      <c r="N1800" s="2" t="s">
        <v>29</v>
      </c>
      <c r="O1800" t="str">
        <f>VLOOKUP(Table1[[#This Row],[Order ID]],Status!A:B, 2,FALSE)</f>
        <v>Returned</v>
      </c>
      <c r="P1800" s="2" t="s">
        <v>82</v>
      </c>
      <c r="Q1800" s="2">
        <v>1</v>
      </c>
      <c r="R1800" s="2" t="s">
        <v>24</v>
      </c>
      <c r="S1800" s="11" t="str">
        <f t="shared" si="143"/>
        <v>Rendah</v>
      </c>
      <c r="T1800" s="2" t="str">
        <f t="shared" si="144"/>
        <v>Sangat Rendah</v>
      </c>
    </row>
    <row r="1801" spans="1:20" ht="15.75" customHeight="1" x14ac:dyDescent="0.3">
      <c r="A1801" s="4" t="s">
        <v>428</v>
      </c>
      <c r="B1801" s="3">
        <v>45585.27239583333</v>
      </c>
      <c r="C1801" s="2" t="s">
        <v>429</v>
      </c>
      <c r="D1801" s="2" t="s">
        <v>177</v>
      </c>
      <c r="E1801" s="2" t="s">
        <v>190</v>
      </c>
      <c r="F1801" s="2">
        <v>35000</v>
      </c>
      <c r="G1801" s="2">
        <v>2</v>
      </c>
      <c r="H1801" s="2">
        <v>10</v>
      </c>
      <c r="I1801">
        <f t="shared" si="140"/>
        <v>70000</v>
      </c>
      <c r="J1801">
        <f t="shared" si="141"/>
        <v>7000</v>
      </c>
      <c r="K1801" s="6">
        <f t="shared" si="142"/>
        <v>63000</v>
      </c>
      <c r="L1801" s="2">
        <v>56000</v>
      </c>
      <c r="M1801" s="6">
        <f>Table1[[#This Row],[Total Sales]]+Table1[[#This Row],[Shipping Fee]]</f>
        <v>119000</v>
      </c>
      <c r="N1801" s="2" t="s">
        <v>35</v>
      </c>
      <c r="O1801" t="str">
        <f>VLOOKUP(Table1[[#This Row],[Order ID]],Status!A:B, 2,FALSE)</f>
        <v>Returned</v>
      </c>
      <c r="P1801" s="2" t="s">
        <v>46</v>
      </c>
      <c r="Q1801" s="2">
        <v>4</v>
      </c>
      <c r="R1801" s="2" t="s">
        <v>37</v>
      </c>
      <c r="S1801" s="11" t="str">
        <f t="shared" si="143"/>
        <v>Bagus</v>
      </c>
      <c r="T1801" s="2" t="str">
        <f t="shared" si="144"/>
        <v>Rendah</v>
      </c>
    </row>
    <row r="1802" spans="1:20" ht="15.75" customHeight="1" x14ac:dyDescent="0.3">
      <c r="A1802" s="4" t="s">
        <v>426</v>
      </c>
      <c r="B1802" s="3">
        <v>45585.006365740737</v>
      </c>
      <c r="C1802" s="2" t="s">
        <v>427</v>
      </c>
      <c r="D1802" s="2" t="s">
        <v>103</v>
      </c>
      <c r="E1802" s="2" t="s">
        <v>138</v>
      </c>
      <c r="F1802" s="2">
        <v>17000</v>
      </c>
      <c r="G1802" s="2">
        <v>1</v>
      </c>
      <c r="H1802" s="2">
        <v>0</v>
      </c>
      <c r="I1802">
        <f t="shared" si="140"/>
        <v>17000</v>
      </c>
      <c r="J1802">
        <f t="shared" si="141"/>
        <v>0</v>
      </c>
      <c r="K1802" s="6">
        <f t="shared" si="142"/>
        <v>17000</v>
      </c>
      <c r="L1802" s="2">
        <v>85000</v>
      </c>
      <c r="M1802" s="6">
        <f>Table1[[#This Row],[Total Sales]]+Table1[[#This Row],[Shipping Fee]]</f>
        <v>102000</v>
      </c>
      <c r="N1802" s="2" t="s">
        <v>22</v>
      </c>
      <c r="O1802" t="str">
        <f>VLOOKUP(Table1[[#This Row],[Order ID]],Status!A:B, 2,FALSE)</f>
        <v>Completed</v>
      </c>
      <c r="P1802" s="2" t="s">
        <v>36</v>
      </c>
      <c r="Q1802" s="2">
        <v>1</v>
      </c>
      <c r="R1802" s="2" t="s">
        <v>24</v>
      </c>
      <c r="S1802" s="11" t="str">
        <f t="shared" si="143"/>
        <v>Rendah</v>
      </c>
      <c r="T1802" s="2" t="str">
        <f t="shared" si="144"/>
        <v>Sangat Rendah</v>
      </c>
    </row>
    <row r="1803" spans="1:20" ht="15.75" customHeight="1" x14ac:dyDescent="0.3">
      <c r="A1803" s="4" t="s">
        <v>424</v>
      </c>
      <c r="B1803" s="3">
        <v>45584.6871875</v>
      </c>
      <c r="C1803" s="2" t="s">
        <v>425</v>
      </c>
      <c r="D1803" s="2" t="s">
        <v>44</v>
      </c>
      <c r="E1803" s="2" t="s">
        <v>67</v>
      </c>
      <c r="F1803" s="2">
        <v>15000</v>
      </c>
      <c r="G1803" s="2">
        <v>3</v>
      </c>
      <c r="H1803" s="2">
        <v>0</v>
      </c>
      <c r="I1803">
        <f t="shared" si="140"/>
        <v>45000</v>
      </c>
      <c r="J1803">
        <f t="shared" si="141"/>
        <v>0</v>
      </c>
      <c r="K1803" s="6">
        <f t="shared" si="142"/>
        <v>45000</v>
      </c>
      <c r="L1803" s="2">
        <v>93000</v>
      </c>
      <c r="M1803" s="6">
        <f>Table1[[#This Row],[Total Sales]]+Table1[[#This Row],[Shipping Fee]]</f>
        <v>138000</v>
      </c>
      <c r="N1803" s="2" t="s">
        <v>63</v>
      </c>
      <c r="O1803" t="str">
        <f>VLOOKUP(Table1[[#This Row],[Order ID]],Status!A:B, 2,FALSE)</f>
        <v>Cancelled</v>
      </c>
      <c r="P1803" s="2" t="s">
        <v>23</v>
      </c>
      <c r="Q1803" s="2">
        <v>2</v>
      </c>
      <c r="R1803" s="2" t="s">
        <v>37</v>
      </c>
      <c r="S1803" s="11" t="str">
        <f t="shared" si="143"/>
        <v>Rendah</v>
      </c>
      <c r="T1803" s="2" t="str">
        <f t="shared" si="144"/>
        <v>Sangat Rendah</v>
      </c>
    </row>
    <row r="1804" spans="1:20" ht="15.75" customHeight="1" x14ac:dyDescent="0.3">
      <c r="A1804" s="4" t="s">
        <v>423</v>
      </c>
      <c r="B1804" s="3">
        <v>45584.532777777778</v>
      </c>
      <c r="C1804" s="2" t="s">
        <v>155</v>
      </c>
      <c r="D1804" s="2" t="s">
        <v>92</v>
      </c>
      <c r="E1804" s="2" t="s">
        <v>190</v>
      </c>
      <c r="F1804" s="2">
        <v>35000</v>
      </c>
      <c r="G1804" s="2">
        <v>2</v>
      </c>
      <c r="H1804" s="2">
        <v>10</v>
      </c>
      <c r="I1804">
        <f t="shared" si="140"/>
        <v>70000</v>
      </c>
      <c r="J1804">
        <f t="shared" si="141"/>
        <v>7000</v>
      </c>
      <c r="K1804" s="6">
        <f t="shared" si="142"/>
        <v>63000</v>
      </c>
      <c r="L1804" s="2">
        <v>30000</v>
      </c>
      <c r="M1804" s="6">
        <f>Table1[[#This Row],[Total Sales]]+Table1[[#This Row],[Shipping Fee]]</f>
        <v>93000</v>
      </c>
      <c r="N1804" s="2" t="s">
        <v>35</v>
      </c>
      <c r="O1804" t="str">
        <f>VLOOKUP(Table1[[#This Row],[Order ID]],Status!A:B, 2,FALSE)</f>
        <v>Completed</v>
      </c>
      <c r="P1804" s="2" t="s">
        <v>82</v>
      </c>
      <c r="Q1804" s="2">
        <v>5</v>
      </c>
      <c r="R1804" s="2" t="s">
        <v>24</v>
      </c>
      <c r="S1804" s="11" t="str">
        <f t="shared" si="143"/>
        <v>Bagus</v>
      </c>
      <c r="T1804" s="2" t="str">
        <f t="shared" si="144"/>
        <v>Rendah</v>
      </c>
    </row>
    <row r="1805" spans="1:20" ht="15.75" customHeight="1" x14ac:dyDescent="0.3">
      <c r="A1805" s="4" t="s">
        <v>422</v>
      </c>
      <c r="B1805" s="3">
        <v>45584.417337962957</v>
      </c>
      <c r="C1805" s="2" t="s">
        <v>309</v>
      </c>
      <c r="D1805" s="2" t="s">
        <v>107</v>
      </c>
      <c r="E1805" s="2" t="s">
        <v>54</v>
      </c>
      <c r="F1805" s="2">
        <v>16000</v>
      </c>
      <c r="G1805" s="2">
        <v>2</v>
      </c>
      <c r="H1805" s="2">
        <v>10</v>
      </c>
      <c r="I1805">
        <f t="shared" si="140"/>
        <v>32000</v>
      </c>
      <c r="J1805">
        <f t="shared" si="141"/>
        <v>3200</v>
      </c>
      <c r="K1805" s="6">
        <f t="shared" si="142"/>
        <v>28800</v>
      </c>
      <c r="L1805" s="2">
        <v>97000</v>
      </c>
      <c r="M1805" s="6">
        <f>Table1[[#This Row],[Total Sales]]+Table1[[#This Row],[Shipping Fee]]</f>
        <v>125800</v>
      </c>
      <c r="N1805" s="2" t="s">
        <v>63</v>
      </c>
      <c r="O1805" t="str">
        <f>VLOOKUP(Table1[[#This Row],[Order ID]],Status!A:B, 2,FALSE)</f>
        <v>Returned</v>
      </c>
      <c r="P1805" s="2" t="s">
        <v>46</v>
      </c>
      <c r="Q1805" s="2">
        <v>4</v>
      </c>
      <c r="R1805" s="2" t="s">
        <v>37</v>
      </c>
      <c r="S1805" s="11" t="str">
        <f t="shared" si="143"/>
        <v>Bagus</v>
      </c>
      <c r="T1805" s="2" t="str">
        <f t="shared" si="144"/>
        <v>Sangat Rendah</v>
      </c>
    </row>
    <row r="1806" spans="1:20" ht="15.75" customHeight="1" x14ac:dyDescent="0.3">
      <c r="A1806" s="4" t="s">
        <v>420</v>
      </c>
      <c r="B1806" s="3">
        <v>45584.36681712963</v>
      </c>
      <c r="C1806" s="2" t="s">
        <v>421</v>
      </c>
      <c r="D1806" s="2" t="s">
        <v>103</v>
      </c>
      <c r="E1806" s="2" t="s">
        <v>34</v>
      </c>
      <c r="F1806" s="2">
        <v>16000</v>
      </c>
      <c r="G1806" s="2">
        <v>4</v>
      </c>
      <c r="H1806" s="2">
        <v>0</v>
      </c>
      <c r="I1806">
        <f t="shared" si="140"/>
        <v>64000</v>
      </c>
      <c r="J1806">
        <f t="shared" si="141"/>
        <v>0</v>
      </c>
      <c r="K1806" s="6">
        <f t="shared" si="142"/>
        <v>64000</v>
      </c>
      <c r="L1806" s="2">
        <v>85000</v>
      </c>
      <c r="M1806" s="6">
        <f>Table1[[#This Row],[Total Sales]]+Table1[[#This Row],[Shipping Fee]]</f>
        <v>149000</v>
      </c>
      <c r="N1806" s="2" t="s">
        <v>22</v>
      </c>
      <c r="O1806" t="str">
        <f>VLOOKUP(Table1[[#This Row],[Order ID]],Status!A:B, 2,FALSE)</f>
        <v>Completed</v>
      </c>
      <c r="P1806" s="2" t="s">
        <v>46</v>
      </c>
      <c r="Q1806" s="2">
        <v>3</v>
      </c>
      <c r="R1806" s="2" t="s">
        <v>24</v>
      </c>
      <c r="S1806" s="11" t="str">
        <f t="shared" si="143"/>
        <v>Standar</v>
      </c>
      <c r="T1806" s="2" t="str">
        <f t="shared" si="144"/>
        <v>Sangat Rendah</v>
      </c>
    </row>
    <row r="1807" spans="1:20" ht="15.75" customHeight="1" x14ac:dyDescent="0.3">
      <c r="A1807" s="4" t="s">
        <v>418</v>
      </c>
      <c r="B1807" s="3">
        <v>45584.355254629627</v>
      </c>
      <c r="C1807" s="2" t="s">
        <v>419</v>
      </c>
      <c r="D1807" s="2" t="s">
        <v>103</v>
      </c>
      <c r="E1807" s="2" t="s">
        <v>28</v>
      </c>
      <c r="F1807" s="2">
        <v>5000</v>
      </c>
      <c r="G1807" s="2">
        <v>3</v>
      </c>
      <c r="H1807" s="2">
        <v>10</v>
      </c>
      <c r="I1807">
        <f t="shared" si="140"/>
        <v>15000</v>
      </c>
      <c r="J1807">
        <f t="shared" si="141"/>
        <v>1500</v>
      </c>
      <c r="K1807" s="6">
        <f t="shared" si="142"/>
        <v>13500</v>
      </c>
      <c r="L1807" s="2">
        <v>85000</v>
      </c>
      <c r="M1807" s="6">
        <f>Table1[[#This Row],[Total Sales]]+Table1[[#This Row],[Shipping Fee]]</f>
        <v>98500</v>
      </c>
      <c r="N1807" s="2" t="s">
        <v>63</v>
      </c>
      <c r="O1807" t="str">
        <f>VLOOKUP(Table1[[#This Row],[Order ID]],Status!A:B, 2,FALSE)</f>
        <v>Returned</v>
      </c>
      <c r="P1807" s="2" t="s">
        <v>23</v>
      </c>
      <c r="Q1807" s="2">
        <v>5</v>
      </c>
      <c r="R1807" s="2" t="s">
        <v>37</v>
      </c>
      <c r="S1807" s="11" t="str">
        <f t="shared" si="143"/>
        <v>Bagus</v>
      </c>
      <c r="T1807" s="2" t="str">
        <f t="shared" si="144"/>
        <v>Sangat Rendah</v>
      </c>
    </row>
    <row r="1808" spans="1:20" ht="15.75" customHeight="1" x14ac:dyDescent="0.3">
      <c r="A1808" s="4" t="s">
        <v>417</v>
      </c>
      <c r="B1808" s="3">
        <v>45583.808518518519</v>
      </c>
      <c r="C1808" s="2" t="s">
        <v>273</v>
      </c>
      <c r="D1808" s="2" t="s">
        <v>195</v>
      </c>
      <c r="E1808" s="2" t="s">
        <v>104</v>
      </c>
      <c r="F1808" s="2">
        <v>30000</v>
      </c>
      <c r="G1808" s="2">
        <v>1</v>
      </c>
      <c r="H1808" s="2">
        <v>20</v>
      </c>
      <c r="I1808">
        <f t="shared" si="140"/>
        <v>30000</v>
      </c>
      <c r="J1808">
        <f t="shared" si="141"/>
        <v>6000</v>
      </c>
      <c r="K1808" s="6">
        <f t="shared" si="142"/>
        <v>24000</v>
      </c>
      <c r="L1808" s="2">
        <v>87000</v>
      </c>
      <c r="M1808" s="6">
        <f>Table1[[#This Row],[Total Sales]]+Table1[[#This Row],[Shipping Fee]]</f>
        <v>111000</v>
      </c>
      <c r="N1808" s="2" t="s">
        <v>29</v>
      </c>
      <c r="O1808" t="str">
        <f>VLOOKUP(Table1[[#This Row],[Order ID]],Status!A:B, 2,FALSE)</f>
        <v>Completed</v>
      </c>
      <c r="P1808" s="2" t="s">
        <v>30</v>
      </c>
      <c r="Q1808" s="2">
        <v>2</v>
      </c>
      <c r="R1808" s="2" t="s">
        <v>24</v>
      </c>
      <c r="S1808" s="11" t="str">
        <f t="shared" si="143"/>
        <v>Rendah</v>
      </c>
      <c r="T1808" s="2" t="str">
        <f t="shared" si="144"/>
        <v>Rendah</v>
      </c>
    </row>
    <row r="1809" spans="1:20" ht="15.75" customHeight="1" x14ac:dyDescent="0.3">
      <c r="A1809" s="4" t="s">
        <v>415</v>
      </c>
      <c r="B1809" s="3">
        <v>45583.761122685188</v>
      </c>
      <c r="C1809" s="2" t="s">
        <v>416</v>
      </c>
      <c r="D1809" s="2" t="s">
        <v>131</v>
      </c>
      <c r="E1809" s="2" t="s">
        <v>45</v>
      </c>
      <c r="F1809" s="2">
        <v>40000</v>
      </c>
      <c r="G1809" s="2">
        <v>1</v>
      </c>
      <c r="H1809" s="2">
        <v>20</v>
      </c>
      <c r="I1809">
        <f t="shared" si="140"/>
        <v>40000</v>
      </c>
      <c r="J1809">
        <f t="shared" si="141"/>
        <v>8000</v>
      </c>
      <c r="K1809" s="6">
        <f t="shared" si="142"/>
        <v>32000</v>
      </c>
      <c r="L1809" s="2">
        <v>59000</v>
      </c>
      <c r="M1809" s="6">
        <f>Table1[[#This Row],[Total Sales]]+Table1[[#This Row],[Shipping Fee]]</f>
        <v>91000</v>
      </c>
      <c r="N1809" s="2" t="s">
        <v>35</v>
      </c>
      <c r="O1809" t="str">
        <f>VLOOKUP(Table1[[#This Row],[Order ID]],Status!A:B, 2,FALSE)</f>
        <v>Completed</v>
      </c>
      <c r="P1809" s="2" t="s">
        <v>82</v>
      </c>
      <c r="Q1809" s="2">
        <v>2</v>
      </c>
      <c r="R1809" s="2" t="s">
        <v>24</v>
      </c>
      <c r="S1809" s="11" t="str">
        <f t="shared" si="143"/>
        <v>Rendah</v>
      </c>
      <c r="T1809" s="2" t="str">
        <f t="shared" si="144"/>
        <v>Rendah</v>
      </c>
    </row>
    <row r="1810" spans="1:20" ht="15.75" customHeight="1" x14ac:dyDescent="0.3">
      <c r="A1810" s="4" t="s">
        <v>414</v>
      </c>
      <c r="B1810" s="3">
        <v>45583.736875000002</v>
      </c>
      <c r="C1810" s="2" t="s">
        <v>109</v>
      </c>
      <c r="D1810" s="2" t="s">
        <v>49</v>
      </c>
      <c r="E1810" s="2" t="s">
        <v>58</v>
      </c>
      <c r="F1810" s="2">
        <v>16000</v>
      </c>
      <c r="G1810" s="2">
        <v>4</v>
      </c>
      <c r="H1810" s="2">
        <v>10</v>
      </c>
      <c r="I1810">
        <f t="shared" si="140"/>
        <v>64000</v>
      </c>
      <c r="J1810">
        <f t="shared" si="141"/>
        <v>6400</v>
      </c>
      <c r="K1810" s="6">
        <f t="shared" si="142"/>
        <v>57600</v>
      </c>
      <c r="L1810" s="2">
        <v>43000</v>
      </c>
      <c r="M1810" s="6">
        <f>Table1[[#This Row],[Total Sales]]+Table1[[#This Row],[Shipping Fee]]</f>
        <v>100600</v>
      </c>
      <c r="N1810" s="2" t="s">
        <v>29</v>
      </c>
      <c r="O1810" t="str">
        <f>VLOOKUP(Table1[[#This Row],[Order ID]],Status!A:B, 2,FALSE)</f>
        <v>Returned</v>
      </c>
      <c r="P1810" s="2" t="s">
        <v>82</v>
      </c>
      <c r="Q1810" s="2">
        <v>4</v>
      </c>
      <c r="R1810" s="2" t="s">
        <v>24</v>
      </c>
      <c r="S1810" s="11" t="str">
        <f t="shared" si="143"/>
        <v>Bagus</v>
      </c>
      <c r="T1810" s="2" t="str">
        <f t="shared" si="144"/>
        <v>Rendah</v>
      </c>
    </row>
    <row r="1811" spans="1:20" ht="15.75" customHeight="1" x14ac:dyDescent="0.3">
      <c r="A1811" s="4" t="s">
        <v>413</v>
      </c>
      <c r="B1811" s="3">
        <v>45583.400694444441</v>
      </c>
      <c r="C1811" s="2" t="s">
        <v>231</v>
      </c>
      <c r="D1811" s="2" t="s">
        <v>66</v>
      </c>
      <c r="E1811" s="2" t="s">
        <v>190</v>
      </c>
      <c r="F1811" s="2">
        <v>35000</v>
      </c>
      <c r="G1811" s="2">
        <v>1</v>
      </c>
      <c r="H1811" s="2">
        <v>0</v>
      </c>
      <c r="I1811">
        <f t="shared" si="140"/>
        <v>35000</v>
      </c>
      <c r="J1811">
        <f t="shared" si="141"/>
        <v>0</v>
      </c>
      <c r="K1811" s="6">
        <f t="shared" si="142"/>
        <v>35000</v>
      </c>
      <c r="L1811" s="2">
        <v>59000</v>
      </c>
      <c r="M1811" s="6">
        <f>Table1[[#This Row],[Total Sales]]+Table1[[#This Row],[Shipping Fee]]</f>
        <v>94000</v>
      </c>
      <c r="N1811" s="2" t="s">
        <v>29</v>
      </c>
      <c r="O1811" t="str">
        <f>VLOOKUP(Table1[[#This Row],[Order ID]],Status!A:B, 2,FALSE)</f>
        <v>Completed</v>
      </c>
      <c r="P1811" s="2" t="s">
        <v>36</v>
      </c>
      <c r="Q1811" s="2">
        <v>1</v>
      </c>
      <c r="R1811" s="2" t="s">
        <v>24</v>
      </c>
      <c r="S1811" s="11" t="str">
        <f t="shared" si="143"/>
        <v>Rendah</v>
      </c>
      <c r="T1811" s="2" t="str">
        <f t="shared" si="144"/>
        <v>Sangat Rendah</v>
      </c>
    </row>
    <row r="1812" spans="1:20" ht="15.75" customHeight="1" x14ac:dyDescent="0.3">
      <c r="A1812" s="4" t="s">
        <v>413</v>
      </c>
      <c r="B1812" s="3">
        <v>45583.400694444441</v>
      </c>
      <c r="C1812" s="2" t="s">
        <v>231</v>
      </c>
      <c r="D1812" s="2" t="s">
        <v>66</v>
      </c>
      <c r="E1812" s="2" t="s">
        <v>50</v>
      </c>
      <c r="F1812" s="2">
        <v>14000</v>
      </c>
      <c r="G1812" s="2">
        <v>3</v>
      </c>
      <c r="H1812" s="2">
        <v>20</v>
      </c>
      <c r="I1812">
        <f t="shared" si="140"/>
        <v>42000</v>
      </c>
      <c r="J1812">
        <f t="shared" si="141"/>
        <v>8400</v>
      </c>
      <c r="K1812" s="6">
        <f t="shared" si="142"/>
        <v>33600</v>
      </c>
      <c r="L1812" s="2">
        <v>0</v>
      </c>
      <c r="M1812" s="6">
        <f>Table1[[#This Row],[Total Sales]]+Table1[[#This Row],[Shipping Fee]]</f>
        <v>33600</v>
      </c>
      <c r="N1812" s="2" t="s">
        <v>29</v>
      </c>
      <c r="O1812" t="str">
        <f>VLOOKUP(Table1[[#This Row],[Order ID]],Status!A:B, 2,FALSE)</f>
        <v>Completed</v>
      </c>
      <c r="P1812" s="2" t="s">
        <v>36</v>
      </c>
      <c r="Q1812" s="2">
        <v>1</v>
      </c>
      <c r="R1812" s="2" t="s">
        <v>24</v>
      </c>
      <c r="S1812" s="11" t="str">
        <f t="shared" si="143"/>
        <v>Rendah</v>
      </c>
      <c r="T1812" s="2" t="str">
        <f t="shared" si="144"/>
        <v>Rendah</v>
      </c>
    </row>
    <row r="1813" spans="1:20" ht="15.75" customHeight="1" x14ac:dyDescent="0.3">
      <c r="A1813" s="4" t="s">
        <v>411</v>
      </c>
      <c r="B1813" s="3">
        <v>45583.083252314813</v>
      </c>
      <c r="C1813" s="2" t="s">
        <v>412</v>
      </c>
      <c r="D1813" s="2" t="s">
        <v>70</v>
      </c>
      <c r="E1813" s="2" t="s">
        <v>21</v>
      </c>
      <c r="F1813" s="2">
        <v>45000</v>
      </c>
      <c r="G1813" s="2">
        <v>5</v>
      </c>
      <c r="H1813" s="2">
        <v>10</v>
      </c>
      <c r="I1813">
        <f t="shared" si="140"/>
        <v>225000</v>
      </c>
      <c r="J1813">
        <f t="shared" si="141"/>
        <v>22500</v>
      </c>
      <c r="K1813" s="6">
        <f t="shared" si="142"/>
        <v>202500</v>
      </c>
      <c r="L1813" s="2">
        <v>89000</v>
      </c>
      <c r="M1813" s="6">
        <f>Table1[[#This Row],[Total Sales]]+Table1[[#This Row],[Shipping Fee]]</f>
        <v>291500</v>
      </c>
      <c r="N1813" s="2" t="s">
        <v>29</v>
      </c>
      <c r="O1813" t="str">
        <f>VLOOKUP(Table1[[#This Row],[Order ID]],Status!A:B, 2,FALSE)</f>
        <v>Completed</v>
      </c>
      <c r="P1813" s="2" t="s">
        <v>30</v>
      </c>
      <c r="Q1813" s="2">
        <v>3</v>
      </c>
      <c r="R1813" s="2" t="s">
        <v>24</v>
      </c>
      <c r="S1813" s="11" t="str">
        <f t="shared" si="143"/>
        <v>Standar</v>
      </c>
      <c r="T1813" s="2" t="str">
        <f t="shared" si="144"/>
        <v>Tinggi</v>
      </c>
    </row>
    <row r="1814" spans="1:20" ht="15.75" customHeight="1" x14ac:dyDescent="0.3">
      <c r="A1814" s="4" t="s">
        <v>409</v>
      </c>
      <c r="B1814" s="3">
        <v>45582.85765046296</v>
      </c>
      <c r="C1814" s="2" t="s">
        <v>410</v>
      </c>
      <c r="D1814" s="2" t="s">
        <v>151</v>
      </c>
      <c r="E1814" s="2" t="s">
        <v>190</v>
      </c>
      <c r="F1814" s="2">
        <v>35000</v>
      </c>
      <c r="G1814" s="2">
        <v>4</v>
      </c>
      <c r="H1814" s="2">
        <v>15</v>
      </c>
      <c r="I1814">
        <f t="shared" si="140"/>
        <v>140000</v>
      </c>
      <c r="J1814">
        <f t="shared" si="141"/>
        <v>21000</v>
      </c>
      <c r="K1814" s="6">
        <f t="shared" si="142"/>
        <v>119000</v>
      </c>
      <c r="L1814" s="2">
        <v>55000</v>
      </c>
      <c r="M1814" s="6">
        <f>Table1[[#This Row],[Total Sales]]+Table1[[#This Row],[Shipping Fee]]</f>
        <v>174000</v>
      </c>
      <c r="N1814" s="2" t="s">
        <v>22</v>
      </c>
      <c r="O1814" t="str">
        <f>VLOOKUP(Table1[[#This Row],[Order ID]],Status!A:B, 2,FALSE)</f>
        <v>Completed</v>
      </c>
      <c r="P1814" s="2" t="s">
        <v>82</v>
      </c>
      <c r="Q1814" s="2">
        <v>2</v>
      </c>
      <c r="R1814" s="2" t="s">
        <v>24</v>
      </c>
      <c r="S1814" s="11" t="str">
        <f t="shared" si="143"/>
        <v>Rendah</v>
      </c>
      <c r="T1814" s="2" t="str">
        <f t="shared" si="144"/>
        <v>Tinggi</v>
      </c>
    </row>
    <row r="1815" spans="1:20" ht="15.75" customHeight="1" x14ac:dyDescent="0.3">
      <c r="A1815" s="4" t="s">
        <v>407</v>
      </c>
      <c r="B1815" s="3">
        <v>45582.465902777767</v>
      </c>
      <c r="C1815" s="2" t="s">
        <v>408</v>
      </c>
      <c r="D1815" s="2" t="s">
        <v>74</v>
      </c>
      <c r="E1815" s="2" t="s">
        <v>104</v>
      </c>
      <c r="F1815" s="2">
        <v>30000</v>
      </c>
      <c r="G1815" s="2">
        <v>1</v>
      </c>
      <c r="H1815" s="2">
        <v>10</v>
      </c>
      <c r="I1815">
        <f t="shared" si="140"/>
        <v>30000</v>
      </c>
      <c r="J1815">
        <f t="shared" si="141"/>
        <v>3000</v>
      </c>
      <c r="K1815" s="6">
        <f t="shared" si="142"/>
        <v>27000</v>
      </c>
      <c r="L1815" s="2">
        <v>87000</v>
      </c>
      <c r="M1815" s="6">
        <f>Table1[[#This Row],[Total Sales]]+Table1[[#This Row],[Shipping Fee]]</f>
        <v>114000</v>
      </c>
      <c r="N1815" s="2" t="s">
        <v>22</v>
      </c>
      <c r="O1815" t="str">
        <f>VLOOKUP(Table1[[#This Row],[Order ID]],Status!A:B, 2,FALSE)</f>
        <v>Completed</v>
      </c>
      <c r="P1815" s="2" t="s">
        <v>36</v>
      </c>
      <c r="Q1815" s="2">
        <v>3</v>
      </c>
      <c r="R1815" s="2" t="s">
        <v>24</v>
      </c>
      <c r="S1815" s="11" t="str">
        <f t="shared" si="143"/>
        <v>Standar</v>
      </c>
      <c r="T1815" s="2" t="str">
        <f t="shared" si="144"/>
        <v>Sangat Rendah</v>
      </c>
    </row>
    <row r="1816" spans="1:20" ht="15.75" customHeight="1" x14ac:dyDescent="0.3">
      <c r="A1816" s="4" t="s">
        <v>406</v>
      </c>
      <c r="B1816" s="3">
        <v>45582.439421296287</v>
      </c>
      <c r="C1816" s="2" t="s">
        <v>155</v>
      </c>
      <c r="D1816" s="2" t="s">
        <v>92</v>
      </c>
      <c r="E1816" s="2" t="s">
        <v>123</v>
      </c>
      <c r="F1816" s="2">
        <v>22000</v>
      </c>
      <c r="G1816" s="2">
        <v>2</v>
      </c>
      <c r="H1816" s="2">
        <v>10</v>
      </c>
      <c r="I1816">
        <f t="shared" si="140"/>
        <v>44000</v>
      </c>
      <c r="J1816">
        <f t="shared" si="141"/>
        <v>4400</v>
      </c>
      <c r="K1816" s="6">
        <f t="shared" si="142"/>
        <v>39600</v>
      </c>
      <c r="L1816" s="2">
        <v>30000</v>
      </c>
      <c r="M1816" s="6">
        <f>Table1[[#This Row],[Total Sales]]+Table1[[#This Row],[Shipping Fee]]</f>
        <v>69600</v>
      </c>
      <c r="N1816" s="2" t="s">
        <v>63</v>
      </c>
      <c r="O1816" t="str">
        <f>VLOOKUP(Table1[[#This Row],[Order ID]],Status!A:B, 2,FALSE)</f>
        <v>Completed</v>
      </c>
      <c r="P1816" s="2" t="s">
        <v>30</v>
      </c>
      <c r="Q1816" s="2">
        <v>1</v>
      </c>
      <c r="R1816" s="2" t="s">
        <v>24</v>
      </c>
      <c r="S1816" s="11" t="str">
        <f t="shared" si="143"/>
        <v>Rendah</v>
      </c>
      <c r="T1816" s="2" t="str">
        <f t="shared" si="144"/>
        <v>Sangat Rendah</v>
      </c>
    </row>
    <row r="1817" spans="1:20" ht="15.75" customHeight="1" x14ac:dyDescent="0.3">
      <c r="A1817" s="4" t="s">
        <v>405</v>
      </c>
      <c r="B1817" s="3">
        <v>45582.04446759259</v>
      </c>
      <c r="C1817" s="2" t="s">
        <v>256</v>
      </c>
      <c r="D1817" s="2" t="s">
        <v>107</v>
      </c>
      <c r="E1817" s="2" t="s">
        <v>144</v>
      </c>
      <c r="F1817" s="2">
        <v>18000</v>
      </c>
      <c r="G1817" s="2">
        <v>2</v>
      </c>
      <c r="H1817" s="2">
        <v>15</v>
      </c>
      <c r="I1817">
        <f t="shared" si="140"/>
        <v>36000</v>
      </c>
      <c r="J1817">
        <f t="shared" si="141"/>
        <v>5400</v>
      </c>
      <c r="K1817" s="6">
        <f t="shared" si="142"/>
        <v>30600</v>
      </c>
      <c r="L1817" s="2">
        <v>97000</v>
      </c>
      <c r="M1817" s="6">
        <f>Table1[[#This Row],[Total Sales]]+Table1[[#This Row],[Shipping Fee]]</f>
        <v>127600</v>
      </c>
      <c r="N1817" s="2" t="s">
        <v>35</v>
      </c>
      <c r="O1817" t="str">
        <f>VLOOKUP(Table1[[#This Row],[Order ID]],Status!A:B, 2,FALSE)</f>
        <v>Completed</v>
      </c>
      <c r="P1817" s="2" t="s">
        <v>82</v>
      </c>
      <c r="Q1817" s="2">
        <v>5</v>
      </c>
      <c r="R1817" s="2" t="s">
        <v>24</v>
      </c>
      <c r="S1817" s="11" t="str">
        <f t="shared" si="143"/>
        <v>Bagus</v>
      </c>
      <c r="T1817" s="2" t="str">
        <f t="shared" si="144"/>
        <v>Rendah</v>
      </c>
    </row>
    <row r="1818" spans="1:20" ht="15.75" customHeight="1" x14ac:dyDescent="0.3">
      <c r="A1818" s="4" t="s">
        <v>403</v>
      </c>
      <c r="B1818" s="3">
        <v>45581.850717592592</v>
      </c>
      <c r="C1818" s="2" t="s">
        <v>404</v>
      </c>
      <c r="D1818" s="2" t="s">
        <v>177</v>
      </c>
      <c r="E1818" s="2" t="s">
        <v>21</v>
      </c>
      <c r="F1818" s="2">
        <v>45000</v>
      </c>
      <c r="G1818" s="2">
        <v>1</v>
      </c>
      <c r="H1818" s="2">
        <v>20</v>
      </c>
      <c r="I1818">
        <f t="shared" si="140"/>
        <v>45000</v>
      </c>
      <c r="J1818">
        <f t="shared" si="141"/>
        <v>9000</v>
      </c>
      <c r="K1818" s="6">
        <f t="shared" si="142"/>
        <v>36000</v>
      </c>
      <c r="L1818" s="2">
        <v>56000</v>
      </c>
      <c r="M1818" s="6">
        <f>Table1[[#This Row],[Total Sales]]+Table1[[#This Row],[Shipping Fee]]</f>
        <v>92000</v>
      </c>
      <c r="N1818" s="2" t="s">
        <v>22</v>
      </c>
      <c r="O1818" t="str">
        <f>VLOOKUP(Table1[[#This Row],[Order ID]],Status!A:B, 2,FALSE)</f>
        <v>Cancelled</v>
      </c>
      <c r="P1818" s="2" t="s">
        <v>82</v>
      </c>
      <c r="Q1818" s="2">
        <v>5</v>
      </c>
      <c r="R1818" s="2" t="s">
        <v>37</v>
      </c>
      <c r="S1818" s="11" t="str">
        <f t="shared" si="143"/>
        <v>Bagus</v>
      </c>
      <c r="T1818" s="2" t="str">
        <f t="shared" si="144"/>
        <v>Rendah</v>
      </c>
    </row>
    <row r="1819" spans="1:20" ht="15.75" customHeight="1" x14ac:dyDescent="0.3">
      <c r="A1819" s="4" t="s">
        <v>401</v>
      </c>
      <c r="B1819" s="3">
        <v>45581.599340277768</v>
      </c>
      <c r="C1819" s="2" t="s">
        <v>402</v>
      </c>
      <c r="D1819" s="2" t="s">
        <v>163</v>
      </c>
      <c r="E1819" s="2" t="s">
        <v>123</v>
      </c>
      <c r="F1819" s="2">
        <v>22000</v>
      </c>
      <c r="G1819" s="2">
        <v>3</v>
      </c>
      <c r="H1819" s="2">
        <v>5</v>
      </c>
      <c r="I1819">
        <f t="shared" si="140"/>
        <v>66000</v>
      </c>
      <c r="J1819">
        <f t="shared" si="141"/>
        <v>3300</v>
      </c>
      <c r="K1819" s="6">
        <f t="shared" si="142"/>
        <v>62700</v>
      </c>
      <c r="L1819" s="2">
        <v>50000</v>
      </c>
      <c r="M1819" s="6">
        <f>Table1[[#This Row],[Total Sales]]+Table1[[#This Row],[Shipping Fee]]</f>
        <v>112700</v>
      </c>
      <c r="N1819" s="2" t="s">
        <v>29</v>
      </c>
      <c r="O1819" t="str">
        <f>VLOOKUP(Table1[[#This Row],[Order ID]],Status!A:B, 2,FALSE)</f>
        <v>Completed</v>
      </c>
      <c r="P1819" s="2" t="s">
        <v>30</v>
      </c>
      <c r="Q1819" s="2">
        <v>2</v>
      </c>
      <c r="R1819" s="2" t="s">
        <v>24</v>
      </c>
      <c r="S1819" s="11" t="str">
        <f t="shared" si="143"/>
        <v>Rendah</v>
      </c>
      <c r="T1819" s="2" t="str">
        <f t="shared" si="144"/>
        <v>Sangat Rendah</v>
      </c>
    </row>
    <row r="1820" spans="1:20" ht="15.75" customHeight="1" x14ac:dyDescent="0.3">
      <c r="A1820" s="4" t="s">
        <v>399</v>
      </c>
      <c r="B1820" s="3">
        <v>45581.551469907397</v>
      </c>
      <c r="C1820" s="2" t="s">
        <v>400</v>
      </c>
      <c r="D1820" s="2" t="s">
        <v>27</v>
      </c>
      <c r="E1820" s="2" t="s">
        <v>250</v>
      </c>
      <c r="F1820" s="2">
        <v>18000</v>
      </c>
      <c r="G1820" s="2">
        <v>1</v>
      </c>
      <c r="H1820" s="2">
        <v>5</v>
      </c>
      <c r="I1820">
        <f t="shared" si="140"/>
        <v>18000</v>
      </c>
      <c r="J1820">
        <f t="shared" si="141"/>
        <v>900</v>
      </c>
      <c r="K1820" s="6">
        <f t="shared" si="142"/>
        <v>17100</v>
      </c>
      <c r="L1820" s="2">
        <v>17000</v>
      </c>
      <c r="M1820" s="6">
        <f>Table1[[#This Row],[Total Sales]]+Table1[[#This Row],[Shipping Fee]]</f>
        <v>34100</v>
      </c>
      <c r="N1820" s="2" t="s">
        <v>63</v>
      </c>
      <c r="O1820" t="str">
        <f>VLOOKUP(Table1[[#This Row],[Order ID]],Status!A:B, 2,FALSE)</f>
        <v>Returned</v>
      </c>
      <c r="P1820" s="2" t="s">
        <v>30</v>
      </c>
      <c r="Q1820" s="2">
        <v>2</v>
      </c>
      <c r="R1820" s="2" t="s">
        <v>24</v>
      </c>
      <c r="S1820" s="11" t="str">
        <f t="shared" si="143"/>
        <v>Rendah</v>
      </c>
      <c r="T1820" s="2" t="str">
        <f t="shared" si="144"/>
        <v>Sangat Rendah</v>
      </c>
    </row>
    <row r="1821" spans="1:20" ht="15.75" customHeight="1" x14ac:dyDescent="0.3">
      <c r="A1821" s="4" t="s">
        <v>397</v>
      </c>
      <c r="B1821" s="3">
        <v>45581.525694444441</v>
      </c>
      <c r="C1821" s="2" t="s">
        <v>398</v>
      </c>
      <c r="D1821" s="2" t="s">
        <v>182</v>
      </c>
      <c r="E1821" s="2" t="s">
        <v>93</v>
      </c>
      <c r="F1821" s="2">
        <v>25000</v>
      </c>
      <c r="G1821" s="2">
        <v>3</v>
      </c>
      <c r="H1821" s="2">
        <v>20</v>
      </c>
      <c r="I1821">
        <f t="shared" si="140"/>
        <v>75000</v>
      </c>
      <c r="J1821">
        <f t="shared" si="141"/>
        <v>15000</v>
      </c>
      <c r="K1821" s="6">
        <f t="shared" si="142"/>
        <v>60000</v>
      </c>
      <c r="L1821" s="2">
        <v>48000</v>
      </c>
      <c r="M1821" s="6">
        <f>Table1[[#This Row],[Total Sales]]+Table1[[#This Row],[Shipping Fee]]</f>
        <v>108000</v>
      </c>
      <c r="N1821" s="2" t="s">
        <v>35</v>
      </c>
      <c r="O1821" t="str">
        <f>VLOOKUP(Table1[[#This Row],[Order ID]],Status!A:B, 2,FALSE)</f>
        <v>Returned</v>
      </c>
      <c r="P1821" s="2" t="s">
        <v>36</v>
      </c>
      <c r="Q1821" s="2">
        <v>4</v>
      </c>
      <c r="R1821" s="2" t="s">
        <v>24</v>
      </c>
      <c r="S1821" s="11" t="str">
        <f t="shared" si="143"/>
        <v>Bagus</v>
      </c>
      <c r="T1821" s="2" t="str">
        <f t="shared" si="144"/>
        <v>Normal</v>
      </c>
    </row>
    <row r="1822" spans="1:20" ht="15.75" customHeight="1" x14ac:dyDescent="0.3">
      <c r="A1822" s="4" t="s">
        <v>395</v>
      </c>
      <c r="B1822" s="3">
        <v>45581.035011574073</v>
      </c>
      <c r="C1822" s="2" t="s">
        <v>396</v>
      </c>
      <c r="D1822" s="2" t="s">
        <v>66</v>
      </c>
      <c r="E1822" s="2" t="s">
        <v>58</v>
      </c>
      <c r="F1822" s="2">
        <v>16000</v>
      </c>
      <c r="G1822" s="2">
        <v>1</v>
      </c>
      <c r="H1822" s="2">
        <v>20</v>
      </c>
      <c r="I1822">
        <f t="shared" si="140"/>
        <v>16000</v>
      </c>
      <c r="J1822">
        <f t="shared" si="141"/>
        <v>3200</v>
      </c>
      <c r="K1822" s="6">
        <f t="shared" si="142"/>
        <v>12800</v>
      </c>
      <c r="L1822" s="2">
        <v>59000</v>
      </c>
      <c r="M1822" s="6">
        <f>Table1[[#This Row],[Total Sales]]+Table1[[#This Row],[Shipping Fee]]</f>
        <v>71800</v>
      </c>
      <c r="N1822" s="2" t="s">
        <v>63</v>
      </c>
      <c r="O1822" t="str">
        <f>VLOOKUP(Table1[[#This Row],[Order ID]],Status!A:B, 2,FALSE)</f>
        <v>Completed</v>
      </c>
      <c r="P1822" s="2" t="s">
        <v>82</v>
      </c>
      <c r="Q1822" s="2">
        <v>4</v>
      </c>
      <c r="R1822" s="2" t="s">
        <v>37</v>
      </c>
      <c r="S1822" s="11" t="str">
        <f t="shared" si="143"/>
        <v>Bagus</v>
      </c>
      <c r="T1822" s="2" t="str">
        <f t="shared" si="144"/>
        <v>Sangat Rendah</v>
      </c>
    </row>
    <row r="1823" spans="1:20" ht="15.75" customHeight="1" x14ac:dyDescent="0.3">
      <c r="A1823" s="4" t="s">
        <v>393</v>
      </c>
      <c r="B1823" s="3">
        <v>45580.967118055552</v>
      </c>
      <c r="C1823" s="2" t="s">
        <v>394</v>
      </c>
      <c r="D1823" s="2" t="s">
        <v>53</v>
      </c>
      <c r="E1823" s="2" t="s">
        <v>104</v>
      </c>
      <c r="F1823" s="2">
        <v>30000</v>
      </c>
      <c r="G1823" s="2">
        <v>5</v>
      </c>
      <c r="H1823" s="2">
        <v>5</v>
      </c>
      <c r="I1823">
        <f t="shared" si="140"/>
        <v>150000</v>
      </c>
      <c r="J1823">
        <f t="shared" si="141"/>
        <v>7500</v>
      </c>
      <c r="K1823" s="6">
        <f t="shared" si="142"/>
        <v>142500</v>
      </c>
      <c r="L1823" s="2">
        <v>18000</v>
      </c>
      <c r="M1823" s="6">
        <f>Table1[[#This Row],[Total Sales]]+Table1[[#This Row],[Shipping Fee]]</f>
        <v>160500</v>
      </c>
      <c r="N1823" s="2" t="s">
        <v>22</v>
      </c>
      <c r="O1823" t="str">
        <f>VLOOKUP(Table1[[#This Row],[Order ID]],Status!A:B, 2,FALSE)</f>
        <v>Completed</v>
      </c>
      <c r="P1823" s="2" t="s">
        <v>30</v>
      </c>
      <c r="Q1823" s="2">
        <v>2</v>
      </c>
      <c r="R1823" s="2" t="s">
        <v>24</v>
      </c>
      <c r="S1823" s="11" t="str">
        <f t="shared" si="143"/>
        <v>Rendah</v>
      </c>
      <c r="T1823" s="2" t="str">
        <f t="shared" si="144"/>
        <v>Rendah</v>
      </c>
    </row>
    <row r="1824" spans="1:20" ht="15.75" customHeight="1" x14ac:dyDescent="0.3">
      <c r="A1824" s="4" t="s">
        <v>392</v>
      </c>
      <c r="B1824" s="3">
        <v>45580.862592592603</v>
      </c>
      <c r="C1824" s="2" t="s">
        <v>201</v>
      </c>
      <c r="D1824" s="2" t="s">
        <v>107</v>
      </c>
      <c r="E1824" s="2" t="s">
        <v>50</v>
      </c>
      <c r="F1824" s="2">
        <v>14000</v>
      </c>
      <c r="G1824" s="2">
        <v>4</v>
      </c>
      <c r="H1824" s="2">
        <v>0</v>
      </c>
      <c r="I1824">
        <f t="shared" si="140"/>
        <v>56000</v>
      </c>
      <c r="J1824">
        <f t="shared" si="141"/>
        <v>0</v>
      </c>
      <c r="K1824" s="6">
        <f t="shared" si="142"/>
        <v>56000</v>
      </c>
      <c r="L1824" s="2">
        <v>97000</v>
      </c>
      <c r="M1824" s="6">
        <f>Table1[[#This Row],[Total Sales]]+Table1[[#This Row],[Shipping Fee]]</f>
        <v>153000</v>
      </c>
      <c r="N1824" s="2" t="s">
        <v>35</v>
      </c>
      <c r="O1824" t="str">
        <f>VLOOKUP(Table1[[#This Row],[Order ID]],Status!A:B, 2,FALSE)</f>
        <v>Returned</v>
      </c>
      <c r="P1824" s="2" t="s">
        <v>46</v>
      </c>
      <c r="Q1824" s="2">
        <v>1</v>
      </c>
      <c r="R1824" s="2" t="s">
        <v>24</v>
      </c>
      <c r="S1824" s="11" t="str">
        <f t="shared" si="143"/>
        <v>Rendah</v>
      </c>
      <c r="T1824" s="2" t="str">
        <f t="shared" si="144"/>
        <v>Sangat Rendah</v>
      </c>
    </row>
    <row r="1825" spans="1:20" ht="15.75" customHeight="1" x14ac:dyDescent="0.3">
      <c r="A1825" s="4" t="s">
        <v>392</v>
      </c>
      <c r="B1825" s="3">
        <v>45580.862592592603</v>
      </c>
      <c r="C1825" s="2" t="s">
        <v>201</v>
      </c>
      <c r="D1825" s="2" t="s">
        <v>107</v>
      </c>
      <c r="E1825" s="2" t="s">
        <v>138</v>
      </c>
      <c r="F1825" s="2">
        <v>17000</v>
      </c>
      <c r="G1825" s="2">
        <v>5</v>
      </c>
      <c r="H1825" s="2">
        <v>0</v>
      </c>
      <c r="I1825">
        <f t="shared" si="140"/>
        <v>85000</v>
      </c>
      <c r="J1825">
        <f t="shared" si="141"/>
        <v>0</v>
      </c>
      <c r="K1825" s="6">
        <f t="shared" si="142"/>
        <v>85000</v>
      </c>
      <c r="L1825" s="2">
        <v>0</v>
      </c>
      <c r="M1825" s="6">
        <f>Table1[[#This Row],[Total Sales]]+Table1[[#This Row],[Shipping Fee]]</f>
        <v>85000</v>
      </c>
      <c r="N1825" s="2" t="s">
        <v>35</v>
      </c>
      <c r="O1825" t="str">
        <f>VLOOKUP(Table1[[#This Row],[Order ID]],Status!A:B, 2,FALSE)</f>
        <v>Returned</v>
      </c>
      <c r="P1825" s="2" t="s">
        <v>46</v>
      </c>
      <c r="Q1825" s="2">
        <v>1</v>
      </c>
      <c r="R1825" s="2" t="s">
        <v>24</v>
      </c>
      <c r="S1825" s="11" t="str">
        <f t="shared" si="143"/>
        <v>Rendah</v>
      </c>
      <c r="T1825" s="2" t="str">
        <f t="shared" si="144"/>
        <v>Sangat Rendah</v>
      </c>
    </row>
    <row r="1826" spans="1:20" ht="15.75" customHeight="1" x14ac:dyDescent="0.3">
      <c r="A1826" s="4" t="s">
        <v>390</v>
      </c>
      <c r="B1826" s="3">
        <v>45580.737210648149</v>
      </c>
      <c r="C1826" s="2" t="s">
        <v>391</v>
      </c>
      <c r="D1826" s="2" t="s">
        <v>122</v>
      </c>
      <c r="E1826" s="2" t="s">
        <v>186</v>
      </c>
      <c r="F1826" s="2">
        <v>45000</v>
      </c>
      <c r="G1826" s="2">
        <v>3</v>
      </c>
      <c r="H1826" s="2">
        <v>0</v>
      </c>
      <c r="I1826">
        <f t="shared" si="140"/>
        <v>135000</v>
      </c>
      <c r="J1826">
        <f t="shared" si="141"/>
        <v>0</v>
      </c>
      <c r="K1826" s="6">
        <f t="shared" si="142"/>
        <v>135000</v>
      </c>
      <c r="L1826" s="2">
        <v>78000</v>
      </c>
      <c r="M1826" s="6">
        <f>Table1[[#This Row],[Total Sales]]+Table1[[#This Row],[Shipping Fee]]</f>
        <v>213000</v>
      </c>
      <c r="N1826" s="2" t="s">
        <v>35</v>
      </c>
      <c r="O1826" t="str">
        <f>VLOOKUP(Table1[[#This Row],[Order ID]],Status!A:B, 2,FALSE)</f>
        <v>Completed</v>
      </c>
      <c r="P1826" s="2" t="s">
        <v>46</v>
      </c>
      <c r="Q1826" s="2">
        <v>5</v>
      </c>
      <c r="R1826" s="2" t="s">
        <v>24</v>
      </c>
      <c r="S1826" s="11" t="str">
        <f t="shared" si="143"/>
        <v>Bagus</v>
      </c>
      <c r="T1826" s="2" t="str">
        <f t="shared" si="144"/>
        <v>Sangat Rendah</v>
      </c>
    </row>
    <row r="1827" spans="1:20" ht="15.75" customHeight="1" x14ac:dyDescent="0.3">
      <c r="A1827" s="4" t="s">
        <v>388</v>
      </c>
      <c r="B1827" s="3">
        <v>45580.726215277777</v>
      </c>
      <c r="C1827" s="2" t="s">
        <v>389</v>
      </c>
      <c r="D1827" s="2" t="s">
        <v>182</v>
      </c>
      <c r="E1827" s="2" t="s">
        <v>186</v>
      </c>
      <c r="F1827" s="2">
        <v>45000</v>
      </c>
      <c r="G1827" s="2">
        <v>5</v>
      </c>
      <c r="H1827" s="2">
        <v>10</v>
      </c>
      <c r="I1827">
        <f t="shared" si="140"/>
        <v>225000</v>
      </c>
      <c r="J1827">
        <f t="shared" si="141"/>
        <v>22500</v>
      </c>
      <c r="K1827" s="6">
        <f t="shared" si="142"/>
        <v>202500</v>
      </c>
      <c r="L1827" s="2">
        <v>48000</v>
      </c>
      <c r="M1827" s="6">
        <f>Table1[[#This Row],[Total Sales]]+Table1[[#This Row],[Shipping Fee]]</f>
        <v>250500</v>
      </c>
      <c r="N1827" s="2" t="s">
        <v>29</v>
      </c>
      <c r="O1827" t="str">
        <f>VLOOKUP(Table1[[#This Row],[Order ID]],Status!A:B, 2,FALSE)</f>
        <v>Completed</v>
      </c>
      <c r="P1827" s="2" t="s">
        <v>23</v>
      </c>
      <c r="Q1827" s="2">
        <v>4</v>
      </c>
      <c r="R1827" s="2" t="s">
        <v>24</v>
      </c>
      <c r="S1827" s="11" t="str">
        <f t="shared" si="143"/>
        <v>Bagus</v>
      </c>
      <c r="T1827" s="2" t="str">
        <f t="shared" si="144"/>
        <v>Tinggi</v>
      </c>
    </row>
    <row r="1828" spans="1:20" ht="15.75" customHeight="1" x14ac:dyDescent="0.3">
      <c r="A1828" s="4" t="s">
        <v>386</v>
      </c>
      <c r="B1828" s="3">
        <v>45580.70553240741</v>
      </c>
      <c r="C1828" s="2" t="s">
        <v>387</v>
      </c>
      <c r="D1828" s="2" t="s">
        <v>49</v>
      </c>
      <c r="E1828" s="2" t="s">
        <v>62</v>
      </c>
      <c r="F1828" s="2">
        <v>50000</v>
      </c>
      <c r="G1828" s="2">
        <v>1</v>
      </c>
      <c r="H1828" s="2">
        <v>5</v>
      </c>
      <c r="I1828">
        <f t="shared" si="140"/>
        <v>50000</v>
      </c>
      <c r="J1828">
        <f t="shared" si="141"/>
        <v>2500</v>
      </c>
      <c r="K1828" s="6">
        <f t="shared" si="142"/>
        <v>47500</v>
      </c>
      <c r="L1828" s="2">
        <v>43000</v>
      </c>
      <c r="M1828" s="6">
        <f>Table1[[#This Row],[Total Sales]]+Table1[[#This Row],[Shipping Fee]]</f>
        <v>90500</v>
      </c>
      <c r="N1828" s="2" t="s">
        <v>35</v>
      </c>
      <c r="O1828" t="str">
        <f>VLOOKUP(Table1[[#This Row],[Order ID]],Status!A:B, 2,FALSE)</f>
        <v>Completed</v>
      </c>
      <c r="P1828" s="2" t="s">
        <v>36</v>
      </c>
      <c r="Q1828" s="2">
        <v>3</v>
      </c>
      <c r="R1828" s="2" t="s">
        <v>37</v>
      </c>
      <c r="S1828" s="11" t="str">
        <f t="shared" si="143"/>
        <v>Standar</v>
      </c>
      <c r="T1828" s="2" t="str">
        <f t="shared" si="144"/>
        <v>Sangat Rendah</v>
      </c>
    </row>
    <row r="1829" spans="1:20" ht="15.75" customHeight="1" x14ac:dyDescent="0.3">
      <c r="A1829" s="4" t="s">
        <v>384</v>
      </c>
      <c r="B1829" s="3">
        <v>45580.58116898148</v>
      </c>
      <c r="C1829" s="2" t="s">
        <v>385</v>
      </c>
      <c r="D1829" s="2" t="s">
        <v>375</v>
      </c>
      <c r="E1829" s="2" t="s">
        <v>71</v>
      </c>
      <c r="F1829" s="2">
        <v>40000</v>
      </c>
      <c r="G1829" s="2">
        <v>2</v>
      </c>
      <c r="H1829" s="2">
        <v>15</v>
      </c>
      <c r="I1829">
        <f t="shared" si="140"/>
        <v>80000</v>
      </c>
      <c r="J1829">
        <f t="shared" si="141"/>
        <v>12000</v>
      </c>
      <c r="K1829" s="6">
        <f t="shared" si="142"/>
        <v>68000</v>
      </c>
      <c r="L1829" s="2">
        <v>21000</v>
      </c>
      <c r="M1829" s="6">
        <f>Table1[[#This Row],[Total Sales]]+Table1[[#This Row],[Shipping Fee]]</f>
        <v>89000</v>
      </c>
      <c r="N1829" s="2" t="s">
        <v>63</v>
      </c>
      <c r="O1829" t="str">
        <f>VLOOKUP(Table1[[#This Row],[Order ID]],Status!A:B, 2,FALSE)</f>
        <v>Cancelled</v>
      </c>
      <c r="P1829" s="2" t="s">
        <v>82</v>
      </c>
      <c r="Q1829" s="2">
        <v>5</v>
      </c>
      <c r="R1829" s="2" t="s">
        <v>24</v>
      </c>
      <c r="S1829" s="11" t="str">
        <f t="shared" si="143"/>
        <v>Bagus</v>
      </c>
      <c r="T1829" s="2" t="str">
        <f t="shared" si="144"/>
        <v>Normal</v>
      </c>
    </row>
    <row r="1830" spans="1:20" ht="15.75" customHeight="1" x14ac:dyDescent="0.3">
      <c r="A1830" s="4" t="s">
        <v>382</v>
      </c>
      <c r="B1830" s="3">
        <v>45580.433888888889</v>
      </c>
      <c r="C1830" s="2" t="s">
        <v>383</v>
      </c>
      <c r="D1830" s="2" t="s">
        <v>122</v>
      </c>
      <c r="E1830" s="2" t="s">
        <v>45</v>
      </c>
      <c r="F1830" s="2">
        <v>40000</v>
      </c>
      <c r="G1830" s="2">
        <v>4</v>
      </c>
      <c r="H1830" s="2">
        <v>5</v>
      </c>
      <c r="I1830">
        <f t="shared" si="140"/>
        <v>160000</v>
      </c>
      <c r="J1830">
        <f t="shared" si="141"/>
        <v>8000</v>
      </c>
      <c r="K1830" s="6">
        <f t="shared" si="142"/>
        <v>152000</v>
      </c>
      <c r="L1830" s="2">
        <v>78000</v>
      </c>
      <c r="M1830" s="6">
        <f>Table1[[#This Row],[Total Sales]]+Table1[[#This Row],[Shipping Fee]]</f>
        <v>230000</v>
      </c>
      <c r="N1830" s="2" t="s">
        <v>35</v>
      </c>
      <c r="O1830" t="str">
        <f>VLOOKUP(Table1[[#This Row],[Order ID]],Status!A:B, 2,FALSE)</f>
        <v>Completed</v>
      </c>
      <c r="P1830" s="2" t="s">
        <v>23</v>
      </c>
      <c r="Q1830" s="2">
        <v>5</v>
      </c>
      <c r="R1830" s="2" t="s">
        <v>24</v>
      </c>
      <c r="S1830" s="11" t="str">
        <f t="shared" si="143"/>
        <v>Bagus</v>
      </c>
      <c r="T1830" s="2" t="str">
        <f t="shared" si="144"/>
        <v>Rendah</v>
      </c>
    </row>
    <row r="1831" spans="1:20" ht="15.75" customHeight="1" x14ac:dyDescent="0.3">
      <c r="A1831" s="4" t="s">
        <v>380</v>
      </c>
      <c r="B1831" s="3">
        <v>45580.332685185182</v>
      </c>
      <c r="C1831" s="2" t="s">
        <v>381</v>
      </c>
      <c r="D1831" s="2" t="s">
        <v>103</v>
      </c>
      <c r="E1831" s="2" t="s">
        <v>41</v>
      </c>
      <c r="F1831" s="2">
        <v>4000</v>
      </c>
      <c r="G1831" s="2">
        <v>2</v>
      </c>
      <c r="H1831" s="2">
        <v>0</v>
      </c>
      <c r="I1831">
        <f t="shared" si="140"/>
        <v>8000</v>
      </c>
      <c r="J1831">
        <f t="shared" si="141"/>
        <v>0</v>
      </c>
      <c r="K1831" s="6">
        <f t="shared" si="142"/>
        <v>8000</v>
      </c>
      <c r="L1831" s="2">
        <v>85000</v>
      </c>
      <c r="M1831" s="6">
        <f>Table1[[#This Row],[Total Sales]]+Table1[[#This Row],[Shipping Fee]]</f>
        <v>93000</v>
      </c>
      <c r="N1831" s="2" t="s">
        <v>63</v>
      </c>
      <c r="O1831" t="str">
        <f>VLOOKUP(Table1[[#This Row],[Order ID]],Status!A:B, 2,FALSE)</f>
        <v>Returned</v>
      </c>
      <c r="P1831" s="2" t="s">
        <v>23</v>
      </c>
      <c r="Q1831" s="2">
        <v>3</v>
      </c>
      <c r="R1831" s="2" t="s">
        <v>24</v>
      </c>
      <c r="S1831" s="11" t="str">
        <f t="shared" si="143"/>
        <v>Standar</v>
      </c>
      <c r="T1831" s="2" t="str">
        <f t="shared" si="144"/>
        <v>Sangat Rendah</v>
      </c>
    </row>
    <row r="1832" spans="1:20" ht="15.75" customHeight="1" x14ac:dyDescent="0.3">
      <c r="A1832" s="4" t="s">
        <v>378</v>
      </c>
      <c r="B1832" s="3">
        <v>45580.081608796303</v>
      </c>
      <c r="C1832" s="2" t="s">
        <v>379</v>
      </c>
      <c r="D1832" s="2" t="s">
        <v>27</v>
      </c>
      <c r="E1832" s="2" t="s">
        <v>190</v>
      </c>
      <c r="F1832" s="2">
        <v>35000</v>
      </c>
      <c r="G1832" s="2">
        <v>5</v>
      </c>
      <c r="H1832" s="2">
        <v>10</v>
      </c>
      <c r="I1832">
        <f t="shared" si="140"/>
        <v>175000</v>
      </c>
      <c r="J1832">
        <f t="shared" si="141"/>
        <v>17500</v>
      </c>
      <c r="K1832" s="6">
        <f t="shared" si="142"/>
        <v>157500</v>
      </c>
      <c r="L1832" s="2">
        <v>17000</v>
      </c>
      <c r="M1832" s="6">
        <f>Table1[[#This Row],[Total Sales]]+Table1[[#This Row],[Shipping Fee]]</f>
        <v>174500</v>
      </c>
      <c r="N1832" s="2" t="s">
        <v>35</v>
      </c>
      <c r="O1832" t="str">
        <f>VLOOKUP(Table1[[#This Row],[Order ID]],Status!A:B, 2,FALSE)</f>
        <v>Completed</v>
      </c>
      <c r="P1832" s="2" t="s">
        <v>46</v>
      </c>
      <c r="Q1832" s="2">
        <v>2</v>
      </c>
      <c r="R1832" s="2" t="s">
        <v>24</v>
      </c>
      <c r="S1832" s="11" t="str">
        <f t="shared" si="143"/>
        <v>Rendah</v>
      </c>
      <c r="T1832" s="2" t="str">
        <f t="shared" si="144"/>
        <v>Normal</v>
      </c>
    </row>
    <row r="1833" spans="1:20" ht="15.75" customHeight="1" x14ac:dyDescent="0.3">
      <c r="A1833" s="4" t="s">
        <v>376</v>
      </c>
      <c r="B1833" s="3">
        <v>45579.511793981481</v>
      </c>
      <c r="C1833" s="2" t="s">
        <v>377</v>
      </c>
      <c r="D1833" s="2" t="s">
        <v>182</v>
      </c>
      <c r="E1833" s="2" t="s">
        <v>85</v>
      </c>
      <c r="F1833" s="2">
        <v>35000</v>
      </c>
      <c r="G1833" s="2">
        <v>5</v>
      </c>
      <c r="H1833" s="2">
        <v>15</v>
      </c>
      <c r="I1833">
        <f t="shared" si="140"/>
        <v>175000</v>
      </c>
      <c r="J1833">
        <f t="shared" si="141"/>
        <v>26250</v>
      </c>
      <c r="K1833" s="6">
        <f t="shared" si="142"/>
        <v>148750</v>
      </c>
      <c r="L1833" s="2">
        <v>48000</v>
      </c>
      <c r="M1833" s="6">
        <f>Table1[[#This Row],[Total Sales]]+Table1[[#This Row],[Shipping Fee]]</f>
        <v>196750</v>
      </c>
      <c r="N1833" s="2" t="s">
        <v>29</v>
      </c>
      <c r="O1833" t="str">
        <f>VLOOKUP(Table1[[#This Row],[Order ID]],Status!A:B, 2,FALSE)</f>
        <v>Completed</v>
      </c>
      <c r="P1833" s="2" t="s">
        <v>46</v>
      </c>
      <c r="Q1833" s="2">
        <v>4</v>
      </c>
      <c r="R1833" s="2" t="s">
        <v>24</v>
      </c>
      <c r="S1833" s="11" t="str">
        <f t="shared" si="143"/>
        <v>Bagus</v>
      </c>
      <c r="T1833" s="2" t="str">
        <f t="shared" si="144"/>
        <v>Tinggi</v>
      </c>
    </row>
    <row r="1834" spans="1:20" ht="15.75" customHeight="1" x14ac:dyDescent="0.3">
      <c r="A1834" s="4" t="s">
        <v>373</v>
      </c>
      <c r="B1834" s="3">
        <v>45579.47074074074</v>
      </c>
      <c r="C1834" s="2" t="s">
        <v>374</v>
      </c>
      <c r="D1834" s="2" t="s">
        <v>375</v>
      </c>
      <c r="E1834" s="2" t="s">
        <v>110</v>
      </c>
      <c r="F1834" s="2">
        <v>6000</v>
      </c>
      <c r="G1834" s="2">
        <v>5</v>
      </c>
      <c r="H1834" s="2">
        <v>5</v>
      </c>
      <c r="I1834">
        <f t="shared" si="140"/>
        <v>30000</v>
      </c>
      <c r="J1834">
        <f t="shared" si="141"/>
        <v>1500</v>
      </c>
      <c r="K1834" s="6">
        <f t="shared" si="142"/>
        <v>28500</v>
      </c>
      <c r="L1834" s="2">
        <v>21000</v>
      </c>
      <c r="M1834" s="6">
        <f>Table1[[#This Row],[Total Sales]]+Table1[[#This Row],[Shipping Fee]]</f>
        <v>49500</v>
      </c>
      <c r="N1834" s="2" t="s">
        <v>63</v>
      </c>
      <c r="O1834" t="str">
        <f>VLOOKUP(Table1[[#This Row],[Order ID]],Status!A:B, 2,FALSE)</f>
        <v>Completed</v>
      </c>
      <c r="P1834" s="2" t="s">
        <v>82</v>
      </c>
      <c r="Q1834" s="2">
        <v>4</v>
      </c>
      <c r="R1834" s="2" t="s">
        <v>37</v>
      </c>
      <c r="S1834" s="11" t="str">
        <f t="shared" si="143"/>
        <v>Bagus</v>
      </c>
      <c r="T1834" s="2" t="str">
        <f t="shared" si="144"/>
        <v>Sangat Rendah</v>
      </c>
    </row>
    <row r="1835" spans="1:20" ht="15.75" customHeight="1" x14ac:dyDescent="0.3">
      <c r="A1835" s="4" t="s">
        <v>372</v>
      </c>
      <c r="B1835" s="3">
        <v>45579.436226851853</v>
      </c>
      <c r="C1835" s="2" t="s">
        <v>26</v>
      </c>
      <c r="D1835" s="2" t="s">
        <v>27</v>
      </c>
      <c r="E1835" s="2" t="s">
        <v>93</v>
      </c>
      <c r="F1835" s="2">
        <v>25000</v>
      </c>
      <c r="G1835" s="2">
        <v>1</v>
      </c>
      <c r="H1835" s="2">
        <v>5</v>
      </c>
      <c r="I1835">
        <f t="shared" si="140"/>
        <v>25000</v>
      </c>
      <c r="J1835">
        <f t="shared" si="141"/>
        <v>1250</v>
      </c>
      <c r="K1835" s="6">
        <f t="shared" si="142"/>
        <v>23750</v>
      </c>
      <c r="L1835" s="2">
        <v>17000</v>
      </c>
      <c r="M1835" s="6">
        <f>Table1[[#This Row],[Total Sales]]+Table1[[#This Row],[Shipping Fee]]</f>
        <v>40750</v>
      </c>
      <c r="N1835" s="2" t="s">
        <v>35</v>
      </c>
      <c r="O1835" t="str">
        <f>VLOOKUP(Table1[[#This Row],[Order ID]],Status!A:B, 2,FALSE)</f>
        <v>Completed</v>
      </c>
      <c r="P1835" s="2" t="s">
        <v>30</v>
      </c>
      <c r="Q1835" s="2">
        <v>2</v>
      </c>
      <c r="R1835" s="2" t="s">
        <v>24</v>
      </c>
      <c r="S1835" s="11" t="str">
        <f t="shared" si="143"/>
        <v>Rendah</v>
      </c>
      <c r="T1835" s="2" t="str">
        <f t="shared" si="144"/>
        <v>Sangat Rendah</v>
      </c>
    </row>
    <row r="1836" spans="1:20" ht="15.75" customHeight="1" x14ac:dyDescent="0.3">
      <c r="A1836" s="4" t="s">
        <v>370</v>
      </c>
      <c r="B1836" s="3">
        <v>45579.285381944443</v>
      </c>
      <c r="C1836" s="2" t="s">
        <v>371</v>
      </c>
      <c r="D1836" s="2" t="s">
        <v>27</v>
      </c>
      <c r="E1836" s="2" t="s">
        <v>174</v>
      </c>
      <c r="F1836" s="2">
        <v>10000</v>
      </c>
      <c r="G1836" s="2">
        <v>3</v>
      </c>
      <c r="H1836" s="2">
        <v>0</v>
      </c>
      <c r="I1836">
        <f t="shared" si="140"/>
        <v>30000</v>
      </c>
      <c r="J1836">
        <f t="shared" si="141"/>
        <v>0</v>
      </c>
      <c r="K1836" s="6">
        <f t="shared" si="142"/>
        <v>30000</v>
      </c>
      <c r="L1836" s="2">
        <v>17000</v>
      </c>
      <c r="M1836" s="6">
        <f>Table1[[#This Row],[Total Sales]]+Table1[[#This Row],[Shipping Fee]]</f>
        <v>47000</v>
      </c>
      <c r="N1836" s="2" t="s">
        <v>22</v>
      </c>
      <c r="O1836" t="str">
        <f>VLOOKUP(Table1[[#This Row],[Order ID]],Status!A:B, 2,FALSE)</f>
        <v>Completed</v>
      </c>
      <c r="P1836" s="2" t="s">
        <v>36</v>
      </c>
      <c r="Q1836" s="2">
        <v>3</v>
      </c>
      <c r="R1836" s="2" t="s">
        <v>24</v>
      </c>
      <c r="S1836" s="11" t="str">
        <f t="shared" si="143"/>
        <v>Standar</v>
      </c>
      <c r="T1836" s="2" t="str">
        <f t="shared" si="144"/>
        <v>Sangat Rendah</v>
      </c>
    </row>
    <row r="1837" spans="1:20" ht="15.75" customHeight="1" x14ac:dyDescent="0.3">
      <c r="A1837" s="4" t="s">
        <v>369</v>
      </c>
      <c r="B1837" s="3">
        <v>45579.089201388888</v>
      </c>
      <c r="C1837" s="2" t="s">
        <v>326</v>
      </c>
      <c r="D1837" s="2" t="s">
        <v>262</v>
      </c>
      <c r="E1837" s="2" t="s">
        <v>186</v>
      </c>
      <c r="F1837" s="2">
        <v>45000</v>
      </c>
      <c r="G1837" s="2">
        <v>4</v>
      </c>
      <c r="H1837" s="2">
        <v>15</v>
      </c>
      <c r="I1837">
        <f t="shared" si="140"/>
        <v>180000</v>
      </c>
      <c r="J1837">
        <f t="shared" si="141"/>
        <v>27000</v>
      </c>
      <c r="K1837" s="6">
        <f t="shared" si="142"/>
        <v>153000</v>
      </c>
      <c r="L1837" s="2">
        <v>18000</v>
      </c>
      <c r="M1837" s="6">
        <f>Table1[[#This Row],[Total Sales]]+Table1[[#This Row],[Shipping Fee]]</f>
        <v>171000</v>
      </c>
      <c r="N1837" s="2" t="s">
        <v>29</v>
      </c>
      <c r="O1837" t="str">
        <f>VLOOKUP(Table1[[#This Row],[Order ID]],Status!A:B, 2,FALSE)</f>
        <v>Completed</v>
      </c>
      <c r="P1837" s="2" t="s">
        <v>36</v>
      </c>
      <c r="Q1837" s="2">
        <v>5</v>
      </c>
      <c r="R1837" s="2" t="s">
        <v>37</v>
      </c>
      <c r="S1837" s="11" t="str">
        <f t="shared" si="143"/>
        <v>Bagus</v>
      </c>
      <c r="T1837" s="2" t="str">
        <f t="shared" si="144"/>
        <v>Tinggi</v>
      </c>
    </row>
    <row r="1838" spans="1:20" ht="15.75" customHeight="1" x14ac:dyDescent="0.3">
      <c r="A1838" s="4" t="s">
        <v>367</v>
      </c>
      <c r="B1838" s="3">
        <v>45579.019826388889</v>
      </c>
      <c r="C1838" s="2" t="s">
        <v>368</v>
      </c>
      <c r="D1838" s="2" t="s">
        <v>113</v>
      </c>
      <c r="E1838" s="2" t="s">
        <v>88</v>
      </c>
      <c r="F1838" s="2">
        <v>14000</v>
      </c>
      <c r="G1838" s="2">
        <v>1</v>
      </c>
      <c r="H1838" s="2">
        <v>0</v>
      </c>
      <c r="I1838">
        <f t="shared" si="140"/>
        <v>14000</v>
      </c>
      <c r="J1838">
        <f t="shared" si="141"/>
        <v>0</v>
      </c>
      <c r="K1838" s="6">
        <f t="shared" si="142"/>
        <v>14000</v>
      </c>
      <c r="L1838" s="2">
        <v>18000</v>
      </c>
      <c r="M1838" s="6">
        <f>Table1[[#This Row],[Total Sales]]+Table1[[#This Row],[Shipping Fee]]</f>
        <v>32000</v>
      </c>
      <c r="N1838" s="2" t="s">
        <v>35</v>
      </c>
      <c r="O1838" t="str">
        <f>VLOOKUP(Table1[[#This Row],[Order ID]],Status!A:B, 2,FALSE)</f>
        <v>Completed</v>
      </c>
      <c r="P1838" s="2" t="s">
        <v>36</v>
      </c>
      <c r="Q1838" s="2">
        <v>5</v>
      </c>
      <c r="R1838" s="2" t="s">
        <v>37</v>
      </c>
      <c r="S1838" s="11" t="str">
        <f t="shared" si="143"/>
        <v>Bagus</v>
      </c>
      <c r="T1838" s="2" t="str">
        <f t="shared" si="144"/>
        <v>Sangat Rendah</v>
      </c>
    </row>
    <row r="1839" spans="1:20" ht="15.75" customHeight="1" x14ac:dyDescent="0.3">
      <c r="A1839" s="4" t="s">
        <v>366</v>
      </c>
      <c r="B1839" s="3">
        <v>45578.389340277783</v>
      </c>
      <c r="C1839" s="2" t="s">
        <v>140</v>
      </c>
      <c r="D1839" s="2" t="s">
        <v>92</v>
      </c>
      <c r="E1839" s="2" t="s">
        <v>110</v>
      </c>
      <c r="F1839" s="2">
        <v>6000</v>
      </c>
      <c r="G1839" s="2">
        <v>3</v>
      </c>
      <c r="H1839" s="2">
        <v>15</v>
      </c>
      <c r="I1839">
        <f t="shared" si="140"/>
        <v>18000</v>
      </c>
      <c r="J1839">
        <f t="shared" si="141"/>
        <v>2700</v>
      </c>
      <c r="K1839" s="6">
        <f t="shared" si="142"/>
        <v>15300</v>
      </c>
      <c r="L1839" s="2">
        <v>30000</v>
      </c>
      <c r="M1839" s="6">
        <f>Table1[[#This Row],[Total Sales]]+Table1[[#This Row],[Shipping Fee]]</f>
        <v>45300</v>
      </c>
      <c r="N1839" s="2" t="s">
        <v>63</v>
      </c>
      <c r="O1839" t="str">
        <f>VLOOKUP(Table1[[#This Row],[Order ID]],Status!A:B, 2,FALSE)</f>
        <v>Completed</v>
      </c>
      <c r="P1839" s="2" t="s">
        <v>36</v>
      </c>
      <c r="Q1839" s="2">
        <v>5</v>
      </c>
      <c r="R1839" s="2" t="s">
        <v>24</v>
      </c>
      <c r="S1839" s="11" t="str">
        <f t="shared" si="143"/>
        <v>Bagus</v>
      </c>
      <c r="T1839" s="2" t="str">
        <f t="shared" si="144"/>
        <v>Sangat Rendah</v>
      </c>
    </row>
    <row r="1840" spans="1:20" ht="15.75" customHeight="1" x14ac:dyDescent="0.3">
      <c r="A1840" s="4" t="s">
        <v>364</v>
      </c>
      <c r="B1840" s="3">
        <v>45578.308217592603</v>
      </c>
      <c r="C1840" s="2" t="s">
        <v>365</v>
      </c>
      <c r="D1840" s="2" t="s">
        <v>61</v>
      </c>
      <c r="E1840" s="2" t="s">
        <v>138</v>
      </c>
      <c r="F1840" s="2">
        <v>17000</v>
      </c>
      <c r="G1840" s="2">
        <v>3</v>
      </c>
      <c r="H1840" s="2">
        <v>20</v>
      </c>
      <c r="I1840">
        <f t="shared" si="140"/>
        <v>51000</v>
      </c>
      <c r="J1840">
        <f t="shared" si="141"/>
        <v>10200</v>
      </c>
      <c r="K1840" s="6">
        <f t="shared" si="142"/>
        <v>40800</v>
      </c>
      <c r="L1840" s="2">
        <v>26000</v>
      </c>
      <c r="M1840" s="6">
        <f>Table1[[#This Row],[Total Sales]]+Table1[[#This Row],[Shipping Fee]]</f>
        <v>66800</v>
      </c>
      <c r="N1840" s="2" t="s">
        <v>63</v>
      </c>
      <c r="O1840" t="str">
        <f>VLOOKUP(Table1[[#This Row],[Order ID]],Status!A:B, 2,FALSE)</f>
        <v>Completed</v>
      </c>
      <c r="P1840" s="2" t="s">
        <v>23</v>
      </c>
      <c r="Q1840" s="2">
        <v>3</v>
      </c>
      <c r="R1840" s="2" t="s">
        <v>24</v>
      </c>
      <c r="S1840" s="11" t="str">
        <f t="shared" si="143"/>
        <v>Standar</v>
      </c>
      <c r="T1840" s="2" t="str">
        <f t="shared" si="144"/>
        <v>Normal</v>
      </c>
    </row>
    <row r="1841" spans="1:20" ht="15.75" customHeight="1" x14ac:dyDescent="0.3">
      <c r="A1841" s="4" t="s">
        <v>362</v>
      </c>
      <c r="B1841" s="3">
        <v>45578.09033564815</v>
      </c>
      <c r="C1841" s="2" t="s">
        <v>363</v>
      </c>
      <c r="D1841" s="2" t="s">
        <v>189</v>
      </c>
      <c r="E1841" s="2" t="s">
        <v>75</v>
      </c>
      <c r="F1841" s="2">
        <v>55000</v>
      </c>
      <c r="G1841" s="2">
        <v>1</v>
      </c>
      <c r="H1841" s="2">
        <v>5</v>
      </c>
      <c r="I1841">
        <f t="shared" si="140"/>
        <v>55000</v>
      </c>
      <c r="J1841">
        <f t="shared" si="141"/>
        <v>2750</v>
      </c>
      <c r="K1841" s="6">
        <f t="shared" si="142"/>
        <v>52250</v>
      </c>
      <c r="L1841" s="2">
        <v>57000</v>
      </c>
      <c r="M1841" s="6">
        <f>Table1[[#This Row],[Total Sales]]+Table1[[#This Row],[Shipping Fee]]</f>
        <v>109250</v>
      </c>
      <c r="N1841" s="2" t="s">
        <v>35</v>
      </c>
      <c r="O1841" t="str">
        <f>VLOOKUP(Table1[[#This Row],[Order ID]],Status!A:B, 2,FALSE)</f>
        <v>Completed</v>
      </c>
      <c r="P1841" s="2" t="s">
        <v>30</v>
      </c>
      <c r="Q1841" s="2">
        <v>2</v>
      </c>
      <c r="R1841" s="2" t="s">
        <v>24</v>
      </c>
      <c r="S1841" s="11" t="str">
        <f t="shared" si="143"/>
        <v>Rendah</v>
      </c>
      <c r="T1841" s="2" t="str">
        <f t="shared" si="144"/>
        <v>Sangat Rendah</v>
      </c>
    </row>
    <row r="1842" spans="1:20" ht="15.75" customHeight="1" x14ac:dyDescent="0.3">
      <c r="A1842" s="4" t="s">
        <v>360</v>
      </c>
      <c r="B1842" s="3">
        <v>45578.0231712963</v>
      </c>
      <c r="C1842" s="2" t="s">
        <v>361</v>
      </c>
      <c r="D1842" s="2" t="s">
        <v>70</v>
      </c>
      <c r="E1842" s="2" t="s">
        <v>123</v>
      </c>
      <c r="F1842" s="2">
        <v>22000</v>
      </c>
      <c r="G1842" s="2">
        <v>4</v>
      </c>
      <c r="H1842" s="2">
        <v>5</v>
      </c>
      <c r="I1842">
        <f t="shared" si="140"/>
        <v>88000</v>
      </c>
      <c r="J1842">
        <f t="shared" si="141"/>
        <v>4400</v>
      </c>
      <c r="K1842" s="6">
        <f t="shared" si="142"/>
        <v>83600</v>
      </c>
      <c r="L1842" s="2">
        <v>89000</v>
      </c>
      <c r="M1842" s="6">
        <f>Table1[[#This Row],[Total Sales]]+Table1[[#This Row],[Shipping Fee]]</f>
        <v>172600</v>
      </c>
      <c r="N1842" s="2" t="s">
        <v>29</v>
      </c>
      <c r="O1842" t="str">
        <f>VLOOKUP(Table1[[#This Row],[Order ID]],Status!A:B, 2,FALSE)</f>
        <v>Completed</v>
      </c>
      <c r="P1842" s="2" t="s">
        <v>46</v>
      </c>
      <c r="Q1842" s="2">
        <v>5</v>
      </c>
      <c r="R1842" s="2" t="s">
        <v>37</v>
      </c>
      <c r="S1842" s="11" t="str">
        <f t="shared" si="143"/>
        <v>Bagus</v>
      </c>
      <c r="T1842" s="2" t="str">
        <f t="shared" si="144"/>
        <v>Sangat Rendah</v>
      </c>
    </row>
    <row r="1843" spans="1:20" ht="15.75" customHeight="1" x14ac:dyDescent="0.3">
      <c r="A1843" s="4" t="s">
        <v>358</v>
      </c>
      <c r="B1843" s="3">
        <v>45577.210648148153</v>
      </c>
      <c r="C1843" s="2" t="s">
        <v>359</v>
      </c>
      <c r="D1843" s="2" t="s">
        <v>70</v>
      </c>
      <c r="E1843" s="2" t="s">
        <v>58</v>
      </c>
      <c r="F1843" s="2">
        <v>16000</v>
      </c>
      <c r="G1843" s="2">
        <v>4</v>
      </c>
      <c r="H1843" s="2">
        <v>15</v>
      </c>
      <c r="I1843">
        <f t="shared" si="140"/>
        <v>64000</v>
      </c>
      <c r="J1843">
        <f t="shared" si="141"/>
        <v>9600</v>
      </c>
      <c r="K1843" s="6">
        <f t="shared" si="142"/>
        <v>54400</v>
      </c>
      <c r="L1843" s="2">
        <v>89000</v>
      </c>
      <c r="M1843" s="6">
        <f>Table1[[#This Row],[Total Sales]]+Table1[[#This Row],[Shipping Fee]]</f>
        <v>143400</v>
      </c>
      <c r="N1843" s="2" t="s">
        <v>35</v>
      </c>
      <c r="O1843" t="str">
        <f>VLOOKUP(Table1[[#This Row],[Order ID]],Status!A:B, 2,FALSE)</f>
        <v>Completed</v>
      </c>
      <c r="P1843" s="2" t="s">
        <v>46</v>
      </c>
      <c r="Q1843" s="2">
        <v>2</v>
      </c>
      <c r="R1843" s="2" t="s">
        <v>24</v>
      </c>
      <c r="S1843" s="11" t="str">
        <f t="shared" si="143"/>
        <v>Rendah</v>
      </c>
      <c r="T1843" s="2" t="str">
        <f t="shared" si="144"/>
        <v>Rendah</v>
      </c>
    </row>
    <row r="1844" spans="1:20" ht="15.75" customHeight="1" x14ac:dyDescent="0.3">
      <c r="A1844" s="4" t="s">
        <v>357</v>
      </c>
      <c r="B1844" s="3">
        <v>45577.086134259262</v>
      </c>
      <c r="C1844" s="2" t="s">
        <v>140</v>
      </c>
      <c r="D1844" s="2" t="s">
        <v>92</v>
      </c>
      <c r="E1844" s="2" t="s">
        <v>67</v>
      </c>
      <c r="F1844" s="2">
        <v>15000</v>
      </c>
      <c r="G1844" s="2">
        <v>3</v>
      </c>
      <c r="H1844" s="2">
        <v>20</v>
      </c>
      <c r="I1844">
        <f t="shared" si="140"/>
        <v>45000</v>
      </c>
      <c r="J1844">
        <f t="shared" si="141"/>
        <v>9000</v>
      </c>
      <c r="K1844" s="6">
        <f t="shared" si="142"/>
        <v>36000</v>
      </c>
      <c r="L1844" s="2">
        <v>30000</v>
      </c>
      <c r="M1844" s="6">
        <f>Table1[[#This Row],[Total Sales]]+Table1[[#This Row],[Shipping Fee]]</f>
        <v>66000</v>
      </c>
      <c r="N1844" s="2" t="s">
        <v>35</v>
      </c>
      <c r="O1844" t="str">
        <f>VLOOKUP(Table1[[#This Row],[Order ID]],Status!A:B, 2,FALSE)</f>
        <v>Completed</v>
      </c>
      <c r="P1844" s="2" t="s">
        <v>82</v>
      </c>
      <c r="Q1844" s="2">
        <v>5</v>
      </c>
      <c r="R1844" s="2" t="s">
        <v>24</v>
      </c>
      <c r="S1844" s="11" t="str">
        <f t="shared" si="143"/>
        <v>Bagus</v>
      </c>
      <c r="T1844" s="2" t="str">
        <f t="shared" si="144"/>
        <v>Rendah</v>
      </c>
    </row>
    <row r="1845" spans="1:20" ht="15.75" customHeight="1" x14ac:dyDescent="0.3">
      <c r="A1845" s="4" t="s">
        <v>356</v>
      </c>
      <c r="B1845" s="3">
        <v>45577.019085648149</v>
      </c>
      <c r="C1845" s="2" t="s">
        <v>229</v>
      </c>
      <c r="D1845" s="2" t="s">
        <v>195</v>
      </c>
      <c r="E1845" s="2" t="s">
        <v>62</v>
      </c>
      <c r="F1845" s="2">
        <v>50000</v>
      </c>
      <c r="G1845" s="2">
        <v>5</v>
      </c>
      <c r="H1845" s="2">
        <v>15</v>
      </c>
      <c r="I1845">
        <f t="shared" si="140"/>
        <v>250000</v>
      </c>
      <c r="J1845">
        <f t="shared" si="141"/>
        <v>37500</v>
      </c>
      <c r="K1845" s="6">
        <f t="shared" si="142"/>
        <v>212500</v>
      </c>
      <c r="L1845" s="2">
        <v>87000</v>
      </c>
      <c r="M1845" s="6">
        <f>Table1[[#This Row],[Total Sales]]+Table1[[#This Row],[Shipping Fee]]</f>
        <v>299500</v>
      </c>
      <c r="N1845" s="2" t="s">
        <v>29</v>
      </c>
      <c r="O1845" t="str">
        <f>VLOOKUP(Table1[[#This Row],[Order ID]],Status!A:B, 2,FALSE)</f>
        <v>Completed</v>
      </c>
      <c r="P1845" s="2" t="s">
        <v>23</v>
      </c>
      <c r="Q1845" s="2">
        <v>1</v>
      </c>
      <c r="R1845" s="2" t="s">
        <v>24</v>
      </c>
      <c r="S1845" s="11" t="str">
        <f t="shared" si="143"/>
        <v>Rendah</v>
      </c>
      <c r="T1845" s="2" t="str">
        <f t="shared" si="144"/>
        <v>Sangat Tinggi</v>
      </c>
    </row>
    <row r="1846" spans="1:20" ht="15.75" customHeight="1" x14ac:dyDescent="0.3">
      <c r="A1846" s="4" t="s">
        <v>354</v>
      </c>
      <c r="B1846" s="3">
        <v>45576.899918981479</v>
      </c>
      <c r="C1846" s="2" t="s">
        <v>355</v>
      </c>
      <c r="D1846" s="2" t="s">
        <v>116</v>
      </c>
      <c r="E1846" s="2" t="s">
        <v>45</v>
      </c>
      <c r="F1846" s="2">
        <v>40000</v>
      </c>
      <c r="G1846" s="2">
        <v>3</v>
      </c>
      <c r="H1846" s="2">
        <v>5</v>
      </c>
      <c r="I1846">
        <f t="shared" si="140"/>
        <v>120000</v>
      </c>
      <c r="J1846">
        <f t="shared" si="141"/>
        <v>6000</v>
      </c>
      <c r="K1846" s="6">
        <f t="shared" si="142"/>
        <v>114000</v>
      </c>
      <c r="L1846" s="2">
        <v>72000</v>
      </c>
      <c r="M1846" s="6">
        <f>Table1[[#This Row],[Total Sales]]+Table1[[#This Row],[Shipping Fee]]</f>
        <v>186000</v>
      </c>
      <c r="N1846" s="2" t="s">
        <v>63</v>
      </c>
      <c r="O1846" t="str">
        <f>VLOOKUP(Table1[[#This Row],[Order ID]],Status!A:B, 2,FALSE)</f>
        <v>Returned</v>
      </c>
      <c r="P1846" s="2" t="s">
        <v>82</v>
      </c>
      <c r="Q1846" s="2">
        <v>2</v>
      </c>
      <c r="R1846" s="2" t="s">
        <v>24</v>
      </c>
      <c r="S1846" s="11" t="str">
        <f t="shared" si="143"/>
        <v>Rendah</v>
      </c>
      <c r="T1846" s="2" t="str">
        <f t="shared" si="144"/>
        <v>Rendah</v>
      </c>
    </row>
    <row r="1847" spans="1:20" ht="15.75" customHeight="1" x14ac:dyDescent="0.3">
      <c r="A1847" s="4" t="s">
        <v>352</v>
      </c>
      <c r="B1847" s="3">
        <v>45576.592407407406</v>
      </c>
      <c r="C1847" s="2" t="s">
        <v>353</v>
      </c>
      <c r="D1847" s="2" t="s">
        <v>66</v>
      </c>
      <c r="E1847" s="2" t="s">
        <v>21</v>
      </c>
      <c r="F1847" s="2">
        <v>45000</v>
      </c>
      <c r="G1847" s="2">
        <v>1</v>
      </c>
      <c r="H1847" s="2">
        <v>10</v>
      </c>
      <c r="I1847">
        <f t="shared" si="140"/>
        <v>45000</v>
      </c>
      <c r="J1847">
        <f t="shared" si="141"/>
        <v>4500</v>
      </c>
      <c r="K1847" s="6">
        <f t="shared" si="142"/>
        <v>40500</v>
      </c>
      <c r="L1847" s="2">
        <v>59000</v>
      </c>
      <c r="M1847" s="6">
        <f>Table1[[#This Row],[Total Sales]]+Table1[[#This Row],[Shipping Fee]]</f>
        <v>99500</v>
      </c>
      <c r="N1847" s="2" t="s">
        <v>63</v>
      </c>
      <c r="O1847" t="str">
        <f>VLOOKUP(Table1[[#This Row],[Order ID]],Status!A:B, 2,FALSE)</f>
        <v>Completed</v>
      </c>
      <c r="P1847" s="2" t="s">
        <v>36</v>
      </c>
      <c r="Q1847" s="2">
        <v>4</v>
      </c>
      <c r="R1847" s="2" t="s">
        <v>24</v>
      </c>
      <c r="S1847" s="11" t="str">
        <f t="shared" si="143"/>
        <v>Bagus</v>
      </c>
      <c r="T1847" s="2" t="str">
        <f t="shared" si="144"/>
        <v>Sangat Rendah</v>
      </c>
    </row>
    <row r="1848" spans="1:20" ht="15.75" customHeight="1" x14ac:dyDescent="0.3">
      <c r="A1848" s="4" t="s">
        <v>352</v>
      </c>
      <c r="B1848" s="3">
        <v>45576.592407407406</v>
      </c>
      <c r="C1848" s="2" t="s">
        <v>353</v>
      </c>
      <c r="D1848" s="2" t="s">
        <v>66</v>
      </c>
      <c r="E1848" s="2" t="s">
        <v>21</v>
      </c>
      <c r="F1848" s="2">
        <v>45000</v>
      </c>
      <c r="G1848" s="2">
        <v>1</v>
      </c>
      <c r="H1848" s="2">
        <v>0</v>
      </c>
      <c r="I1848">
        <f t="shared" si="140"/>
        <v>45000</v>
      </c>
      <c r="J1848">
        <f t="shared" si="141"/>
        <v>0</v>
      </c>
      <c r="K1848" s="6">
        <f t="shared" si="142"/>
        <v>45000</v>
      </c>
      <c r="L1848" s="2">
        <v>0</v>
      </c>
      <c r="M1848" s="6">
        <f>Table1[[#This Row],[Total Sales]]+Table1[[#This Row],[Shipping Fee]]</f>
        <v>45000</v>
      </c>
      <c r="N1848" s="2" t="s">
        <v>63</v>
      </c>
      <c r="O1848" t="str">
        <f>VLOOKUP(Table1[[#This Row],[Order ID]],Status!A:B, 2,FALSE)</f>
        <v>Completed</v>
      </c>
      <c r="P1848" s="2" t="s">
        <v>36</v>
      </c>
      <c r="Q1848" s="2">
        <v>4</v>
      </c>
      <c r="R1848" s="2" t="s">
        <v>24</v>
      </c>
      <c r="S1848" s="11" t="str">
        <f t="shared" si="143"/>
        <v>Bagus</v>
      </c>
      <c r="T1848" s="2" t="str">
        <f t="shared" si="144"/>
        <v>Sangat Rendah</v>
      </c>
    </row>
    <row r="1849" spans="1:20" ht="15.75" customHeight="1" x14ac:dyDescent="0.3">
      <c r="A1849" s="4" t="s">
        <v>351</v>
      </c>
      <c r="B1849" s="3">
        <v>45576.468136574083</v>
      </c>
      <c r="C1849" s="2" t="s">
        <v>148</v>
      </c>
      <c r="D1849" s="2" t="s">
        <v>74</v>
      </c>
      <c r="E1849" s="2" t="s">
        <v>250</v>
      </c>
      <c r="F1849" s="2">
        <v>18000</v>
      </c>
      <c r="G1849" s="2">
        <v>1</v>
      </c>
      <c r="H1849" s="2">
        <v>20</v>
      </c>
      <c r="I1849">
        <f t="shared" si="140"/>
        <v>18000</v>
      </c>
      <c r="J1849">
        <f t="shared" si="141"/>
        <v>3600</v>
      </c>
      <c r="K1849" s="6">
        <f t="shared" si="142"/>
        <v>14400</v>
      </c>
      <c r="L1849" s="2">
        <v>87000</v>
      </c>
      <c r="M1849" s="6">
        <f>Table1[[#This Row],[Total Sales]]+Table1[[#This Row],[Shipping Fee]]</f>
        <v>101400</v>
      </c>
      <c r="N1849" s="2" t="s">
        <v>29</v>
      </c>
      <c r="O1849" t="str">
        <f>VLOOKUP(Table1[[#This Row],[Order ID]],Status!A:B, 2,FALSE)</f>
        <v>Returned</v>
      </c>
      <c r="P1849" s="2" t="s">
        <v>46</v>
      </c>
      <c r="Q1849" s="2">
        <v>3</v>
      </c>
      <c r="R1849" s="2" t="s">
        <v>24</v>
      </c>
      <c r="S1849" s="11" t="str">
        <f t="shared" si="143"/>
        <v>Standar</v>
      </c>
      <c r="T1849" s="2" t="str">
        <f t="shared" si="144"/>
        <v>Sangat Rendah</v>
      </c>
    </row>
    <row r="1850" spans="1:20" ht="15.75" customHeight="1" x14ac:dyDescent="0.3">
      <c r="A1850" s="4" t="s">
        <v>349</v>
      </c>
      <c r="B1850" s="3">
        <v>45576.337685185194</v>
      </c>
      <c r="C1850" s="2" t="s">
        <v>350</v>
      </c>
      <c r="D1850" s="2" t="s">
        <v>195</v>
      </c>
      <c r="E1850" s="2" t="s">
        <v>50</v>
      </c>
      <c r="F1850" s="2">
        <v>14000</v>
      </c>
      <c r="G1850" s="2">
        <v>4</v>
      </c>
      <c r="H1850" s="2">
        <v>5</v>
      </c>
      <c r="I1850">
        <f t="shared" si="140"/>
        <v>56000</v>
      </c>
      <c r="J1850">
        <f t="shared" si="141"/>
        <v>2800</v>
      </c>
      <c r="K1850" s="6">
        <f t="shared" si="142"/>
        <v>53200</v>
      </c>
      <c r="L1850" s="2">
        <v>87000</v>
      </c>
      <c r="M1850" s="6">
        <f>Table1[[#This Row],[Total Sales]]+Table1[[#This Row],[Shipping Fee]]</f>
        <v>140200</v>
      </c>
      <c r="N1850" s="2" t="s">
        <v>22</v>
      </c>
      <c r="O1850" t="str">
        <f>VLOOKUP(Table1[[#This Row],[Order ID]],Status!A:B, 2,FALSE)</f>
        <v>Completed</v>
      </c>
      <c r="P1850" s="2" t="s">
        <v>46</v>
      </c>
      <c r="Q1850" s="2">
        <v>4</v>
      </c>
      <c r="R1850" s="2" t="s">
        <v>37</v>
      </c>
      <c r="S1850" s="11" t="str">
        <f t="shared" si="143"/>
        <v>Bagus</v>
      </c>
      <c r="T1850" s="2" t="str">
        <f t="shared" si="144"/>
        <v>Sangat Rendah</v>
      </c>
    </row>
    <row r="1851" spans="1:20" ht="15.75" customHeight="1" x14ac:dyDescent="0.3">
      <c r="A1851" s="4" t="s">
        <v>349</v>
      </c>
      <c r="B1851" s="3">
        <v>45576.337685185194</v>
      </c>
      <c r="C1851" s="2" t="s">
        <v>350</v>
      </c>
      <c r="D1851" s="2" t="s">
        <v>195</v>
      </c>
      <c r="E1851" s="2" t="s">
        <v>250</v>
      </c>
      <c r="F1851" s="2">
        <v>18000</v>
      </c>
      <c r="G1851" s="2">
        <v>3</v>
      </c>
      <c r="H1851" s="2">
        <v>0</v>
      </c>
      <c r="I1851">
        <f t="shared" si="140"/>
        <v>54000</v>
      </c>
      <c r="J1851">
        <f t="shared" si="141"/>
        <v>0</v>
      </c>
      <c r="K1851" s="6">
        <f t="shared" si="142"/>
        <v>54000</v>
      </c>
      <c r="L1851" s="2">
        <v>0</v>
      </c>
      <c r="M1851" s="6">
        <f>Table1[[#This Row],[Total Sales]]+Table1[[#This Row],[Shipping Fee]]</f>
        <v>54000</v>
      </c>
      <c r="N1851" s="2" t="s">
        <v>22</v>
      </c>
      <c r="O1851" t="str">
        <f>VLOOKUP(Table1[[#This Row],[Order ID]],Status!A:B, 2,FALSE)</f>
        <v>Completed</v>
      </c>
      <c r="P1851" s="2" t="s">
        <v>46</v>
      </c>
      <c r="Q1851" s="2">
        <v>4</v>
      </c>
      <c r="R1851" s="2" t="s">
        <v>37</v>
      </c>
      <c r="S1851" s="11" t="str">
        <f t="shared" si="143"/>
        <v>Bagus</v>
      </c>
      <c r="T1851" s="2" t="str">
        <f t="shared" si="144"/>
        <v>Sangat Rendah</v>
      </c>
    </row>
    <row r="1852" spans="1:20" ht="15.75" customHeight="1" x14ac:dyDescent="0.3">
      <c r="A1852" s="4" t="s">
        <v>348</v>
      </c>
      <c r="B1852" s="3">
        <v>45576.006597222222</v>
      </c>
      <c r="C1852" s="2" t="s">
        <v>155</v>
      </c>
      <c r="D1852" s="2" t="s">
        <v>92</v>
      </c>
      <c r="E1852" s="2" t="s">
        <v>67</v>
      </c>
      <c r="F1852" s="2">
        <v>15000</v>
      </c>
      <c r="G1852" s="2">
        <v>5</v>
      </c>
      <c r="H1852" s="2">
        <v>20</v>
      </c>
      <c r="I1852">
        <f t="shared" si="140"/>
        <v>75000</v>
      </c>
      <c r="J1852">
        <f t="shared" si="141"/>
        <v>15000</v>
      </c>
      <c r="K1852" s="6">
        <f t="shared" si="142"/>
        <v>60000</v>
      </c>
      <c r="L1852" s="2">
        <v>30000</v>
      </c>
      <c r="M1852" s="6">
        <f>Table1[[#This Row],[Total Sales]]+Table1[[#This Row],[Shipping Fee]]</f>
        <v>90000</v>
      </c>
      <c r="N1852" s="2" t="s">
        <v>29</v>
      </c>
      <c r="O1852" t="str">
        <f>VLOOKUP(Table1[[#This Row],[Order ID]],Status!A:B, 2,FALSE)</f>
        <v>Completed</v>
      </c>
      <c r="P1852" s="2" t="s">
        <v>82</v>
      </c>
      <c r="Q1852" s="2">
        <v>4</v>
      </c>
      <c r="R1852" s="2" t="s">
        <v>24</v>
      </c>
      <c r="S1852" s="11" t="str">
        <f t="shared" si="143"/>
        <v>Bagus</v>
      </c>
      <c r="T1852" s="2" t="str">
        <f t="shared" si="144"/>
        <v>Normal</v>
      </c>
    </row>
    <row r="1853" spans="1:20" ht="15.75" customHeight="1" x14ac:dyDescent="0.3">
      <c r="A1853" s="4" t="s">
        <v>347</v>
      </c>
      <c r="B1853" s="3">
        <v>45575.883668981478</v>
      </c>
      <c r="C1853" s="2" t="s">
        <v>201</v>
      </c>
      <c r="D1853" s="2" t="s">
        <v>107</v>
      </c>
      <c r="E1853" s="2" t="s">
        <v>190</v>
      </c>
      <c r="F1853" s="2">
        <v>35000</v>
      </c>
      <c r="G1853" s="2">
        <v>2</v>
      </c>
      <c r="H1853" s="2">
        <v>10</v>
      </c>
      <c r="I1853">
        <f t="shared" si="140"/>
        <v>70000</v>
      </c>
      <c r="J1853">
        <f t="shared" si="141"/>
        <v>7000</v>
      </c>
      <c r="K1853" s="6">
        <f t="shared" si="142"/>
        <v>63000</v>
      </c>
      <c r="L1853" s="2">
        <v>97000</v>
      </c>
      <c r="M1853" s="6">
        <f>Table1[[#This Row],[Total Sales]]+Table1[[#This Row],[Shipping Fee]]</f>
        <v>160000</v>
      </c>
      <c r="N1853" s="2" t="s">
        <v>63</v>
      </c>
      <c r="O1853" t="str">
        <f>VLOOKUP(Table1[[#This Row],[Order ID]],Status!A:B, 2,FALSE)</f>
        <v>Completed</v>
      </c>
      <c r="P1853" s="2" t="s">
        <v>30</v>
      </c>
      <c r="Q1853" s="2">
        <v>1</v>
      </c>
      <c r="R1853" s="2" t="s">
        <v>24</v>
      </c>
      <c r="S1853" s="11" t="str">
        <f t="shared" si="143"/>
        <v>Rendah</v>
      </c>
      <c r="T1853" s="2" t="str">
        <f t="shared" si="144"/>
        <v>Rendah</v>
      </c>
    </row>
    <row r="1854" spans="1:20" ht="15.75" customHeight="1" x14ac:dyDescent="0.3">
      <c r="A1854" s="4" t="s">
        <v>345</v>
      </c>
      <c r="B1854" s="3">
        <v>45575.44390046296</v>
      </c>
      <c r="C1854" s="2" t="s">
        <v>346</v>
      </c>
      <c r="D1854" s="2" t="s">
        <v>296</v>
      </c>
      <c r="E1854" s="2" t="s">
        <v>85</v>
      </c>
      <c r="F1854" s="2">
        <v>35000</v>
      </c>
      <c r="G1854" s="2">
        <v>1</v>
      </c>
      <c r="H1854" s="2">
        <v>10</v>
      </c>
      <c r="I1854">
        <f t="shared" si="140"/>
        <v>35000</v>
      </c>
      <c r="J1854">
        <f t="shared" si="141"/>
        <v>3500</v>
      </c>
      <c r="K1854" s="6">
        <f t="shared" si="142"/>
        <v>31500</v>
      </c>
      <c r="L1854" s="2">
        <v>79000</v>
      </c>
      <c r="M1854" s="6">
        <f>Table1[[#This Row],[Total Sales]]+Table1[[#This Row],[Shipping Fee]]</f>
        <v>110500</v>
      </c>
      <c r="N1854" s="2" t="s">
        <v>35</v>
      </c>
      <c r="O1854" t="str">
        <f>VLOOKUP(Table1[[#This Row],[Order ID]],Status!A:B, 2,FALSE)</f>
        <v>Completed</v>
      </c>
      <c r="P1854" s="2" t="s">
        <v>30</v>
      </c>
      <c r="Q1854" s="2">
        <v>1</v>
      </c>
      <c r="R1854" s="2" t="s">
        <v>24</v>
      </c>
      <c r="S1854" s="11" t="str">
        <f t="shared" si="143"/>
        <v>Rendah</v>
      </c>
      <c r="T1854" s="2" t="str">
        <f t="shared" si="144"/>
        <v>Sangat Rendah</v>
      </c>
    </row>
    <row r="1855" spans="1:20" ht="15.75" customHeight="1" x14ac:dyDescent="0.3">
      <c r="A1855" s="4" t="s">
        <v>343</v>
      </c>
      <c r="B1855" s="3">
        <v>45575.103472222218</v>
      </c>
      <c r="C1855" s="2" t="s">
        <v>344</v>
      </c>
      <c r="D1855" s="2" t="s">
        <v>195</v>
      </c>
      <c r="E1855" s="2" t="s">
        <v>62</v>
      </c>
      <c r="F1855" s="2">
        <v>50000</v>
      </c>
      <c r="G1855" s="2">
        <v>1</v>
      </c>
      <c r="H1855" s="2">
        <v>15</v>
      </c>
      <c r="I1855">
        <f t="shared" si="140"/>
        <v>50000</v>
      </c>
      <c r="J1855">
        <f t="shared" si="141"/>
        <v>7500</v>
      </c>
      <c r="K1855" s="6">
        <f t="shared" si="142"/>
        <v>42500</v>
      </c>
      <c r="L1855" s="2">
        <v>87000</v>
      </c>
      <c r="M1855" s="6">
        <f>Table1[[#This Row],[Total Sales]]+Table1[[#This Row],[Shipping Fee]]</f>
        <v>129500</v>
      </c>
      <c r="N1855" s="2" t="s">
        <v>63</v>
      </c>
      <c r="O1855" t="str">
        <f>VLOOKUP(Table1[[#This Row],[Order ID]],Status!A:B, 2,FALSE)</f>
        <v>Completed</v>
      </c>
      <c r="P1855" s="2" t="s">
        <v>30</v>
      </c>
      <c r="Q1855" s="2">
        <v>5</v>
      </c>
      <c r="R1855" s="2" t="s">
        <v>24</v>
      </c>
      <c r="S1855" s="11" t="str">
        <f t="shared" si="143"/>
        <v>Bagus</v>
      </c>
      <c r="T1855" s="2" t="str">
        <f t="shared" si="144"/>
        <v>Rendah</v>
      </c>
    </row>
    <row r="1856" spans="1:20" ht="15.75" customHeight="1" x14ac:dyDescent="0.3">
      <c r="A1856" s="4" t="s">
        <v>341</v>
      </c>
      <c r="B1856" s="3">
        <v>45574.890370370369</v>
      </c>
      <c r="C1856" s="2" t="s">
        <v>342</v>
      </c>
      <c r="D1856" s="2" t="s">
        <v>131</v>
      </c>
      <c r="E1856" s="2" t="s">
        <v>250</v>
      </c>
      <c r="F1856" s="2">
        <v>18000</v>
      </c>
      <c r="G1856" s="2">
        <v>2</v>
      </c>
      <c r="H1856" s="2">
        <v>20</v>
      </c>
      <c r="I1856">
        <f t="shared" si="140"/>
        <v>36000</v>
      </c>
      <c r="J1856">
        <f t="shared" si="141"/>
        <v>7200</v>
      </c>
      <c r="K1856" s="6">
        <f t="shared" si="142"/>
        <v>28800</v>
      </c>
      <c r="L1856" s="2">
        <v>59000</v>
      </c>
      <c r="M1856" s="6">
        <f>Table1[[#This Row],[Total Sales]]+Table1[[#This Row],[Shipping Fee]]</f>
        <v>87800</v>
      </c>
      <c r="N1856" s="2" t="s">
        <v>63</v>
      </c>
      <c r="O1856" t="str">
        <f>VLOOKUP(Table1[[#This Row],[Order ID]],Status!A:B, 2,FALSE)</f>
        <v>Completed</v>
      </c>
      <c r="P1856" s="2" t="s">
        <v>23</v>
      </c>
      <c r="Q1856" s="2">
        <v>1</v>
      </c>
      <c r="R1856" s="2" t="s">
        <v>37</v>
      </c>
      <c r="S1856" s="11" t="str">
        <f t="shared" si="143"/>
        <v>Rendah</v>
      </c>
      <c r="T1856" s="2" t="str">
        <f t="shared" si="144"/>
        <v>Rendah</v>
      </c>
    </row>
    <row r="1857" spans="1:20" ht="15.75" customHeight="1" x14ac:dyDescent="0.3">
      <c r="A1857" s="4" t="s">
        <v>339</v>
      </c>
      <c r="B1857" s="3">
        <v>45574.835451388892</v>
      </c>
      <c r="C1857" s="2" t="s">
        <v>340</v>
      </c>
      <c r="D1857" s="2" t="s">
        <v>126</v>
      </c>
      <c r="E1857" s="2" t="s">
        <v>93</v>
      </c>
      <c r="F1857" s="2">
        <v>25000</v>
      </c>
      <c r="G1857" s="2">
        <v>5</v>
      </c>
      <c r="H1857" s="2">
        <v>15</v>
      </c>
      <c r="I1857">
        <f t="shared" si="140"/>
        <v>125000</v>
      </c>
      <c r="J1857">
        <f t="shared" si="141"/>
        <v>18750</v>
      </c>
      <c r="K1857" s="6">
        <f t="shared" si="142"/>
        <v>106250</v>
      </c>
      <c r="L1857" s="2">
        <v>84000</v>
      </c>
      <c r="M1857" s="6">
        <f>Table1[[#This Row],[Total Sales]]+Table1[[#This Row],[Shipping Fee]]</f>
        <v>190250</v>
      </c>
      <c r="N1857" s="2" t="s">
        <v>63</v>
      </c>
      <c r="O1857" t="str">
        <f>VLOOKUP(Table1[[#This Row],[Order ID]],Status!A:B, 2,FALSE)</f>
        <v>Completed</v>
      </c>
      <c r="P1857" s="2" t="s">
        <v>30</v>
      </c>
      <c r="Q1857" s="2">
        <v>2</v>
      </c>
      <c r="R1857" s="2" t="s">
        <v>37</v>
      </c>
      <c r="S1857" s="11" t="str">
        <f t="shared" si="143"/>
        <v>Rendah</v>
      </c>
      <c r="T1857" s="2" t="str">
        <f t="shared" si="144"/>
        <v>Normal</v>
      </c>
    </row>
    <row r="1858" spans="1:20" ht="15.75" customHeight="1" x14ac:dyDescent="0.3">
      <c r="A1858" s="4" t="s">
        <v>338</v>
      </c>
      <c r="B1858" s="3">
        <v>45574.792592592603</v>
      </c>
      <c r="C1858" s="2" t="s">
        <v>246</v>
      </c>
      <c r="D1858" s="2" t="s">
        <v>238</v>
      </c>
      <c r="E1858" s="2" t="s">
        <v>28</v>
      </c>
      <c r="F1858" s="2">
        <v>5000</v>
      </c>
      <c r="G1858" s="2">
        <v>1</v>
      </c>
      <c r="H1858" s="2">
        <v>5</v>
      </c>
      <c r="I1858">
        <f t="shared" ref="I1858:I1921" si="145">F1858*G1858</f>
        <v>5000</v>
      </c>
      <c r="J1858">
        <f t="shared" ref="J1858:J1921" si="146">I1858*H1858/100</f>
        <v>250</v>
      </c>
      <c r="K1858" s="6">
        <f t="shared" ref="K1858:K1921" si="147">I1858-J1858</f>
        <v>4750</v>
      </c>
      <c r="L1858" s="2">
        <v>28000</v>
      </c>
      <c r="M1858" s="6">
        <f>Table1[[#This Row],[Total Sales]]+Table1[[#This Row],[Shipping Fee]]</f>
        <v>32750</v>
      </c>
      <c r="N1858" s="2" t="s">
        <v>29</v>
      </c>
      <c r="O1858" t="str">
        <f>VLOOKUP(Table1[[#This Row],[Order ID]],Status!A:B, 2,FALSE)</f>
        <v>Completed</v>
      </c>
      <c r="P1858" s="2" t="s">
        <v>23</v>
      </c>
      <c r="Q1858" s="2">
        <v>2</v>
      </c>
      <c r="R1858" s="2" t="s">
        <v>24</v>
      </c>
      <c r="S1858" s="11" t="str">
        <f t="shared" ref="S1858:S1921" si="148">_xlfn.IFS(Q1858&gt;3,"Bagus",Q1858=3,"Standar",Q1858&lt;3,"Rendah")</f>
        <v>Rendah</v>
      </c>
      <c r="T1858" s="2" t="str">
        <f t="shared" ref="T1858:T1921" si="149">_xlfn.IFS(J1858&lt;=5000,"Sangat Rendah", J1858&lt;=10000,"Rendah", J1858&lt;=20000, "Normal", J1858&lt;=35000, "Tinggi", J1858&lt;= 50000, "Sangat Tinggi", J1858&gt;50000, "Clearance")</f>
        <v>Sangat Rendah</v>
      </c>
    </row>
    <row r="1859" spans="1:20" ht="15.75" customHeight="1" x14ac:dyDescent="0.3">
      <c r="A1859" s="4" t="s">
        <v>336</v>
      </c>
      <c r="B1859" s="3">
        <v>45574.308252314811</v>
      </c>
      <c r="C1859" s="2" t="s">
        <v>337</v>
      </c>
      <c r="D1859" s="2" t="s">
        <v>131</v>
      </c>
      <c r="E1859" s="2" t="s">
        <v>62</v>
      </c>
      <c r="F1859" s="2">
        <v>50000</v>
      </c>
      <c r="G1859" s="2">
        <v>3</v>
      </c>
      <c r="H1859" s="2">
        <v>5</v>
      </c>
      <c r="I1859">
        <f t="shared" si="145"/>
        <v>150000</v>
      </c>
      <c r="J1859">
        <f t="shared" si="146"/>
        <v>7500</v>
      </c>
      <c r="K1859" s="6">
        <f t="shared" si="147"/>
        <v>142500</v>
      </c>
      <c r="L1859" s="2">
        <v>59000</v>
      </c>
      <c r="M1859" s="6">
        <f>Table1[[#This Row],[Total Sales]]+Table1[[#This Row],[Shipping Fee]]</f>
        <v>201500</v>
      </c>
      <c r="N1859" s="2" t="s">
        <v>35</v>
      </c>
      <c r="O1859" t="str">
        <f>VLOOKUP(Table1[[#This Row],[Order ID]],Status!A:B, 2,FALSE)</f>
        <v>Completed</v>
      </c>
      <c r="P1859" s="2" t="s">
        <v>46</v>
      </c>
      <c r="Q1859" s="2">
        <v>1</v>
      </c>
      <c r="R1859" s="2" t="s">
        <v>24</v>
      </c>
      <c r="S1859" s="11" t="str">
        <f t="shared" si="148"/>
        <v>Rendah</v>
      </c>
      <c r="T1859" s="2" t="str">
        <f t="shared" si="149"/>
        <v>Rendah</v>
      </c>
    </row>
    <row r="1860" spans="1:20" ht="15.75" customHeight="1" x14ac:dyDescent="0.3">
      <c r="A1860" s="4" t="s">
        <v>334</v>
      </c>
      <c r="B1860" s="3">
        <v>45574.236168981479</v>
      </c>
      <c r="C1860" s="2" t="s">
        <v>335</v>
      </c>
      <c r="D1860" s="2" t="s">
        <v>80</v>
      </c>
      <c r="E1860" s="2" t="s">
        <v>123</v>
      </c>
      <c r="F1860" s="2">
        <v>22000</v>
      </c>
      <c r="G1860" s="2">
        <v>5</v>
      </c>
      <c r="H1860" s="2">
        <v>0</v>
      </c>
      <c r="I1860">
        <f t="shared" si="145"/>
        <v>110000</v>
      </c>
      <c r="J1860">
        <f t="shared" si="146"/>
        <v>0</v>
      </c>
      <c r="K1860" s="6">
        <f t="shared" si="147"/>
        <v>110000</v>
      </c>
      <c r="L1860" s="2">
        <v>74000</v>
      </c>
      <c r="M1860" s="6">
        <f>Table1[[#This Row],[Total Sales]]+Table1[[#This Row],[Shipping Fee]]</f>
        <v>184000</v>
      </c>
      <c r="N1860" s="2" t="s">
        <v>63</v>
      </c>
      <c r="O1860" t="str">
        <f>VLOOKUP(Table1[[#This Row],[Order ID]],Status!A:B, 2,FALSE)</f>
        <v>Completed</v>
      </c>
      <c r="P1860" s="2" t="s">
        <v>82</v>
      </c>
      <c r="Q1860" s="2">
        <v>5</v>
      </c>
      <c r="R1860" s="2" t="s">
        <v>37</v>
      </c>
      <c r="S1860" s="11" t="str">
        <f t="shared" si="148"/>
        <v>Bagus</v>
      </c>
      <c r="T1860" s="2" t="str">
        <f t="shared" si="149"/>
        <v>Sangat Rendah</v>
      </c>
    </row>
    <row r="1861" spans="1:20" ht="15.75" customHeight="1" x14ac:dyDescent="0.3">
      <c r="A1861" s="4" t="s">
        <v>332</v>
      </c>
      <c r="B1861" s="3">
        <v>45574.197430555563</v>
      </c>
      <c r="C1861" s="2" t="s">
        <v>333</v>
      </c>
      <c r="D1861" s="2" t="s">
        <v>107</v>
      </c>
      <c r="E1861" s="2" t="s">
        <v>85</v>
      </c>
      <c r="F1861" s="2">
        <v>35000</v>
      </c>
      <c r="G1861" s="2">
        <v>2</v>
      </c>
      <c r="H1861" s="2">
        <v>5</v>
      </c>
      <c r="I1861">
        <f t="shared" si="145"/>
        <v>70000</v>
      </c>
      <c r="J1861">
        <f t="shared" si="146"/>
        <v>3500</v>
      </c>
      <c r="K1861" s="6">
        <f t="shared" si="147"/>
        <v>66500</v>
      </c>
      <c r="L1861" s="2">
        <v>97000</v>
      </c>
      <c r="M1861" s="6">
        <f>Table1[[#This Row],[Total Sales]]+Table1[[#This Row],[Shipping Fee]]</f>
        <v>163500</v>
      </c>
      <c r="N1861" s="2" t="s">
        <v>35</v>
      </c>
      <c r="O1861" t="str">
        <f>VLOOKUP(Table1[[#This Row],[Order ID]],Status!A:B, 2,FALSE)</f>
        <v>Completed</v>
      </c>
      <c r="P1861" s="2" t="s">
        <v>30</v>
      </c>
      <c r="Q1861" s="2">
        <v>5</v>
      </c>
      <c r="R1861" s="2" t="s">
        <v>37</v>
      </c>
      <c r="S1861" s="11" t="str">
        <f t="shared" si="148"/>
        <v>Bagus</v>
      </c>
      <c r="T1861" s="2" t="str">
        <f t="shared" si="149"/>
        <v>Sangat Rendah</v>
      </c>
    </row>
    <row r="1862" spans="1:20" ht="15.75" customHeight="1" x14ac:dyDescent="0.3">
      <c r="A1862" s="4" t="s">
        <v>330</v>
      </c>
      <c r="B1862" s="3">
        <v>45574.15121527778</v>
      </c>
      <c r="C1862" s="2" t="s">
        <v>331</v>
      </c>
      <c r="D1862" s="2" t="s">
        <v>20</v>
      </c>
      <c r="E1862" s="2" t="s">
        <v>45</v>
      </c>
      <c r="F1862" s="2">
        <v>40000</v>
      </c>
      <c r="G1862" s="2">
        <v>2</v>
      </c>
      <c r="H1862" s="2">
        <v>15</v>
      </c>
      <c r="I1862">
        <f t="shared" si="145"/>
        <v>80000</v>
      </c>
      <c r="J1862">
        <f t="shared" si="146"/>
        <v>12000</v>
      </c>
      <c r="K1862" s="6">
        <f t="shared" si="147"/>
        <v>68000</v>
      </c>
      <c r="L1862" s="2">
        <v>15000</v>
      </c>
      <c r="M1862" s="6">
        <f>Table1[[#This Row],[Total Sales]]+Table1[[#This Row],[Shipping Fee]]</f>
        <v>83000</v>
      </c>
      <c r="N1862" s="2" t="s">
        <v>35</v>
      </c>
      <c r="O1862" t="str">
        <f>VLOOKUP(Table1[[#This Row],[Order ID]],Status!A:B, 2,FALSE)</f>
        <v>Completed</v>
      </c>
      <c r="P1862" s="2" t="s">
        <v>46</v>
      </c>
      <c r="Q1862" s="2">
        <v>5</v>
      </c>
      <c r="R1862" s="2" t="s">
        <v>37</v>
      </c>
      <c r="S1862" s="11" t="str">
        <f t="shared" si="148"/>
        <v>Bagus</v>
      </c>
      <c r="T1862" s="2" t="str">
        <f t="shared" si="149"/>
        <v>Normal</v>
      </c>
    </row>
    <row r="1863" spans="1:20" ht="15.75" customHeight="1" x14ac:dyDescent="0.3">
      <c r="A1863" s="4" t="s">
        <v>329</v>
      </c>
      <c r="B1863" s="3">
        <v>45574.081747685188</v>
      </c>
      <c r="C1863" s="2" t="s">
        <v>169</v>
      </c>
      <c r="D1863" s="2" t="s">
        <v>170</v>
      </c>
      <c r="E1863" s="2" t="s">
        <v>85</v>
      </c>
      <c r="F1863" s="2">
        <v>35000</v>
      </c>
      <c r="G1863" s="2">
        <v>3</v>
      </c>
      <c r="H1863" s="2">
        <v>20</v>
      </c>
      <c r="I1863">
        <f t="shared" si="145"/>
        <v>105000</v>
      </c>
      <c r="J1863">
        <f t="shared" si="146"/>
        <v>21000</v>
      </c>
      <c r="K1863" s="6">
        <f t="shared" si="147"/>
        <v>84000</v>
      </c>
      <c r="L1863" s="2">
        <v>0</v>
      </c>
      <c r="M1863" s="6">
        <f>Table1[[#This Row],[Total Sales]]+Table1[[#This Row],[Shipping Fee]]</f>
        <v>84000</v>
      </c>
      <c r="N1863" s="2" t="s">
        <v>35</v>
      </c>
      <c r="O1863" t="str">
        <f>VLOOKUP(Table1[[#This Row],[Order ID]],Status!A:B, 2,FALSE)</f>
        <v>Completed</v>
      </c>
      <c r="P1863" s="2" t="s">
        <v>36</v>
      </c>
      <c r="Q1863" s="2">
        <v>1</v>
      </c>
      <c r="R1863" s="2" t="s">
        <v>24</v>
      </c>
      <c r="S1863" s="11" t="str">
        <f t="shared" si="148"/>
        <v>Rendah</v>
      </c>
      <c r="T1863" s="2" t="str">
        <f t="shared" si="149"/>
        <v>Tinggi</v>
      </c>
    </row>
    <row r="1864" spans="1:20" ht="15.75" customHeight="1" x14ac:dyDescent="0.3">
      <c r="A1864" s="4" t="s">
        <v>329</v>
      </c>
      <c r="B1864" s="3">
        <v>45574.081747685188</v>
      </c>
      <c r="C1864" s="2" t="s">
        <v>169</v>
      </c>
      <c r="D1864" s="2" t="s">
        <v>170</v>
      </c>
      <c r="E1864" s="2" t="s">
        <v>250</v>
      </c>
      <c r="F1864" s="2">
        <v>18000</v>
      </c>
      <c r="G1864" s="2">
        <v>3</v>
      </c>
      <c r="H1864" s="2">
        <v>15</v>
      </c>
      <c r="I1864">
        <f t="shared" si="145"/>
        <v>54000</v>
      </c>
      <c r="J1864">
        <f t="shared" si="146"/>
        <v>8100</v>
      </c>
      <c r="K1864" s="6">
        <f t="shared" si="147"/>
        <v>45900</v>
      </c>
      <c r="L1864" s="2">
        <v>46000</v>
      </c>
      <c r="M1864" s="6">
        <f>Table1[[#This Row],[Total Sales]]+Table1[[#This Row],[Shipping Fee]]</f>
        <v>91900</v>
      </c>
      <c r="N1864" s="2" t="s">
        <v>35</v>
      </c>
      <c r="O1864" t="str">
        <f>VLOOKUP(Table1[[#This Row],[Order ID]],Status!A:B, 2,FALSE)</f>
        <v>Completed</v>
      </c>
      <c r="P1864" s="2" t="s">
        <v>36</v>
      </c>
      <c r="Q1864" s="2">
        <v>1</v>
      </c>
      <c r="R1864" s="2" t="s">
        <v>24</v>
      </c>
      <c r="S1864" s="11" t="str">
        <f t="shared" si="148"/>
        <v>Rendah</v>
      </c>
      <c r="T1864" s="2" t="str">
        <f t="shared" si="149"/>
        <v>Rendah</v>
      </c>
    </row>
    <row r="1865" spans="1:20" ht="15.75" customHeight="1" x14ac:dyDescent="0.3">
      <c r="A1865" s="4" t="s">
        <v>328</v>
      </c>
      <c r="B1865" s="3">
        <v>45573.881365740737</v>
      </c>
      <c r="C1865" s="2" t="s">
        <v>188</v>
      </c>
      <c r="D1865" s="2" t="s">
        <v>189</v>
      </c>
      <c r="E1865" s="2" t="s">
        <v>75</v>
      </c>
      <c r="F1865" s="2">
        <v>55000</v>
      </c>
      <c r="G1865" s="2">
        <v>2</v>
      </c>
      <c r="H1865" s="2">
        <v>0</v>
      </c>
      <c r="I1865">
        <f t="shared" si="145"/>
        <v>110000</v>
      </c>
      <c r="J1865">
        <f t="shared" si="146"/>
        <v>0</v>
      </c>
      <c r="K1865" s="6">
        <f t="shared" si="147"/>
        <v>110000</v>
      </c>
      <c r="L1865" s="2">
        <v>57000</v>
      </c>
      <c r="M1865" s="6">
        <f>Table1[[#This Row],[Total Sales]]+Table1[[#This Row],[Shipping Fee]]</f>
        <v>167000</v>
      </c>
      <c r="N1865" s="2" t="s">
        <v>29</v>
      </c>
      <c r="O1865" t="str">
        <f>VLOOKUP(Table1[[#This Row],[Order ID]],Status!A:B, 2,FALSE)</f>
        <v>Completed</v>
      </c>
      <c r="P1865" s="2" t="s">
        <v>23</v>
      </c>
      <c r="Q1865" s="2">
        <v>5</v>
      </c>
      <c r="R1865" s="2" t="s">
        <v>24</v>
      </c>
      <c r="S1865" s="11" t="str">
        <f t="shared" si="148"/>
        <v>Bagus</v>
      </c>
      <c r="T1865" s="2" t="str">
        <f t="shared" si="149"/>
        <v>Sangat Rendah</v>
      </c>
    </row>
    <row r="1866" spans="1:20" ht="15.75" customHeight="1" x14ac:dyDescent="0.3">
      <c r="A1866" s="4" t="s">
        <v>327</v>
      </c>
      <c r="B1866" s="3">
        <v>45573.747465277767</v>
      </c>
      <c r="C1866" s="2" t="s">
        <v>179</v>
      </c>
      <c r="D1866" s="2" t="s">
        <v>66</v>
      </c>
      <c r="E1866" s="2" t="s">
        <v>34</v>
      </c>
      <c r="F1866" s="2">
        <v>16000</v>
      </c>
      <c r="G1866" s="2">
        <v>5</v>
      </c>
      <c r="H1866" s="2">
        <v>0</v>
      </c>
      <c r="I1866">
        <f t="shared" si="145"/>
        <v>80000</v>
      </c>
      <c r="J1866">
        <f t="shared" si="146"/>
        <v>0</v>
      </c>
      <c r="K1866" s="6">
        <f t="shared" si="147"/>
        <v>80000</v>
      </c>
      <c r="L1866" s="2">
        <v>59000</v>
      </c>
      <c r="M1866" s="6">
        <f>Table1[[#This Row],[Total Sales]]+Table1[[#This Row],[Shipping Fee]]</f>
        <v>139000</v>
      </c>
      <c r="N1866" s="2" t="s">
        <v>35</v>
      </c>
      <c r="O1866" t="str">
        <f>VLOOKUP(Table1[[#This Row],[Order ID]],Status!A:B, 2,FALSE)</f>
        <v>Cancelled</v>
      </c>
      <c r="P1866" s="2" t="s">
        <v>23</v>
      </c>
      <c r="Q1866" s="2">
        <v>3</v>
      </c>
      <c r="R1866" s="2" t="s">
        <v>24</v>
      </c>
      <c r="S1866" s="11" t="str">
        <f t="shared" si="148"/>
        <v>Standar</v>
      </c>
      <c r="T1866" s="2" t="str">
        <f t="shared" si="149"/>
        <v>Sangat Rendah</v>
      </c>
    </row>
    <row r="1867" spans="1:20" ht="15.75" customHeight="1" x14ac:dyDescent="0.3">
      <c r="A1867" s="4" t="s">
        <v>325</v>
      </c>
      <c r="B1867" s="3">
        <v>45573.527280092603</v>
      </c>
      <c r="C1867" s="2" t="s">
        <v>326</v>
      </c>
      <c r="D1867" s="2" t="s">
        <v>262</v>
      </c>
      <c r="E1867" s="2" t="s">
        <v>50</v>
      </c>
      <c r="F1867" s="2">
        <v>14000</v>
      </c>
      <c r="G1867" s="2">
        <v>4</v>
      </c>
      <c r="H1867" s="2">
        <v>10</v>
      </c>
      <c r="I1867">
        <f t="shared" si="145"/>
        <v>56000</v>
      </c>
      <c r="J1867">
        <f t="shared" si="146"/>
        <v>5600</v>
      </c>
      <c r="K1867" s="6">
        <f t="shared" si="147"/>
        <v>50400</v>
      </c>
      <c r="L1867" s="2">
        <v>18000</v>
      </c>
      <c r="M1867" s="6">
        <f>Table1[[#This Row],[Total Sales]]+Table1[[#This Row],[Shipping Fee]]</f>
        <v>68400</v>
      </c>
      <c r="N1867" s="2" t="s">
        <v>63</v>
      </c>
      <c r="O1867" t="str">
        <f>VLOOKUP(Table1[[#This Row],[Order ID]],Status!A:B, 2,FALSE)</f>
        <v>Completed</v>
      </c>
      <c r="P1867" s="2" t="s">
        <v>46</v>
      </c>
      <c r="Q1867" s="2">
        <v>3</v>
      </c>
      <c r="R1867" s="2" t="s">
        <v>37</v>
      </c>
      <c r="S1867" s="11" t="str">
        <f t="shared" si="148"/>
        <v>Standar</v>
      </c>
      <c r="T1867" s="2" t="str">
        <f t="shared" si="149"/>
        <v>Rendah</v>
      </c>
    </row>
    <row r="1868" spans="1:20" ht="15.75" customHeight="1" x14ac:dyDescent="0.3">
      <c r="A1868" s="4" t="s">
        <v>324</v>
      </c>
      <c r="B1868" s="3">
        <v>45573.420266203713</v>
      </c>
      <c r="C1868" s="2" t="s">
        <v>192</v>
      </c>
      <c r="D1868" s="2" t="s">
        <v>107</v>
      </c>
      <c r="E1868" s="2" t="s">
        <v>123</v>
      </c>
      <c r="F1868" s="2">
        <v>22000</v>
      </c>
      <c r="G1868" s="2">
        <v>4</v>
      </c>
      <c r="H1868" s="2">
        <v>20</v>
      </c>
      <c r="I1868">
        <f t="shared" si="145"/>
        <v>88000</v>
      </c>
      <c r="J1868">
        <f t="shared" si="146"/>
        <v>17600</v>
      </c>
      <c r="K1868" s="6">
        <f t="shared" si="147"/>
        <v>70400</v>
      </c>
      <c r="L1868" s="2">
        <v>97000</v>
      </c>
      <c r="M1868" s="6">
        <f>Table1[[#This Row],[Total Sales]]+Table1[[#This Row],[Shipping Fee]]</f>
        <v>167400</v>
      </c>
      <c r="N1868" s="2" t="s">
        <v>63</v>
      </c>
      <c r="O1868" t="str">
        <f>VLOOKUP(Table1[[#This Row],[Order ID]],Status!A:B, 2,FALSE)</f>
        <v>Completed</v>
      </c>
      <c r="P1868" s="2" t="s">
        <v>30</v>
      </c>
      <c r="Q1868" s="2">
        <v>3</v>
      </c>
      <c r="R1868" s="2" t="s">
        <v>24</v>
      </c>
      <c r="S1868" s="11" t="str">
        <f t="shared" si="148"/>
        <v>Standar</v>
      </c>
      <c r="T1868" s="2" t="str">
        <f t="shared" si="149"/>
        <v>Normal</v>
      </c>
    </row>
    <row r="1869" spans="1:20" ht="15.75" customHeight="1" x14ac:dyDescent="0.3">
      <c r="A1869" s="4" t="s">
        <v>322</v>
      </c>
      <c r="B1869" s="3">
        <v>45573.198518518519</v>
      </c>
      <c r="C1869" s="2" t="s">
        <v>323</v>
      </c>
      <c r="D1869" s="2" t="s">
        <v>103</v>
      </c>
      <c r="E1869" s="2" t="s">
        <v>110</v>
      </c>
      <c r="F1869" s="2">
        <v>6000</v>
      </c>
      <c r="G1869" s="2">
        <v>5</v>
      </c>
      <c r="H1869" s="2">
        <v>15</v>
      </c>
      <c r="I1869">
        <f t="shared" si="145"/>
        <v>30000</v>
      </c>
      <c r="J1869">
        <f t="shared" si="146"/>
        <v>4500</v>
      </c>
      <c r="K1869" s="6">
        <f t="shared" si="147"/>
        <v>25500</v>
      </c>
      <c r="L1869" s="2">
        <v>85000</v>
      </c>
      <c r="M1869" s="6">
        <f>Table1[[#This Row],[Total Sales]]+Table1[[#This Row],[Shipping Fee]]</f>
        <v>110500</v>
      </c>
      <c r="N1869" s="2" t="s">
        <v>63</v>
      </c>
      <c r="O1869" t="str">
        <f>VLOOKUP(Table1[[#This Row],[Order ID]],Status!A:B, 2,FALSE)</f>
        <v>Completed</v>
      </c>
      <c r="P1869" s="2" t="s">
        <v>23</v>
      </c>
      <c r="Q1869" s="2">
        <v>2</v>
      </c>
      <c r="R1869" s="2" t="s">
        <v>24</v>
      </c>
      <c r="S1869" s="11" t="str">
        <f t="shared" si="148"/>
        <v>Rendah</v>
      </c>
      <c r="T1869" s="2" t="str">
        <f t="shared" si="149"/>
        <v>Sangat Rendah</v>
      </c>
    </row>
    <row r="1870" spans="1:20" ht="15.75" customHeight="1" x14ac:dyDescent="0.3">
      <c r="A1870" s="4" t="s">
        <v>320</v>
      </c>
      <c r="B1870" s="3">
        <v>45573.014687499999</v>
      </c>
      <c r="C1870" s="2" t="s">
        <v>321</v>
      </c>
      <c r="D1870" s="2" t="s">
        <v>80</v>
      </c>
      <c r="E1870" s="2" t="s">
        <v>50</v>
      </c>
      <c r="F1870" s="2">
        <v>14000</v>
      </c>
      <c r="G1870" s="2">
        <v>2</v>
      </c>
      <c r="H1870" s="2">
        <v>5</v>
      </c>
      <c r="I1870">
        <f t="shared" si="145"/>
        <v>28000</v>
      </c>
      <c r="J1870">
        <f t="shared" si="146"/>
        <v>1400</v>
      </c>
      <c r="K1870" s="6">
        <f t="shared" si="147"/>
        <v>26600</v>
      </c>
      <c r="L1870" s="2">
        <v>74000</v>
      </c>
      <c r="M1870" s="6">
        <f>Table1[[#This Row],[Total Sales]]+Table1[[#This Row],[Shipping Fee]]</f>
        <v>100600</v>
      </c>
      <c r="N1870" s="2" t="s">
        <v>35</v>
      </c>
      <c r="O1870" t="str">
        <f>VLOOKUP(Table1[[#This Row],[Order ID]],Status!A:B, 2,FALSE)</f>
        <v>Completed</v>
      </c>
      <c r="P1870" s="2" t="s">
        <v>30</v>
      </c>
      <c r="Q1870" s="2">
        <v>1</v>
      </c>
      <c r="R1870" s="2" t="s">
        <v>24</v>
      </c>
      <c r="S1870" s="11" t="str">
        <f t="shared" si="148"/>
        <v>Rendah</v>
      </c>
      <c r="T1870" s="2" t="str">
        <f t="shared" si="149"/>
        <v>Sangat Rendah</v>
      </c>
    </row>
    <row r="1871" spans="1:20" ht="15.75" customHeight="1" x14ac:dyDescent="0.3">
      <c r="A1871" s="4" t="s">
        <v>319</v>
      </c>
      <c r="B1871" s="3">
        <v>45572.621770833342</v>
      </c>
      <c r="C1871" s="2" t="s">
        <v>273</v>
      </c>
      <c r="D1871" s="2" t="s">
        <v>195</v>
      </c>
      <c r="E1871" s="2" t="s">
        <v>81</v>
      </c>
      <c r="F1871" s="2">
        <v>17000</v>
      </c>
      <c r="G1871" s="2">
        <v>4</v>
      </c>
      <c r="H1871" s="2">
        <v>10</v>
      </c>
      <c r="I1871">
        <f t="shared" si="145"/>
        <v>68000</v>
      </c>
      <c r="J1871">
        <f t="shared" si="146"/>
        <v>6800</v>
      </c>
      <c r="K1871" s="6">
        <f t="shared" si="147"/>
        <v>61200</v>
      </c>
      <c r="L1871" s="2">
        <v>87000</v>
      </c>
      <c r="M1871" s="6">
        <f>Table1[[#This Row],[Total Sales]]+Table1[[#This Row],[Shipping Fee]]</f>
        <v>148200</v>
      </c>
      <c r="N1871" s="2" t="s">
        <v>35</v>
      </c>
      <c r="O1871" t="str">
        <f>VLOOKUP(Table1[[#This Row],[Order ID]],Status!A:B, 2,FALSE)</f>
        <v>Completed</v>
      </c>
      <c r="P1871" s="2" t="s">
        <v>46</v>
      </c>
      <c r="Q1871" s="2">
        <v>1</v>
      </c>
      <c r="R1871" s="2" t="s">
        <v>24</v>
      </c>
      <c r="S1871" s="11" t="str">
        <f t="shared" si="148"/>
        <v>Rendah</v>
      </c>
      <c r="T1871" s="2" t="str">
        <f t="shared" si="149"/>
        <v>Rendah</v>
      </c>
    </row>
    <row r="1872" spans="1:20" ht="15.75" customHeight="1" x14ac:dyDescent="0.3">
      <c r="A1872" s="4" t="s">
        <v>317</v>
      </c>
      <c r="B1872" s="3">
        <v>45572.446215277778</v>
      </c>
      <c r="C1872" s="2" t="s">
        <v>318</v>
      </c>
      <c r="D1872" s="2" t="s">
        <v>244</v>
      </c>
      <c r="E1872" s="2" t="s">
        <v>81</v>
      </c>
      <c r="F1872" s="2">
        <v>17000</v>
      </c>
      <c r="G1872" s="2">
        <v>5</v>
      </c>
      <c r="H1872" s="2">
        <v>15</v>
      </c>
      <c r="I1872">
        <f t="shared" si="145"/>
        <v>85000</v>
      </c>
      <c r="J1872">
        <f t="shared" si="146"/>
        <v>12750</v>
      </c>
      <c r="K1872" s="6">
        <f t="shared" si="147"/>
        <v>72250</v>
      </c>
      <c r="L1872" s="2">
        <v>80000</v>
      </c>
      <c r="M1872" s="6">
        <f>Table1[[#This Row],[Total Sales]]+Table1[[#This Row],[Shipping Fee]]</f>
        <v>152250</v>
      </c>
      <c r="N1872" s="2" t="s">
        <v>35</v>
      </c>
      <c r="O1872" t="str">
        <f>VLOOKUP(Table1[[#This Row],[Order ID]],Status!A:B, 2,FALSE)</f>
        <v>Returned</v>
      </c>
      <c r="P1872" s="2" t="s">
        <v>23</v>
      </c>
      <c r="Q1872" s="2">
        <v>1</v>
      </c>
      <c r="R1872" s="2" t="s">
        <v>37</v>
      </c>
      <c r="S1872" s="11" t="str">
        <f t="shared" si="148"/>
        <v>Rendah</v>
      </c>
      <c r="T1872" s="2" t="str">
        <f t="shared" si="149"/>
        <v>Normal</v>
      </c>
    </row>
    <row r="1873" spans="1:20" ht="15.75" customHeight="1" x14ac:dyDescent="0.3">
      <c r="A1873" s="4" t="s">
        <v>315</v>
      </c>
      <c r="B1873" s="3">
        <v>45572.169282407413</v>
      </c>
      <c r="C1873" s="2" t="s">
        <v>316</v>
      </c>
      <c r="D1873" s="2" t="s">
        <v>244</v>
      </c>
      <c r="E1873" s="2" t="s">
        <v>174</v>
      </c>
      <c r="F1873" s="2">
        <v>10000</v>
      </c>
      <c r="G1873" s="2">
        <v>3</v>
      </c>
      <c r="H1873" s="2">
        <v>5</v>
      </c>
      <c r="I1873">
        <f t="shared" si="145"/>
        <v>30000</v>
      </c>
      <c r="J1873">
        <f t="shared" si="146"/>
        <v>1500</v>
      </c>
      <c r="K1873" s="6">
        <f t="shared" si="147"/>
        <v>28500</v>
      </c>
      <c r="L1873" s="2">
        <v>80000</v>
      </c>
      <c r="M1873" s="6">
        <f>Table1[[#This Row],[Total Sales]]+Table1[[#This Row],[Shipping Fee]]</f>
        <v>108500</v>
      </c>
      <c r="N1873" s="2" t="s">
        <v>63</v>
      </c>
      <c r="O1873" t="str">
        <f>VLOOKUP(Table1[[#This Row],[Order ID]],Status!A:B, 2,FALSE)</f>
        <v>Completed</v>
      </c>
      <c r="P1873" s="2" t="s">
        <v>23</v>
      </c>
      <c r="Q1873" s="2">
        <v>2</v>
      </c>
      <c r="R1873" s="2" t="s">
        <v>24</v>
      </c>
      <c r="S1873" s="11" t="str">
        <f t="shared" si="148"/>
        <v>Rendah</v>
      </c>
      <c r="T1873" s="2" t="str">
        <f t="shared" si="149"/>
        <v>Sangat Rendah</v>
      </c>
    </row>
    <row r="1874" spans="1:20" ht="15.75" customHeight="1" x14ac:dyDescent="0.3">
      <c r="A1874" s="4" t="s">
        <v>313</v>
      </c>
      <c r="B1874" s="3">
        <v>45572.168055555558</v>
      </c>
      <c r="C1874" s="2" t="s">
        <v>314</v>
      </c>
      <c r="D1874" s="2" t="s">
        <v>113</v>
      </c>
      <c r="E1874" s="2" t="s">
        <v>186</v>
      </c>
      <c r="F1874" s="2">
        <v>45000</v>
      </c>
      <c r="G1874" s="2">
        <v>4</v>
      </c>
      <c r="H1874" s="2">
        <v>10</v>
      </c>
      <c r="I1874">
        <f t="shared" si="145"/>
        <v>180000</v>
      </c>
      <c r="J1874">
        <f t="shared" si="146"/>
        <v>18000</v>
      </c>
      <c r="K1874" s="6">
        <f t="shared" si="147"/>
        <v>162000</v>
      </c>
      <c r="L1874" s="2">
        <v>18000</v>
      </c>
      <c r="M1874" s="6">
        <f>Table1[[#This Row],[Total Sales]]+Table1[[#This Row],[Shipping Fee]]</f>
        <v>180000</v>
      </c>
      <c r="N1874" s="2" t="s">
        <v>29</v>
      </c>
      <c r="O1874" t="str">
        <f>VLOOKUP(Table1[[#This Row],[Order ID]],Status!A:B, 2,FALSE)</f>
        <v>Completed</v>
      </c>
      <c r="P1874" s="2" t="s">
        <v>36</v>
      </c>
      <c r="Q1874" s="2">
        <v>1</v>
      </c>
      <c r="R1874" s="2" t="s">
        <v>24</v>
      </c>
      <c r="S1874" s="11" t="str">
        <f t="shared" si="148"/>
        <v>Rendah</v>
      </c>
      <c r="T1874" s="2" t="str">
        <f t="shared" si="149"/>
        <v>Normal</v>
      </c>
    </row>
    <row r="1875" spans="1:20" ht="15.75" customHeight="1" x14ac:dyDescent="0.3">
      <c r="A1875" s="4" t="s">
        <v>313</v>
      </c>
      <c r="B1875" s="3">
        <v>45572.168055555558</v>
      </c>
      <c r="C1875" s="2" t="s">
        <v>314</v>
      </c>
      <c r="D1875" s="2" t="s">
        <v>113</v>
      </c>
      <c r="E1875" s="2" t="s">
        <v>54</v>
      </c>
      <c r="F1875" s="2">
        <v>16000</v>
      </c>
      <c r="G1875" s="2">
        <v>3</v>
      </c>
      <c r="H1875" s="2">
        <v>10</v>
      </c>
      <c r="I1875">
        <f t="shared" si="145"/>
        <v>48000</v>
      </c>
      <c r="J1875">
        <f t="shared" si="146"/>
        <v>4800</v>
      </c>
      <c r="K1875" s="6">
        <f t="shared" si="147"/>
        <v>43200</v>
      </c>
      <c r="L1875" s="2">
        <v>0</v>
      </c>
      <c r="M1875" s="6">
        <f>Table1[[#This Row],[Total Sales]]+Table1[[#This Row],[Shipping Fee]]</f>
        <v>43200</v>
      </c>
      <c r="N1875" s="2" t="s">
        <v>29</v>
      </c>
      <c r="O1875" t="str">
        <f>VLOOKUP(Table1[[#This Row],[Order ID]],Status!A:B, 2,FALSE)</f>
        <v>Completed</v>
      </c>
      <c r="P1875" s="2" t="s">
        <v>36</v>
      </c>
      <c r="Q1875" s="2">
        <v>1</v>
      </c>
      <c r="R1875" s="2" t="s">
        <v>24</v>
      </c>
      <c r="S1875" s="11" t="str">
        <f t="shared" si="148"/>
        <v>Rendah</v>
      </c>
      <c r="T1875" s="2" t="str">
        <f t="shared" si="149"/>
        <v>Sangat Rendah</v>
      </c>
    </row>
    <row r="1876" spans="1:20" ht="15.75" customHeight="1" x14ac:dyDescent="0.3">
      <c r="A1876" s="4" t="s">
        <v>312</v>
      </c>
      <c r="B1876" s="3">
        <v>45571.958182870367</v>
      </c>
      <c r="C1876" s="2" t="s">
        <v>311</v>
      </c>
      <c r="D1876" s="2" t="s">
        <v>116</v>
      </c>
      <c r="E1876" s="2" t="s">
        <v>58</v>
      </c>
      <c r="F1876" s="2">
        <v>16000</v>
      </c>
      <c r="G1876" s="2">
        <v>1</v>
      </c>
      <c r="H1876" s="2">
        <v>15</v>
      </c>
      <c r="I1876">
        <f t="shared" si="145"/>
        <v>16000</v>
      </c>
      <c r="J1876">
        <f t="shared" si="146"/>
        <v>2400</v>
      </c>
      <c r="K1876" s="6">
        <f t="shared" si="147"/>
        <v>13600</v>
      </c>
      <c r="L1876" s="2">
        <v>72000</v>
      </c>
      <c r="M1876" s="6">
        <f>Table1[[#This Row],[Total Sales]]+Table1[[#This Row],[Shipping Fee]]</f>
        <v>85600</v>
      </c>
      <c r="N1876" s="2" t="s">
        <v>35</v>
      </c>
      <c r="O1876" t="str">
        <f>VLOOKUP(Table1[[#This Row],[Order ID]],Status!A:B, 2,FALSE)</f>
        <v>Returned</v>
      </c>
      <c r="P1876" s="2" t="s">
        <v>82</v>
      </c>
      <c r="Q1876" s="2">
        <v>1</v>
      </c>
      <c r="R1876" s="2" t="s">
        <v>24</v>
      </c>
      <c r="S1876" s="11" t="str">
        <f t="shared" si="148"/>
        <v>Rendah</v>
      </c>
      <c r="T1876" s="2" t="str">
        <f t="shared" si="149"/>
        <v>Sangat Rendah</v>
      </c>
    </row>
    <row r="1877" spans="1:20" ht="15.75" customHeight="1" x14ac:dyDescent="0.3">
      <c r="A1877" s="4" t="s">
        <v>310</v>
      </c>
      <c r="B1877" s="3">
        <v>45571.595104166663</v>
      </c>
      <c r="C1877" s="2" t="s">
        <v>311</v>
      </c>
      <c r="D1877" s="2" t="s">
        <v>116</v>
      </c>
      <c r="E1877" s="2" t="s">
        <v>45</v>
      </c>
      <c r="F1877" s="2">
        <v>40000</v>
      </c>
      <c r="G1877" s="2">
        <v>4</v>
      </c>
      <c r="H1877" s="2">
        <v>0</v>
      </c>
      <c r="I1877">
        <f t="shared" si="145"/>
        <v>160000</v>
      </c>
      <c r="J1877">
        <f t="shared" si="146"/>
        <v>0</v>
      </c>
      <c r="K1877" s="6">
        <f t="shared" si="147"/>
        <v>160000</v>
      </c>
      <c r="L1877" s="2">
        <v>72000</v>
      </c>
      <c r="M1877" s="6">
        <f>Table1[[#This Row],[Total Sales]]+Table1[[#This Row],[Shipping Fee]]</f>
        <v>232000</v>
      </c>
      <c r="N1877" s="2" t="s">
        <v>35</v>
      </c>
      <c r="O1877" t="str">
        <f>VLOOKUP(Table1[[#This Row],[Order ID]],Status!A:B, 2,FALSE)</f>
        <v>Completed</v>
      </c>
      <c r="P1877" s="2" t="s">
        <v>82</v>
      </c>
      <c r="Q1877" s="2">
        <v>3</v>
      </c>
      <c r="R1877" s="2" t="s">
        <v>24</v>
      </c>
      <c r="S1877" s="11" t="str">
        <f t="shared" si="148"/>
        <v>Standar</v>
      </c>
      <c r="T1877" s="2" t="str">
        <f t="shared" si="149"/>
        <v>Sangat Rendah</v>
      </c>
    </row>
    <row r="1878" spans="1:20" ht="15.75" customHeight="1" x14ac:dyDescent="0.3">
      <c r="A1878" s="4" t="s">
        <v>308</v>
      </c>
      <c r="B1878" s="3">
        <v>45571.581678240742</v>
      </c>
      <c r="C1878" s="2" t="s">
        <v>309</v>
      </c>
      <c r="D1878" s="2" t="s">
        <v>107</v>
      </c>
      <c r="E1878" s="2" t="s">
        <v>85</v>
      </c>
      <c r="F1878" s="2">
        <v>35000</v>
      </c>
      <c r="G1878" s="2">
        <v>4</v>
      </c>
      <c r="H1878" s="2">
        <v>0</v>
      </c>
      <c r="I1878">
        <f t="shared" si="145"/>
        <v>140000</v>
      </c>
      <c r="J1878">
        <f t="shared" si="146"/>
        <v>0</v>
      </c>
      <c r="K1878" s="6">
        <f t="shared" si="147"/>
        <v>140000</v>
      </c>
      <c r="L1878" s="2">
        <v>97000</v>
      </c>
      <c r="M1878" s="6">
        <f>Table1[[#This Row],[Total Sales]]+Table1[[#This Row],[Shipping Fee]]</f>
        <v>237000</v>
      </c>
      <c r="N1878" s="2" t="s">
        <v>22</v>
      </c>
      <c r="O1878" t="str">
        <f>VLOOKUP(Table1[[#This Row],[Order ID]],Status!A:B, 2,FALSE)</f>
        <v>Completed</v>
      </c>
      <c r="P1878" s="2" t="s">
        <v>23</v>
      </c>
      <c r="Q1878" s="2">
        <v>1</v>
      </c>
      <c r="R1878" s="2" t="s">
        <v>37</v>
      </c>
      <c r="S1878" s="11" t="str">
        <f t="shared" si="148"/>
        <v>Rendah</v>
      </c>
      <c r="T1878" s="2" t="str">
        <f t="shared" si="149"/>
        <v>Sangat Rendah</v>
      </c>
    </row>
    <row r="1879" spans="1:20" ht="15.75" customHeight="1" x14ac:dyDescent="0.3">
      <c r="A1879" s="4" t="s">
        <v>306</v>
      </c>
      <c r="B1879" s="3">
        <v>45571.541539351849</v>
      </c>
      <c r="C1879" s="2" t="s">
        <v>307</v>
      </c>
      <c r="D1879" s="2" t="s">
        <v>70</v>
      </c>
      <c r="E1879" s="2" t="s">
        <v>81</v>
      </c>
      <c r="F1879" s="2">
        <v>17000</v>
      </c>
      <c r="G1879" s="2">
        <v>5</v>
      </c>
      <c r="H1879" s="2">
        <v>5</v>
      </c>
      <c r="I1879">
        <f t="shared" si="145"/>
        <v>85000</v>
      </c>
      <c r="J1879">
        <f t="shared" si="146"/>
        <v>4250</v>
      </c>
      <c r="K1879" s="6">
        <f t="shared" si="147"/>
        <v>80750</v>
      </c>
      <c r="L1879" s="2">
        <v>89000</v>
      </c>
      <c r="M1879" s="6">
        <f>Table1[[#This Row],[Total Sales]]+Table1[[#This Row],[Shipping Fee]]</f>
        <v>169750</v>
      </c>
      <c r="N1879" s="2" t="s">
        <v>35</v>
      </c>
      <c r="O1879" t="str">
        <f>VLOOKUP(Table1[[#This Row],[Order ID]],Status!A:B, 2,FALSE)</f>
        <v>Completed</v>
      </c>
      <c r="P1879" s="2" t="s">
        <v>23</v>
      </c>
      <c r="Q1879" s="2">
        <v>4</v>
      </c>
      <c r="R1879" s="2" t="s">
        <v>24</v>
      </c>
      <c r="S1879" s="11" t="str">
        <f t="shared" si="148"/>
        <v>Bagus</v>
      </c>
      <c r="T1879" s="2" t="str">
        <f t="shared" si="149"/>
        <v>Sangat Rendah</v>
      </c>
    </row>
    <row r="1880" spans="1:20" ht="15.75" customHeight="1" x14ac:dyDescent="0.3">
      <c r="A1880" s="4" t="s">
        <v>304</v>
      </c>
      <c r="B1880" s="3">
        <v>45571.434687499997</v>
      </c>
      <c r="C1880" s="2" t="s">
        <v>305</v>
      </c>
      <c r="D1880" s="2" t="s">
        <v>143</v>
      </c>
      <c r="E1880" s="2" t="s">
        <v>250</v>
      </c>
      <c r="F1880" s="2">
        <v>18000</v>
      </c>
      <c r="G1880" s="2">
        <v>1</v>
      </c>
      <c r="H1880" s="2">
        <v>20</v>
      </c>
      <c r="I1880">
        <f t="shared" si="145"/>
        <v>18000</v>
      </c>
      <c r="J1880">
        <f t="shared" si="146"/>
        <v>3600</v>
      </c>
      <c r="K1880" s="6">
        <f t="shared" si="147"/>
        <v>14400</v>
      </c>
      <c r="L1880" s="2">
        <v>50000</v>
      </c>
      <c r="M1880" s="6">
        <f>Table1[[#This Row],[Total Sales]]+Table1[[#This Row],[Shipping Fee]]</f>
        <v>64400</v>
      </c>
      <c r="N1880" s="2" t="s">
        <v>22</v>
      </c>
      <c r="O1880" t="str">
        <f>VLOOKUP(Table1[[#This Row],[Order ID]],Status!A:B, 2,FALSE)</f>
        <v>Completed</v>
      </c>
      <c r="P1880" s="2" t="s">
        <v>46</v>
      </c>
      <c r="Q1880" s="2">
        <v>3</v>
      </c>
      <c r="R1880" s="2" t="s">
        <v>24</v>
      </c>
      <c r="S1880" s="11" t="str">
        <f t="shared" si="148"/>
        <v>Standar</v>
      </c>
      <c r="T1880" s="2" t="str">
        <f t="shared" si="149"/>
        <v>Sangat Rendah</v>
      </c>
    </row>
    <row r="1881" spans="1:20" ht="15.75" customHeight="1" x14ac:dyDescent="0.3">
      <c r="A1881" s="4" t="s">
        <v>304</v>
      </c>
      <c r="B1881" s="3">
        <v>45571.434687499997</v>
      </c>
      <c r="C1881" s="2" t="s">
        <v>305</v>
      </c>
      <c r="D1881" s="2" t="s">
        <v>143</v>
      </c>
      <c r="E1881" s="2" t="s">
        <v>41</v>
      </c>
      <c r="F1881" s="2">
        <v>4000</v>
      </c>
      <c r="G1881" s="2">
        <v>3</v>
      </c>
      <c r="H1881" s="2">
        <v>10</v>
      </c>
      <c r="I1881">
        <f t="shared" si="145"/>
        <v>12000</v>
      </c>
      <c r="J1881">
        <f t="shared" si="146"/>
        <v>1200</v>
      </c>
      <c r="K1881" s="6">
        <f t="shared" si="147"/>
        <v>10800</v>
      </c>
      <c r="L1881" s="2">
        <v>0</v>
      </c>
      <c r="M1881" s="6">
        <f>Table1[[#This Row],[Total Sales]]+Table1[[#This Row],[Shipping Fee]]</f>
        <v>10800</v>
      </c>
      <c r="N1881" s="2" t="s">
        <v>22</v>
      </c>
      <c r="O1881" t="str">
        <f>VLOOKUP(Table1[[#This Row],[Order ID]],Status!A:B, 2,FALSE)</f>
        <v>Completed</v>
      </c>
      <c r="P1881" s="2" t="s">
        <v>46</v>
      </c>
      <c r="Q1881" s="2">
        <v>3</v>
      </c>
      <c r="R1881" s="2" t="s">
        <v>24</v>
      </c>
      <c r="S1881" s="11" t="str">
        <f t="shared" si="148"/>
        <v>Standar</v>
      </c>
      <c r="T1881" s="2" t="str">
        <f t="shared" si="149"/>
        <v>Sangat Rendah</v>
      </c>
    </row>
    <row r="1882" spans="1:20" ht="15.75" customHeight="1" x14ac:dyDescent="0.3">
      <c r="A1882" s="4" t="s">
        <v>303</v>
      </c>
      <c r="B1882" s="3">
        <v>45571.307962962957</v>
      </c>
      <c r="C1882" s="2" t="s">
        <v>192</v>
      </c>
      <c r="D1882" s="2" t="s">
        <v>107</v>
      </c>
      <c r="E1882" s="2" t="s">
        <v>38</v>
      </c>
      <c r="F1882" s="2">
        <v>28000</v>
      </c>
      <c r="G1882" s="2">
        <v>4</v>
      </c>
      <c r="H1882" s="2">
        <v>0</v>
      </c>
      <c r="I1882">
        <f t="shared" si="145"/>
        <v>112000</v>
      </c>
      <c r="J1882">
        <f t="shared" si="146"/>
        <v>0</v>
      </c>
      <c r="K1882" s="6">
        <f t="shared" si="147"/>
        <v>112000</v>
      </c>
      <c r="L1882" s="2">
        <v>97000</v>
      </c>
      <c r="M1882" s="6">
        <f>Table1[[#This Row],[Total Sales]]+Table1[[#This Row],[Shipping Fee]]</f>
        <v>209000</v>
      </c>
      <c r="N1882" s="2" t="s">
        <v>35</v>
      </c>
      <c r="O1882" t="str">
        <f>VLOOKUP(Table1[[#This Row],[Order ID]],Status!A:B, 2,FALSE)</f>
        <v>Completed</v>
      </c>
      <c r="P1882" s="2" t="s">
        <v>36</v>
      </c>
      <c r="Q1882" s="2">
        <v>2</v>
      </c>
      <c r="R1882" s="2" t="s">
        <v>24</v>
      </c>
      <c r="S1882" s="11" t="str">
        <f t="shared" si="148"/>
        <v>Rendah</v>
      </c>
      <c r="T1882" s="2" t="str">
        <f t="shared" si="149"/>
        <v>Sangat Rendah</v>
      </c>
    </row>
    <row r="1883" spans="1:20" ht="15.75" customHeight="1" x14ac:dyDescent="0.3">
      <c r="A1883" s="4" t="s">
        <v>301</v>
      </c>
      <c r="B1883" s="3">
        <v>45571.2656712963</v>
      </c>
      <c r="C1883" s="2" t="s">
        <v>302</v>
      </c>
      <c r="D1883" s="2" t="s">
        <v>74</v>
      </c>
      <c r="E1883" s="2" t="s">
        <v>85</v>
      </c>
      <c r="F1883" s="2">
        <v>35000</v>
      </c>
      <c r="G1883" s="2">
        <v>1</v>
      </c>
      <c r="H1883" s="2">
        <v>10</v>
      </c>
      <c r="I1883">
        <f t="shared" si="145"/>
        <v>35000</v>
      </c>
      <c r="J1883">
        <f t="shared" si="146"/>
        <v>3500</v>
      </c>
      <c r="K1883" s="6">
        <f t="shared" si="147"/>
        <v>31500</v>
      </c>
      <c r="L1883" s="2">
        <v>87000</v>
      </c>
      <c r="M1883" s="6">
        <f>Table1[[#This Row],[Total Sales]]+Table1[[#This Row],[Shipping Fee]]</f>
        <v>118500</v>
      </c>
      <c r="N1883" s="2" t="s">
        <v>29</v>
      </c>
      <c r="O1883" t="str">
        <f>VLOOKUP(Table1[[#This Row],[Order ID]],Status!A:B, 2,FALSE)</f>
        <v>Completed</v>
      </c>
      <c r="P1883" s="2" t="s">
        <v>82</v>
      </c>
      <c r="Q1883" s="2">
        <v>1</v>
      </c>
      <c r="R1883" s="2" t="s">
        <v>24</v>
      </c>
      <c r="S1883" s="11" t="str">
        <f t="shared" si="148"/>
        <v>Rendah</v>
      </c>
      <c r="T1883" s="2" t="str">
        <f t="shared" si="149"/>
        <v>Sangat Rendah</v>
      </c>
    </row>
    <row r="1884" spans="1:20" ht="15.75" customHeight="1" x14ac:dyDescent="0.3">
      <c r="A1884" s="4" t="s">
        <v>300</v>
      </c>
      <c r="B1884" s="3">
        <v>45570.984722222223</v>
      </c>
      <c r="C1884" s="2" t="s">
        <v>261</v>
      </c>
      <c r="D1884" s="2" t="s">
        <v>262</v>
      </c>
      <c r="E1884" s="2" t="s">
        <v>21</v>
      </c>
      <c r="F1884" s="2">
        <v>45000</v>
      </c>
      <c r="G1884" s="2">
        <v>1</v>
      </c>
      <c r="H1884" s="2">
        <v>5</v>
      </c>
      <c r="I1884">
        <f t="shared" si="145"/>
        <v>45000</v>
      </c>
      <c r="J1884">
        <f t="shared" si="146"/>
        <v>2250</v>
      </c>
      <c r="K1884" s="6">
        <f t="shared" si="147"/>
        <v>42750</v>
      </c>
      <c r="L1884" s="2">
        <v>18000</v>
      </c>
      <c r="M1884" s="6">
        <f>Table1[[#This Row],[Total Sales]]+Table1[[#This Row],[Shipping Fee]]</f>
        <v>60750</v>
      </c>
      <c r="N1884" s="2" t="s">
        <v>29</v>
      </c>
      <c r="O1884" t="str">
        <f>VLOOKUP(Table1[[#This Row],[Order ID]],Status!A:B, 2,FALSE)</f>
        <v>Returned</v>
      </c>
      <c r="P1884" s="2" t="s">
        <v>30</v>
      </c>
      <c r="Q1884" s="2">
        <v>4</v>
      </c>
      <c r="R1884" s="2" t="s">
        <v>24</v>
      </c>
      <c r="S1884" s="11" t="str">
        <f t="shared" si="148"/>
        <v>Bagus</v>
      </c>
      <c r="T1884" s="2" t="str">
        <f t="shared" si="149"/>
        <v>Sangat Rendah</v>
      </c>
    </row>
    <row r="1885" spans="1:20" ht="15.75" customHeight="1" x14ac:dyDescent="0.3">
      <c r="A1885" s="4" t="s">
        <v>298</v>
      </c>
      <c r="B1885" s="3">
        <v>45570.857453703713</v>
      </c>
      <c r="C1885" s="2" t="s">
        <v>299</v>
      </c>
      <c r="D1885" s="2" t="s">
        <v>163</v>
      </c>
      <c r="E1885" s="2" t="s">
        <v>28</v>
      </c>
      <c r="F1885" s="2">
        <v>5000</v>
      </c>
      <c r="G1885" s="2">
        <v>3</v>
      </c>
      <c r="H1885" s="2">
        <v>15</v>
      </c>
      <c r="I1885">
        <f t="shared" si="145"/>
        <v>15000</v>
      </c>
      <c r="J1885">
        <f t="shared" si="146"/>
        <v>2250</v>
      </c>
      <c r="K1885" s="6">
        <f t="shared" si="147"/>
        <v>12750</v>
      </c>
      <c r="L1885" s="2">
        <v>50000</v>
      </c>
      <c r="M1885" s="6">
        <f>Table1[[#This Row],[Total Sales]]+Table1[[#This Row],[Shipping Fee]]</f>
        <v>62750</v>
      </c>
      <c r="N1885" s="2" t="s">
        <v>35</v>
      </c>
      <c r="O1885" t="str">
        <f>VLOOKUP(Table1[[#This Row],[Order ID]],Status!A:B, 2,FALSE)</f>
        <v>Returned</v>
      </c>
      <c r="P1885" s="2" t="s">
        <v>23</v>
      </c>
      <c r="Q1885" s="2">
        <v>1</v>
      </c>
      <c r="R1885" s="2" t="s">
        <v>24</v>
      </c>
      <c r="S1885" s="11" t="str">
        <f t="shared" si="148"/>
        <v>Rendah</v>
      </c>
      <c r="T1885" s="2" t="str">
        <f t="shared" si="149"/>
        <v>Sangat Rendah</v>
      </c>
    </row>
    <row r="1886" spans="1:20" ht="15.75" customHeight="1" x14ac:dyDescent="0.3">
      <c r="A1886" s="4" t="s">
        <v>297</v>
      </c>
      <c r="B1886" s="3">
        <v>45570.514328703714</v>
      </c>
      <c r="C1886" s="2" t="s">
        <v>209</v>
      </c>
      <c r="D1886" s="2" t="s">
        <v>143</v>
      </c>
      <c r="E1886" s="2" t="s">
        <v>67</v>
      </c>
      <c r="F1886" s="2">
        <v>15000</v>
      </c>
      <c r="G1886" s="2">
        <v>1</v>
      </c>
      <c r="H1886" s="2">
        <v>15</v>
      </c>
      <c r="I1886">
        <f t="shared" si="145"/>
        <v>15000</v>
      </c>
      <c r="J1886">
        <f t="shared" si="146"/>
        <v>2250</v>
      </c>
      <c r="K1886" s="6">
        <f t="shared" si="147"/>
        <v>12750</v>
      </c>
      <c r="L1886" s="2">
        <v>50000</v>
      </c>
      <c r="M1886" s="6">
        <f>Table1[[#This Row],[Total Sales]]+Table1[[#This Row],[Shipping Fee]]</f>
        <v>62750</v>
      </c>
      <c r="N1886" s="2" t="s">
        <v>63</v>
      </c>
      <c r="O1886" t="str">
        <f>VLOOKUP(Table1[[#This Row],[Order ID]],Status!A:B, 2,FALSE)</f>
        <v>Completed</v>
      </c>
      <c r="P1886" s="2" t="s">
        <v>23</v>
      </c>
      <c r="Q1886" s="2">
        <v>4</v>
      </c>
      <c r="R1886" s="2" t="s">
        <v>37</v>
      </c>
      <c r="S1886" s="11" t="str">
        <f t="shared" si="148"/>
        <v>Bagus</v>
      </c>
      <c r="T1886" s="2" t="str">
        <f t="shared" si="149"/>
        <v>Sangat Rendah</v>
      </c>
    </row>
    <row r="1887" spans="1:20" ht="15.75" customHeight="1" x14ac:dyDescent="0.3">
      <c r="A1887" s="4" t="s">
        <v>294</v>
      </c>
      <c r="B1887" s="3">
        <v>45570.395057870373</v>
      </c>
      <c r="C1887" s="2" t="s">
        <v>295</v>
      </c>
      <c r="D1887" s="2" t="s">
        <v>296</v>
      </c>
      <c r="E1887" s="2" t="s">
        <v>190</v>
      </c>
      <c r="F1887" s="2">
        <v>35000</v>
      </c>
      <c r="G1887" s="2">
        <v>4</v>
      </c>
      <c r="H1887" s="2">
        <v>15</v>
      </c>
      <c r="I1887">
        <f t="shared" si="145"/>
        <v>140000</v>
      </c>
      <c r="J1887">
        <f t="shared" si="146"/>
        <v>21000</v>
      </c>
      <c r="K1887" s="6">
        <f t="shared" si="147"/>
        <v>119000</v>
      </c>
      <c r="L1887" s="2">
        <v>79000</v>
      </c>
      <c r="M1887" s="6">
        <f>Table1[[#This Row],[Total Sales]]+Table1[[#This Row],[Shipping Fee]]</f>
        <v>198000</v>
      </c>
      <c r="N1887" s="2" t="s">
        <v>22</v>
      </c>
      <c r="O1887" t="str">
        <f>VLOOKUP(Table1[[#This Row],[Order ID]],Status!A:B, 2,FALSE)</f>
        <v>Returned</v>
      </c>
      <c r="P1887" s="2" t="s">
        <v>36</v>
      </c>
      <c r="Q1887" s="2">
        <v>1</v>
      </c>
      <c r="R1887" s="2" t="s">
        <v>24</v>
      </c>
      <c r="S1887" s="11" t="str">
        <f t="shared" si="148"/>
        <v>Rendah</v>
      </c>
      <c r="T1887" s="2" t="str">
        <f t="shared" si="149"/>
        <v>Tinggi</v>
      </c>
    </row>
    <row r="1888" spans="1:20" ht="15.75" customHeight="1" x14ac:dyDescent="0.3">
      <c r="A1888" s="4" t="s">
        <v>293</v>
      </c>
      <c r="B1888" s="3">
        <v>45570.166203703702</v>
      </c>
      <c r="C1888" s="2" t="s">
        <v>235</v>
      </c>
      <c r="D1888" s="2" t="s">
        <v>189</v>
      </c>
      <c r="E1888" s="2" t="s">
        <v>174</v>
      </c>
      <c r="F1888" s="2">
        <v>10000</v>
      </c>
      <c r="G1888" s="2">
        <v>1</v>
      </c>
      <c r="H1888" s="2">
        <v>10</v>
      </c>
      <c r="I1888">
        <f t="shared" si="145"/>
        <v>10000</v>
      </c>
      <c r="J1888">
        <f t="shared" si="146"/>
        <v>1000</v>
      </c>
      <c r="K1888" s="6">
        <f t="shared" si="147"/>
        <v>9000</v>
      </c>
      <c r="L1888" s="2">
        <v>57000</v>
      </c>
      <c r="M1888" s="6">
        <f>Table1[[#This Row],[Total Sales]]+Table1[[#This Row],[Shipping Fee]]</f>
        <v>66000</v>
      </c>
      <c r="N1888" s="2" t="s">
        <v>29</v>
      </c>
      <c r="O1888" t="str">
        <f>VLOOKUP(Table1[[#This Row],[Order ID]],Status!A:B, 2,FALSE)</f>
        <v>Completed</v>
      </c>
      <c r="P1888" s="2" t="s">
        <v>82</v>
      </c>
      <c r="Q1888" s="2">
        <v>4</v>
      </c>
      <c r="R1888" s="2" t="s">
        <v>37</v>
      </c>
      <c r="S1888" s="11" t="str">
        <f t="shared" si="148"/>
        <v>Bagus</v>
      </c>
      <c r="T1888" s="2" t="str">
        <f t="shared" si="149"/>
        <v>Sangat Rendah</v>
      </c>
    </row>
    <row r="1889" spans="1:20" ht="15.75" customHeight="1" x14ac:dyDescent="0.3">
      <c r="A1889" s="4" t="s">
        <v>292</v>
      </c>
      <c r="B1889" s="3">
        <v>45569.778032407397</v>
      </c>
      <c r="C1889" s="2" t="s">
        <v>192</v>
      </c>
      <c r="D1889" s="2" t="s">
        <v>107</v>
      </c>
      <c r="E1889" s="2" t="s">
        <v>104</v>
      </c>
      <c r="F1889" s="2">
        <v>30000</v>
      </c>
      <c r="G1889" s="2">
        <v>5</v>
      </c>
      <c r="H1889" s="2">
        <v>0</v>
      </c>
      <c r="I1889">
        <f t="shared" si="145"/>
        <v>150000</v>
      </c>
      <c r="J1889">
        <f t="shared" si="146"/>
        <v>0</v>
      </c>
      <c r="K1889" s="6">
        <f t="shared" si="147"/>
        <v>150000</v>
      </c>
      <c r="L1889" s="2">
        <v>97000</v>
      </c>
      <c r="M1889" s="6">
        <f>Table1[[#This Row],[Total Sales]]+Table1[[#This Row],[Shipping Fee]]</f>
        <v>247000</v>
      </c>
      <c r="N1889" s="2" t="s">
        <v>22</v>
      </c>
      <c r="O1889" t="str">
        <f>VLOOKUP(Table1[[#This Row],[Order ID]],Status!A:B, 2,FALSE)</f>
        <v>Cancelled</v>
      </c>
      <c r="P1889" s="2" t="s">
        <v>30</v>
      </c>
      <c r="Q1889" s="2">
        <v>3</v>
      </c>
      <c r="R1889" s="2" t="s">
        <v>24</v>
      </c>
      <c r="S1889" s="11" t="str">
        <f t="shared" si="148"/>
        <v>Standar</v>
      </c>
      <c r="T1889" s="2" t="str">
        <f t="shared" si="149"/>
        <v>Sangat Rendah</v>
      </c>
    </row>
    <row r="1890" spans="1:20" ht="15.75" customHeight="1" x14ac:dyDescent="0.3">
      <c r="A1890" s="4" t="s">
        <v>290</v>
      </c>
      <c r="B1890" s="3">
        <v>45569.503067129634</v>
      </c>
      <c r="C1890" s="2" t="s">
        <v>291</v>
      </c>
      <c r="D1890" s="2" t="s">
        <v>49</v>
      </c>
      <c r="E1890" s="2" t="s">
        <v>144</v>
      </c>
      <c r="F1890" s="2">
        <v>18000</v>
      </c>
      <c r="G1890" s="2">
        <v>4</v>
      </c>
      <c r="H1890" s="2">
        <v>5</v>
      </c>
      <c r="I1890">
        <f t="shared" si="145"/>
        <v>72000</v>
      </c>
      <c r="J1890">
        <f t="shared" si="146"/>
        <v>3600</v>
      </c>
      <c r="K1890" s="6">
        <f t="shared" si="147"/>
        <v>68400</v>
      </c>
      <c r="L1890" s="2">
        <v>43000</v>
      </c>
      <c r="M1890" s="6">
        <f>Table1[[#This Row],[Total Sales]]+Table1[[#This Row],[Shipping Fee]]</f>
        <v>111400</v>
      </c>
      <c r="N1890" s="2" t="s">
        <v>22</v>
      </c>
      <c r="O1890" t="str">
        <f>VLOOKUP(Table1[[#This Row],[Order ID]],Status!A:B, 2,FALSE)</f>
        <v>Returned</v>
      </c>
      <c r="P1890" s="2" t="s">
        <v>46</v>
      </c>
      <c r="Q1890" s="2">
        <v>3</v>
      </c>
      <c r="R1890" s="2" t="s">
        <v>37</v>
      </c>
      <c r="S1890" s="11" t="str">
        <f t="shared" si="148"/>
        <v>Standar</v>
      </c>
      <c r="T1890" s="2" t="str">
        <f t="shared" si="149"/>
        <v>Sangat Rendah</v>
      </c>
    </row>
    <row r="1891" spans="1:20" ht="15.75" customHeight="1" x14ac:dyDescent="0.3">
      <c r="A1891" s="4" t="s">
        <v>288</v>
      </c>
      <c r="B1891" s="3">
        <v>45569.413773148153</v>
      </c>
      <c r="C1891" s="2" t="s">
        <v>289</v>
      </c>
      <c r="D1891" s="2" t="s">
        <v>20</v>
      </c>
      <c r="E1891" s="2" t="s">
        <v>123</v>
      </c>
      <c r="F1891" s="2">
        <v>22000</v>
      </c>
      <c r="G1891" s="2">
        <v>4</v>
      </c>
      <c r="H1891" s="2">
        <v>5</v>
      </c>
      <c r="I1891">
        <f t="shared" si="145"/>
        <v>88000</v>
      </c>
      <c r="J1891">
        <f t="shared" si="146"/>
        <v>4400</v>
      </c>
      <c r="K1891" s="6">
        <f t="shared" si="147"/>
        <v>83600</v>
      </c>
      <c r="L1891" s="2">
        <v>15000</v>
      </c>
      <c r="M1891" s="6">
        <f>Table1[[#This Row],[Total Sales]]+Table1[[#This Row],[Shipping Fee]]</f>
        <v>98600</v>
      </c>
      <c r="N1891" s="2" t="s">
        <v>63</v>
      </c>
      <c r="O1891" t="str">
        <f>VLOOKUP(Table1[[#This Row],[Order ID]],Status!A:B, 2,FALSE)</f>
        <v>Completed</v>
      </c>
      <c r="P1891" s="2" t="s">
        <v>23</v>
      </c>
      <c r="Q1891" s="2">
        <v>3</v>
      </c>
      <c r="R1891" s="2" t="s">
        <v>24</v>
      </c>
      <c r="S1891" s="11" t="str">
        <f t="shared" si="148"/>
        <v>Standar</v>
      </c>
      <c r="T1891" s="2" t="str">
        <f t="shared" si="149"/>
        <v>Sangat Rendah</v>
      </c>
    </row>
    <row r="1892" spans="1:20" ht="15.75" customHeight="1" x14ac:dyDescent="0.3">
      <c r="A1892" s="4" t="s">
        <v>286</v>
      </c>
      <c r="B1892" s="3">
        <v>45568.966736111113</v>
      </c>
      <c r="C1892" s="2" t="s">
        <v>287</v>
      </c>
      <c r="D1892" s="2" t="s">
        <v>262</v>
      </c>
      <c r="E1892" s="2" t="s">
        <v>28</v>
      </c>
      <c r="F1892" s="2">
        <v>5000</v>
      </c>
      <c r="G1892" s="2">
        <v>5</v>
      </c>
      <c r="H1892" s="2">
        <v>5</v>
      </c>
      <c r="I1892">
        <f t="shared" si="145"/>
        <v>25000</v>
      </c>
      <c r="J1892">
        <f t="shared" si="146"/>
        <v>1250</v>
      </c>
      <c r="K1892" s="6">
        <f t="shared" si="147"/>
        <v>23750</v>
      </c>
      <c r="L1892" s="2">
        <v>18000</v>
      </c>
      <c r="M1892" s="6">
        <f>Table1[[#This Row],[Total Sales]]+Table1[[#This Row],[Shipping Fee]]</f>
        <v>41750</v>
      </c>
      <c r="N1892" s="2" t="s">
        <v>35</v>
      </c>
      <c r="O1892" t="str">
        <f>VLOOKUP(Table1[[#This Row],[Order ID]],Status!A:B, 2,FALSE)</f>
        <v>Completed</v>
      </c>
      <c r="P1892" s="2" t="s">
        <v>30</v>
      </c>
      <c r="Q1892" s="2">
        <v>1</v>
      </c>
      <c r="R1892" s="2" t="s">
        <v>24</v>
      </c>
      <c r="S1892" s="11" t="str">
        <f t="shared" si="148"/>
        <v>Rendah</v>
      </c>
      <c r="T1892" s="2" t="str">
        <f t="shared" si="149"/>
        <v>Sangat Rendah</v>
      </c>
    </row>
    <row r="1893" spans="1:20" ht="15.75" customHeight="1" x14ac:dyDescent="0.3">
      <c r="A1893" s="4" t="s">
        <v>284</v>
      </c>
      <c r="B1893" s="3">
        <v>45568.892858796287</v>
      </c>
      <c r="C1893" s="2" t="s">
        <v>285</v>
      </c>
      <c r="D1893" s="2" t="s">
        <v>20</v>
      </c>
      <c r="E1893" s="2" t="s">
        <v>186</v>
      </c>
      <c r="F1893" s="2">
        <v>45000</v>
      </c>
      <c r="G1893" s="2">
        <v>2</v>
      </c>
      <c r="H1893" s="2">
        <v>15</v>
      </c>
      <c r="I1893">
        <f t="shared" si="145"/>
        <v>90000</v>
      </c>
      <c r="J1893">
        <f t="shared" si="146"/>
        <v>13500</v>
      </c>
      <c r="K1893" s="6">
        <f t="shared" si="147"/>
        <v>76500</v>
      </c>
      <c r="L1893" s="2">
        <v>15000</v>
      </c>
      <c r="M1893" s="6">
        <f>Table1[[#This Row],[Total Sales]]+Table1[[#This Row],[Shipping Fee]]</f>
        <v>91500</v>
      </c>
      <c r="N1893" s="2" t="s">
        <v>29</v>
      </c>
      <c r="O1893" t="str">
        <f>VLOOKUP(Table1[[#This Row],[Order ID]],Status!A:B, 2,FALSE)</f>
        <v>Completed</v>
      </c>
      <c r="P1893" s="2" t="s">
        <v>30</v>
      </c>
      <c r="Q1893" s="2">
        <v>2</v>
      </c>
      <c r="R1893" s="2" t="s">
        <v>37</v>
      </c>
      <c r="S1893" s="11" t="str">
        <f t="shared" si="148"/>
        <v>Rendah</v>
      </c>
      <c r="T1893" s="2" t="str">
        <f t="shared" si="149"/>
        <v>Normal</v>
      </c>
    </row>
    <row r="1894" spans="1:20" ht="15.75" customHeight="1" x14ac:dyDescent="0.3">
      <c r="A1894" s="4" t="s">
        <v>282</v>
      </c>
      <c r="B1894" s="3">
        <v>45568.770300925928</v>
      </c>
      <c r="C1894" s="2" t="s">
        <v>283</v>
      </c>
      <c r="D1894" s="2" t="s">
        <v>92</v>
      </c>
      <c r="E1894" s="2" t="s">
        <v>93</v>
      </c>
      <c r="F1894" s="2">
        <v>25000</v>
      </c>
      <c r="G1894" s="2">
        <v>2</v>
      </c>
      <c r="H1894" s="2">
        <v>0</v>
      </c>
      <c r="I1894">
        <f t="shared" si="145"/>
        <v>50000</v>
      </c>
      <c r="J1894">
        <f t="shared" si="146"/>
        <v>0</v>
      </c>
      <c r="K1894" s="6">
        <f t="shared" si="147"/>
        <v>50000</v>
      </c>
      <c r="L1894" s="2">
        <v>30000</v>
      </c>
      <c r="M1894" s="6">
        <f>Table1[[#This Row],[Total Sales]]+Table1[[#This Row],[Shipping Fee]]</f>
        <v>80000</v>
      </c>
      <c r="N1894" s="2" t="s">
        <v>63</v>
      </c>
      <c r="O1894" t="str">
        <f>VLOOKUP(Table1[[#This Row],[Order ID]],Status!A:B, 2,FALSE)</f>
        <v>Completed</v>
      </c>
      <c r="P1894" s="2" t="s">
        <v>36</v>
      </c>
      <c r="Q1894" s="2">
        <v>5</v>
      </c>
      <c r="R1894" s="2" t="s">
        <v>24</v>
      </c>
      <c r="S1894" s="11" t="str">
        <f t="shared" si="148"/>
        <v>Bagus</v>
      </c>
      <c r="T1894" s="2" t="str">
        <f t="shared" si="149"/>
        <v>Sangat Rendah</v>
      </c>
    </row>
    <row r="1895" spans="1:20" ht="15.75" customHeight="1" x14ac:dyDescent="0.3">
      <c r="A1895" s="4" t="s">
        <v>280</v>
      </c>
      <c r="B1895" s="3">
        <v>45568.446655092594</v>
      </c>
      <c r="C1895" s="2" t="s">
        <v>281</v>
      </c>
      <c r="D1895" s="2" t="s">
        <v>151</v>
      </c>
      <c r="E1895" s="2" t="s">
        <v>110</v>
      </c>
      <c r="F1895" s="2">
        <v>6000</v>
      </c>
      <c r="G1895" s="2">
        <v>1</v>
      </c>
      <c r="H1895" s="2">
        <v>5</v>
      </c>
      <c r="I1895">
        <f t="shared" si="145"/>
        <v>6000</v>
      </c>
      <c r="J1895">
        <f t="shared" si="146"/>
        <v>300</v>
      </c>
      <c r="K1895" s="6">
        <f t="shared" si="147"/>
        <v>5700</v>
      </c>
      <c r="L1895" s="2">
        <v>55000</v>
      </c>
      <c r="M1895" s="6">
        <f>Table1[[#This Row],[Total Sales]]+Table1[[#This Row],[Shipping Fee]]</f>
        <v>60700</v>
      </c>
      <c r="N1895" s="2" t="s">
        <v>29</v>
      </c>
      <c r="O1895" t="str">
        <f>VLOOKUP(Table1[[#This Row],[Order ID]],Status!A:B, 2,FALSE)</f>
        <v>Completed</v>
      </c>
      <c r="P1895" s="2" t="s">
        <v>30</v>
      </c>
      <c r="Q1895" s="2">
        <v>4</v>
      </c>
      <c r="R1895" s="2" t="s">
        <v>24</v>
      </c>
      <c r="S1895" s="11" t="str">
        <f t="shared" si="148"/>
        <v>Bagus</v>
      </c>
      <c r="T1895" s="2" t="str">
        <f t="shared" si="149"/>
        <v>Sangat Rendah</v>
      </c>
    </row>
    <row r="1896" spans="1:20" ht="15.75" customHeight="1" x14ac:dyDescent="0.3">
      <c r="A1896" s="4" t="s">
        <v>279</v>
      </c>
      <c r="B1896" s="3">
        <v>45568.349606481483</v>
      </c>
      <c r="C1896" s="2" t="s">
        <v>95</v>
      </c>
      <c r="D1896" s="2" t="s">
        <v>96</v>
      </c>
      <c r="E1896" s="2" t="s">
        <v>174</v>
      </c>
      <c r="F1896" s="2">
        <v>10000</v>
      </c>
      <c r="G1896" s="2">
        <v>4</v>
      </c>
      <c r="H1896" s="2">
        <v>0</v>
      </c>
      <c r="I1896">
        <f t="shared" si="145"/>
        <v>40000</v>
      </c>
      <c r="J1896">
        <f t="shared" si="146"/>
        <v>0</v>
      </c>
      <c r="K1896" s="6">
        <f t="shared" si="147"/>
        <v>40000</v>
      </c>
      <c r="L1896" s="2">
        <v>49000</v>
      </c>
      <c r="M1896" s="6">
        <f>Table1[[#This Row],[Total Sales]]+Table1[[#This Row],[Shipping Fee]]</f>
        <v>89000</v>
      </c>
      <c r="N1896" s="2" t="s">
        <v>22</v>
      </c>
      <c r="O1896" t="str">
        <f>VLOOKUP(Table1[[#This Row],[Order ID]],Status!A:B, 2,FALSE)</f>
        <v>Completed</v>
      </c>
      <c r="P1896" s="2" t="s">
        <v>23</v>
      </c>
      <c r="Q1896" s="2">
        <v>2</v>
      </c>
      <c r="R1896" s="2" t="s">
        <v>24</v>
      </c>
      <c r="S1896" s="11" t="str">
        <f t="shared" si="148"/>
        <v>Rendah</v>
      </c>
      <c r="T1896" s="2" t="str">
        <f t="shared" si="149"/>
        <v>Sangat Rendah</v>
      </c>
    </row>
    <row r="1897" spans="1:20" ht="15.75" customHeight="1" x14ac:dyDescent="0.3">
      <c r="A1897" s="4" t="s">
        <v>278</v>
      </c>
      <c r="B1897" s="3">
        <v>45568.078692129631</v>
      </c>
      <c r="C1897" s="2" t="s">
        <v>254</v>
      </c>
      <c r="D1897" s="2" t="s">
        <v>61</v>
      </c>
      <c r="E1897" s="2" t="s">
        <v>41</v>
      </c>
      <c r="F1897" s="2">
        <v>4000</v>
      </c>
      <c r="G1897" s="2">
        <v>1</v>
      </c>
      <c r="H1897" s="2">
        <v>20</v>
      </c>
      <c r="I1897">
        <f t="shared" si="145"/>
        <v>4000</v>
      </c>
      <c r="J1897">
        <f t="shared" si="146"/>
        <v>800</v>
      </c>
      <c r="K1897" s="6">
        <f t="shared" si="147"/>
        <v>3200</v>
      </c>
      <c r="L1897" s="2">
        <v>26000</v>
      </c>
      <c r="M1897" s="6">
        <f>Table1[[#This Row],[Total Sales]]+Table1[[#This Row],[Shipping Fee]]</f>
        <v>29200</v>
      </c>
      <c r="N1897" s="2" t="s">
        <v>35</v>
      </c>
      <c r="O1897" t="str">
        <f>VLOOKUP(Table1[[#This Row],[Order ID]],Status!A:B, 2,FALSE)</f>
        <v>Completed</v>
      </c>
      <c r="P1897" s="2" t="s">
        <v>82</v>
      </c>
      <c r="Q1897" s="2">
        <v>1</v>
      </c>
      <c r="R1897" s="2" t="s">
        <v>24</v>
      </c>
      <c r="S1897" s="11" t="str">
        <f t="shared" si="148"/>
        <v>Rendah</v>
      </c>
      <c r="T1897" s="2" t="str">
        <f t="shared" si="149"/>
        <v>Sangat Rendah</v>
      </c>
    </row>
    <row r="1898" spans="1:20" ht="15.75" customHeight="1" x14ac:dyDescent="0.3">
      <c r="A1898" s="4" t="s">
        <v>276</v>
      </c>
      <c r="B1898" s="3">
        <v>45568.027962962973</v>
      </c>
      <c r="C1898" s="2" t="s">
        <v>277</v>
      </c>
      <c r="D1898" s="2" t="s">
        <v>119</v>
      </c>
      <c r="E1898" s="2" t="s">
        <v>58</v>
      </c>
      <c r="F1898" s="2">
        <v>16000</v>
      </c>
      <c r="G1898" s="2">
        <v>4</v>
      </c>
      <c r="H1898" s="2">
        <v>0</v>
      </c>
      <c r="I1898">
        <f t="shared" si="145"/>
        <v>64000</v>
      </c>
      <c r="J1898">
        <f t="shared" si="146"/>
        <v>0</v>
      </c>
      <c r="K1898" s="6">
        <f t="shared" si="147"/>
        <v>64000</v>
      </c>
      <c r="L1898" s="2">
        <v>0</v>
      </c>
      <c r="M1898" s="6">
        <f>Table1[[#This Row],[Total Sales]]+Table1[[#This Row],[Shipping Fee]]</f>
        <v>64000</v>
      </c>
      <c r="N1898" s="2" t="s">
        <v>29</v>
      </c>
      <c r="O1898" t="str">
        <f>VLOOKUP(Table1[[#This Row],[Order ID]],Status!A:B, 2,FALSE)</f>
        <v>Completed</v>
      </c>
      <c r="P1898" s="2" t="s">
        <v>46</v>
      </c>
      <c r="Q1898" s="2">
        <v>4</v>
      </c>
      <c r="R1898" s="2" t="s">
        <v>24</v>
      </c>
      <c r="S1898" s="11" t="str">
        <f t="shared" si="148"/>
        <v>Bagus</v>
      </c>
      <c r="T1898" s="2" t="str">
        <f t="shared" si="149"/>
        <v>Sangat Rendah</v>
      </c>
    </row>
    <row r="1899" spans="1:20" ht="15.75" customHeight="1" x14ac:dyDescent="0.3">
      <c r="A1899" s="4" t="s">
        <v>274</v>
      </c>
      <c r="B1899" s="3">
        <v>45567.82440972222</v>
      </c>
      <c r="C1899" s="2" t="s">
        <v>275</v>
      </c>
      <c r="D1899" s="2" t="s">
        <v>96</v>
      </c>
      <c r="E1899" s="2" t="s">
        <v>93</v>
      </c>
      <c r="F1899" s="2">
        <v>25000</v>
      </c>
      <c r="G1899" s="2">
        <v>5</v>
      </c>
      <c r="H1899" s="2">
        <v>15</v>
      </c>
      <c r="I1899">
        <f t="shared" si="145"/>
        <v>125000</v>
      </c>
      <c r="J1899">
        <f t="shared" si="146"/>
        <v>18750</v>
      </c>
      <c r="K1899" s="6">
        <f t="shared" si="147"/>
        <v>106250</v>
      </c>
      <c r="L1899" s="2">
        <v>49000</v>
      </c>
      <c r="M1899" s="6">
        <f>Table1[[#This Row],[Total Sales]]+Table1[[#This Row],[Shipping Fee]]</f>
        <v>155250</v>
      </c>
      <c r="N1899" s="2" t="s">
        <v>35</v>
      </c>
      <c r="O1899" t="str">
        <f>VLOOKUP(Table1[[#This Row],[Order ID]],Status!A:B, 2,FALSE)</f>
        <v>Returned</v>
      </c>
      <c r="P1899" s="2" t="s">
        <v>23</v>
      </c>
      <c r="Q1899" s="2">
        <v>2</v>
      </c>
      <c r="R1899" s="2" t="s">
        <v>24</v>
      </c>
      <c r="S1899" s="11" t="str">
        <f t="shared" si="148"/>
        <v>Rendah</v>
      </c>
      <c r="T1899" s="2" t="str">
        <f t="shared" si="149"/>
        <v>Normal</v>
      </c>
    </row>
    <row r="1900" spans="1:20" ht="15.75" customHeight="1" x14ac:dyDescent="0.3">
      <c r="A1900" s="4" t="s">
        <v>272</v>
      </c>
      <c r="B1900" s="3">
        <v>45567.723541666674</v>
      </c>
      <c r="C1900" s="2" t="s">
        <v>273</v>
      </c>
      <c r="D1900" s="2" t="s">
        <v>195</v>
      </c>
      <c r="E1900" s="2" t="s">
        <v>67</v>
      </c>
      <c r="F1900" s="2">
        <v>15000</v>
      </c>
      <c r="G1900" s="2">
        <v>2</v>
      </c>
      <c r="H1900" s="2">
        <v>20</v>
      </c>
      <c r="I1900">
        <f t="shared" si="145"/>
        <v>30000</v>
      </c>
      <c r="J1900">
        <f t="shared" si="146"/>
        <v>6000</v>
      </c>
      <c r="K1900" s="6">
        <f t="shared" si="147"/>
        <v>24000</v>
      </c>
      <c r="L1900" s="2">
        <v>87000</v>
      </c>
      <c r="M1900" s="6">
        <f>Table1[[#This Row],[Total Sales]]+Table1[[#This Row],[Shipping Fee]]</f>
        <v>111000</v>
      </c>
      <c r="N1900" s="2" t="s">
        <v>29</v>
      </c>
      <c r="O1900" t="str">
        <f>VLOOKUP(Table1[[#This Row],[Order ID]],Status!A:B, 2,FALSE)</f>
        <v>Completed</v>
      </c>
      <c r="P1900" s="2" t="s">
        <v>46</v>
      </c>
      <c r="Q1900" s="2">
        <v>5</v>
      </c>
      <c r="R1900" s="2" t="s">
        <v>24</v>
      </c>
      <c r="S1900" s="11" t="str">
        <f t="shared" si="148"/>
        <v>Bagus</v>
      </c>
      <c r="T1900" s="2" t="str">
        <f t="shared" si="149"/>
        <v>Rendah</v>
      </c>
    </row>
    <row r="1901" spans="1:20" ht="15.75" customHeight="1" x14ac:dyDescent="0.3">
      <c r="A1901" s="4" t="s">
        <v>270</v>
      </c>
      <c r="B1901" s="3">
        <v>45567.289039351846</v>
      </c>
      <c r="C1901" s="2" t="s">
        <v>271</v>
      </c>
      <c r="D1901" s="2" t="s">
        <v>49</v>
      </c>
      <c r="E1901" s="2" t="s">
        <v>28</v>
      </c>
      <c r="F1901" s="2">
        <v>5000</v>
      </c>
      <c r="G1901" s="2">
        <v>5</v>
      </c>
      <c r="H1901" s="2">
        <v>15</v>
      </c>
      <c r="I1901">
        <f t="shared" si="145"/>
        <v>25000</v>
      </c>
      <c r="J1901">
        <f t="shared" si="146"/>
        <v>3750</v>
      </c>
      <c r="K1901" s="6">
        <f t="shared" si="147"/>
        <v>21250</v>
      </c>
      <c r="L1901" s="2">
        <v>43000</v>
      </c>
      <c r="M1901" s="6">
        <f>Table1[[#This Row],[Total Sales]]+Table1[[#This Row],[Shipping Fee]]</f>
        <v>64250</v>
      </c>
      <c r="N1901" s="2" t="s">
        <v>29</v>
      </c>
      <c r="O1901" t="str">
        <f>VLOOKUP(Table1[[#This Row],[Order ID]],Status!A:B, 2,FALSE)</f>
        <v>Completed</v>
      </c>
      <c r="P1901" s="2" t="s">
        <v>46</v>
      </c>
      <c r="Q1901" s="2">
        <v>2</v>
      </c>
      <c r="R1901" s="2" t="s">
        <v>24</v>
      </c>
      <c r="S1901" s="11" t="str">
        <f t="shared" si="148"/>
        <v>Rendah</v>
      </c>
      <c r="T1901" s="2" t="str">
        <f t="shared" si="149"/>
        <v>Sangat Rendah</v>
      </c>
    </row>
    <row r="1902" spans="1:20" ht="15.75" customHeight="1" x14ac:dyDescent="0.3">
      <c r="A1902" s="4" t="s">
        <v>268</v>
      </c>
      <c r="B1902" s="3">
        <v>45566.999780092592</v>
      </c>
      <c r="C1902" s="2" t="s">
        <v>269</v>
      </c>
      <c r="D1902" s="2" t="s">
        <v>173</v>
      </c>
      <c r="E1902" s="2" t="s">
        <v>250</v>
      </c>
      <c r="F1902" s="2">
        <v>18000</v>
      </c>
      <c r="G1902" s="2">
        <v>5</v>
      </c>
      <c r="H1902" s="2">
        <v>20</v>
      </c>
      <c r="I1902">
        <f t="shared" si="145"/>
        <v>90000</v>
      </c>
      <c r="J1902">
        <f t="shared" si="146"/>
        <v>18000</v>
      </c>
      <c r="K1902" s="6">
        <f t="shared" si="147"/>
        <v>72000</v>
      </c>
      <c r="L1902" s="2">
        <v>49000</v>
      </c>
      <c r="M1902" s="6">
        <f>Table1[[#This Row],[Total Sales]]+Table1[[#This Row],[Shipping Fee]]</f>
        <v>121000</v>
      </c>
      <c r="N1902" s="2" t="s">
        <v>22</v>
      </c>
      <c r="O1902" t="str">
        <f>VLOOKUP(Table1[[#This Row],[Order ID]],Status!A:B, 2,FALSE)</f>
        <v>Completed</v>
      </c>
      <c r="P1902" s="2" t="s">
        <v>23</v>
      </c>
      <c r="Q1902" s="2">
        <v>4</v>
      </c>
      <c r="R1902" s="2" t="s">
        <v>37</v>
      </c>
      <c r="S1902" s="11" t="str">
        <f t="shared" si="148"/>
        <v>Bagus</v>
      </c>
      <c r="T1902" s="2" t="str">
        <f t="shared" si="149"/>
        <v>Normal</v>
      </c>
    </row>
    <row r="1903" spans="1:20" ht="15.75" customHeight="1" x14ac:dyDescent="0.3">
      <c r="A1903" s="4" t="s">
        <v>266</v>
      </c>
      <c r="B1903" s="3">
        <v>45566.726631944453</v>
      </c>
      <c r="C1903" s="2" t="s">
        <v>267</v>
      </c>
      <c r="D1903" s="2" t="s">
        <v>131</v>
      </c>
      <c r="E1903" s="2" t="s">
        <v>28</v>
      </c>
      <c r="F1903" s="2">
        <v>5000</v>
      </c>
      <c r="G1903" s="2">
        <v>3</v>
      </c>
      <c r="H1903" s="2">
        <v>10</v>
      </c>
      <c r="I1903">
        <f t="shared" si="145"/>
        <v>15000</v>
      </c>
      <c r="J1903">
        <f t="shared" si="146"/>
        <v>1500</v>
      </c>
      <c r="K1903" s="6">
        <f t="shared" si="147"/>
        <v>13500</v>
      </c>
      <c r="L1903" s="2">
        <v>59000</v>
      </c>
      <c r="M1903" s="6">
        <f>Table1[[#This Row],[Total Sales]]+Table1[[#This Row],[Shipping Fee]]</f>
        <v>72500</v>
      </c>
      <c r="N1903" s="2" t="s">
        <v>22</v>
      </c>
      <c r="O1903" t="str">
        <f>VLOOKUP(Table1[[#This Row],[Order ID]],Status!A:B, 2,FALSE)</f>
        <v>Returned</v>
      </c>
      <c r="P1903" s="2" t="s">
        <v>30</v>
      </c>
      <c r="Q1903" s="2">
        <v>3</v>
      </c>
      <c r="R1903" s="2" t="s">
        <v>24</v>
      </c>
      <c r="S1903" s="11" t="str">
        <f t="shared" si="148"/>
        <v>Standar</v>
      </c>
      <c r="T1903" s="2" t="str">
        <f t="shared" si="149"/>
        <v>Sangat Rendah</v>
      </c>
    </row>
    <row r="1904" spans="1:20" ht="15.75" customHeight="1" x14ac:dyDescent="0.3">
      <c r="A1904" s="4" t="s">
        <v>264</v>
      </c>
      <c r="B1904" s="3">
        <v>45566.031354166669</v>
      </c>
      <c r="C1904" s="2" t="s">
        <v>265</v>
      </c>
      <c r="D1904" s="2" t="s">
        <v>119</v>
      </c>
      <c r="E1904" s="2" t="s">
        <v>190</v>
      </c>
      <c r="F1904" s="2">
        <v>35000</v>
      </c>
      <c r="G1904" s="2">
        <v>5</v>
      </c>
      <c r="H1904" s="2">
        <v>0</v>
      </c>
      <c r="I1904">
        <f t="shared" si="145"/>
        <v>175000</v>
      </c>
      <c r="J1904">
        <f t="shared" si="146"/>
        <v>0</v>
      </c>
      <c r="K1904" s="6">
        <f t="shared" si="147"/>
        <v>175000</v>
      </c>
      <c r="L1904" s="2">
        <v>0</v>
      </c>
      <c r="M1904" s="6">
        <f>Table1[[#This Row],[Total Sales]]+Table1[[#This Row],[Shipping Fee]]</f>
        <v>175000</v>
      </c>
      <c r="N1904" s="2" t="s">
        <v>35</v>
      </c>
      <c r="O1904" t="str">
        <f>VLOOKUP(Table1[[#This Row],[Order ID]],Status!A:B, 2,FALSE)</f>
        <v>Completed</v>
      </c>
      <c r="P1904" s="2" t="s">
        <v>82</v>
      </c>
      <c r="Q1904" s="2">
        <v>1</v>
      </c>
      <c r="R1904" s="2" t="s">
        <v>24</v>
      </c>
      <c r="S1904" s="11" t="str">
        <f t="shared" si="148"/>
        <v>Rendah</v>
      </c>
      <c r="T1904" s="2" t="str">
        <f t="shared" si="149"/>
        <v>Sangat Rendah</v>
      </c>
    </row>
    <row r="1905" spans="1:20" ht="15.75" customHeight="1" x14ac:dyDescent="0.3">
      <c r="A1905" s="4" t="s">
        <v>263</v>
      </c>
      <c r="B1905" s="3">
        <v>45565.920231481483</v>
      </c>
      <c r="C1905" s="2" t="s">
        <v>181</v>
      </c>
      <c r="D1905" s="2" t="s">
        <v>182</v>
      </c>
      <c r="E1905" s="2" t="s">
        <v>71</v>
      </c>
      <c r="F1905" s="2">
        <v>40000</v>
      </c>
      <c r="G1905" s="2">
        <v>5</v>
      </c>
      <c r="H1905" s="2">
        <v>5</v>
      </c>
      <c r="I1905">
        <f t="shared" si="145"/>
        <v>200000</v>
      </c>
      <c r="J1905">
        <f t="shared" si="146"/>
        <v>10000</v>
      </c>
      <c r="K1905" s="6">
        <f t="shared" si="147"/>
        <v>190000</v>
      </c>
      <c r="L1905" s="2">
        <v>48000</v>
      </c>
      <c r="M1905" s="6">
        <f>Table1[[#This Row],[Total Sales]]+Table1[[#This Row],[Shipping Fee]]</f>
        <v>238000</v>
      </c>
      <c r="N1905" s="2" t="s">
        <v>22</v>
      </c>
      <c r="O1905" t="str">
        <f>VLOOKUP(Table1[[#This Row],[Order ID]],Status!A:B, 2,FALSE)</f>
        <v>Completed</v>
      </c>
      <c r="P1905" s="2" t="s">
        <v>46</v>
      </c>
      <c r="Q1905" s="2">
        <v>4</v>
      </c>
      <c r="R1905" s="2" t="s">
        <v>24</v>
      </c>
      <c r="S1905" s="11" t="str">
        <f t="shared" si="148"/>
        <v>Bagus</v>
      </c>
      <c r="T1905" s="2" t="str">
        <f t="shared" si="149"/>
        <v>Rendah</v>
      </c>
    </row>
    <row r="1906" spans="1:20" ht="15.75" customHeight="1" x14ac:dyDescent="0.3">
      <c r="A1906" s="4" t="s">
        <v>260</v>
      </c>
      <c r="B1906" s="3">
        <v>45565.901932870373</v>
      </c>
      <c r="C1906" s="2" t="s">
        <v>261</v>
      </c>
      <c r="D1906" s="2" t="s">
        <v>262</v>
      </c>
      <c r="E1906" s="2" t="s">
        <v>93</v>
      </c>
      <c r="F1906" s="2">
        <v>25000</v>
      </c>
      <c r="G1906" s="2">
        <v>5</v>
      </c>
      <c r="H1906" s="2">
        <v>5</v>
      </c>
      <c r="I1906">
        <f t="shared" si="145"/>
        <v>125000</v>
      </c>
      <c r="J1906">
        <f t="shared" si="146"/>
        <v>6250</v>
      </c>
      <c r="K1906" s="6">
        <f t="shared" si="147"/>
        <v>118750</v>
      </c>
      <c r="L1906" s="2">
        <v>18000</v>
      </c>
      <c r="M1906" s="6">
        <f>Table1[[#This Row],[Total Sales]]+Table1[[#This Row],[Shipping Fee]]</f>
        <v>136750</v>
      </c>
      <c r="N1906" s="2" t="s">
        <v>35</v>
      </c>
      <c r="O1906" t="str">
        <f>VLOOKUP(Table1[[#This Row],[Order ID]],Status!A:B, 2,FALSE)</f>
        <v>Completed</v>
      </c>
      <c r="P1906" s="2" t="s">
        <v>30</v>
      </c>
      <c r="Q1906" s="2">
        <v>3</v>
      </c>
      <c r="R1906" s="2" t="s">
        <v>24</v>
      </c>
      <c r="S1906" s="11" t="str">
        <f t="shared" si="148"/>
        <v>Standar</v>
      </c>
      <c r="T1906" s="2" t="str">
        <f t="shared" si="149"/>
        <v>Rendah</v>
      </c>
    </row>
    <row r="1907" spans="1:20" ht="15.75" customHeight="1" x14ac:dyDescent="0.3">
      <c r="A1907" s="4" t="s">
        <v>259</v>
      </c>
      <c r="B1907" s="3">
        <v>45565.845833333333</v>
      </c>
      <c r="C1907" s="2" t="s">
        <v>240</v>
      </c>
      <c r="D1907" s="2" t="s">
        <v>189</v>
      </c>
      <c r="E1907" s="2" t="s">
        <v>45</v>
      </c>
      <c r="F1907" s="2">
        <v>40000</v>
      </c>
      <c r="G1907" s="2">
        <v>4</v>
      </c>
      <c r="H1907" s="2">
        <v>10</v>
      </c>
      <c r="I1907">
        <f t="shared" si="145"/>
        <v>160000</v>
      </c>
      <c r="J1907">
        <f t="shared" si="146"/>
        <v>16000</v>
      </c>
      <c r="K1907" s="6">
        <f t="shared" si="147"/>
        <v>144000</v>
      </c>
      <c r="L1907" s="2">
        <v>57000</v>
      </c>
      <c r="M1907" s="6">
        <f>Table1[[#This Row],[Total Sales]]+Table1[[#This Row],[Shipping Fee]]</f>
        <v>201000</v>
      </c>
      <c r="N1907" s="2" t="s">
        <v>22</v>
      </c>
      <c r="O1907" t="str">
        <f>VLOOKUP(Table1[[#This Row],[Order ID]],Status!A:B, 2,FALSE)</f>
        <v>Completed</v>
      </c>
      <c r="P1907" s="2" t="s">
        <v>46</v>
      </c>
      <c r="Q1907" s="2">
        <v>1</v>
      </c>
      <c r="R1907" s="2" t="s">
        <v>37</v>
      </c>
      <c r="S1907" s="11" t="str">
        <f t="shared" si="148"/>
        <v>Rendah</v>
      </c>
      <c r="T1907" s="2" t="str">
        <f t="shared" si="149"/>
        <v>Normal</v>
      </c>
    </row>
    <row r="1908" spans="1:20" ht="15.75" customHeight="1" x14ac:dyDescent="0.3">
      <c r="A1908" s="4" t="s">
        <v>257</v>
      </c>
      <c r="B1908" s="3">
        <v>45565.775868055563</v>
      </c>
      <c r="C1908" s="2" t="s">
        <v>258</v>
      </c>
      <c r="D1908" s="2" t="s">
        <v>44</v>
      </c>
      <c r="E1908" s="2" t="s">
        <v>93</v>
      </c>
      <c r="F1908" s="2">
        <v>25000</v>
      </c>
      <c r="G1908" s="2">
        <v>2</v>
      </c>
      <c r="H1908" s="2">
        <v>5</v>
      </c>
      <c r="I1908">
        <f t="shared" si="145"/>
        <v>50000</v>
      </c>
      <c r="J1908">
        <f t="shared" si="146"/>
        <v>2500</v>
      </c>
      <c r="K1908" s="6">
        <f t="shared" si="147"/>
        <v>47500</v>
      </c>
      <c r="L1908" s="2">
        <v>93000</v>
      </c>
      <c r="M1908" s="6">
        <f>Table1[[#This Row],[Total Sales]]+Table1[[#This Row],[Shipping Fee]]</f>
        <v>140500</v>
      </c>
      <c r="N1908" s="2" t="s">
        <v>29</v>
      </c>
      <c r="O1908" t="str">
        <f>VLOOKUP(Table1[[#This Row],[Order ID]],Status!A:B, 2,FALSE)</f>
        <v>Completed</v>
      </c>
      <c r="P1908" s="2" t="s">
        <v>36</v>
      </c>
      <c r="Q1908" s="2">
        <v>3</v>
      </c>
      <c r="R1908" s="2" t="s">
        <v>24</v>
      </c>
      <c r="S1908" s="11" t="str">
        <f t="shared" si="148"/>
        <v>Standar</v>
      </c>
      <c r="T1908" s="2" t="str">
        <f t="shared" si="149"/>
        <v>Sangat Rendah</v>
      </c>
    </row>
    <row r="1909" spans="1:20" ht="15.75" customHeight="1" x14ac:dyDescent="0.3">
      <c r="A1909" s="4" t="s">
        <v>255</v>
      </c>
      <c r="B1909" s="3">
        <v>45565.642199074071</v>
      </c>
      <c r="C1909" s="2" t="s">
        <v>256</v>
      </c>
      <c r="D1909" s="2" t="s">
        <v>107</v>
      </c>
      <c r="E1909" s="2" t="s">
        <v>54</v>
      </c>
      <c r="F1909" s="2">
        <v>16000</v>
      </c>
      <c r="G1909" s="2">
        <v>4</v>
      </c>
      <c r="H1909" s="2">
        <v>20</v>
      </c>
      <c r="I1909">
        <f t="shared" si="145"/>
        <v>64000</v>
      </c>
      <c r="J1909">
        <f t="shared" si="146"/>
        <v>12800</v>
      </c>
      <c r="K1909" s="6">
        <f t="shared" si="147"/>
        <v>51200</v>
      </c>
      <c r="L1909" s="2">
        <v>97000</v>
      </c>
      <c r="M1909" s="6">
        <f>Table1[[#This Row],[Total Sales]]+Table1[[#This Row],[Shipping Fee]]</f>
        <v>148200</v>
      </c>
      <c r="N1909" s="2" t="s">
        <v>29</v>
      </c>
      <c r="O1909" t="str">
        <f>VLOOKUP(Table1[[#This Row],[Order ID]],Status!A:B, 2,FALSE)</f>
        <v>Completed</v>
      </c>
      <c r="P1909" s="2" t="s">
        <v>30</v>
      </c>
      <c r="Q1909" s="2">
        <v>2</v>
      </c>
      <c r="R1909" s="2" t="s">
        <v>24</v>
      </c>
      <c r="S1909" s="11" t="str">
        <f t="shared" si="148"/>
        <v>Rendah</v>
      </c>
      <c r="T1909" s="2" t="str">
        <f t="shared" si="149"/>
        <v>Normal</v>
      </c>
    </row>
    <row r="1910" spans="1:20" ht="15.75" customHeight="1" x14ac:dyDescent="0.3">
      <c r="A1910" s="4" t="s">
        <v>253</v>
      </c>
      <c r="B1910" s="3">
        <v>45565.288680555554</v>
      </c>
      <c r="C1910" s="2" t="s">
        <v>254</v>
      </c>
      <c r="D1910" s="2" t="s">
        <v>61</v>
      </c>
      <c r="E1910" s="2" t="s">
        <v>38</v>
      </c>
      <c r="F1910" s="2">
        <v>28000</v>
      </c>
      <c r="G1910" s="2">
        <v>3</v>
      </c>
      <c r="H1910" s="2">
        <v>20</v>
      </c>
      <c r="I1910">
        <f t="shared" si="145"/>
        <v>84000</v>
      </c>
      <c r="J1910">
        <f t="shared" si="146"/>
        <v>16800</v>
      </c>
      <c r="K1910" s="6">
        <f t="shared" si="147"/>
        <v>67200</v>
      </c>
      <c r="L1910" s="2">
        <v>26000</v>
      </c>
      <c r="M1910" s="6">
        <f>Table1[[#This Row],[Total Sales]]+Table1[[#This Row],[Shipping Fee]]</f>
        <v>93200</v>
      </c>
      <c r="N1910" s="2" t="s">
        <v>35</v>
      </c>
      <c r="O1910" t="str">
        <f>VLOOKUP(Table1[[#This Row],[Order ID]],Status!A:B, 2,FALSE)</f>
        <v>Completed</v>
      </c>
      <c r="P1910" s="2" t="s">
        <v>46</v>
      </c>
      <c r="Q1910" s="2">
        <v>1</v>
      </c>
      <c r="R1910" s="2" t="s">
        <v>24</v>
      </c>
      <c r="S1910" s="11" t="str">
        <f t="shared" si="148"/>
        <v>Rendah</v>
      </c>
      <c r="T1910" s="2" t="str">
        <f t="shared" si="149"/>
        <v>Normal</v>
      </c>
    </row>
    <row r="1911" spans="1:20" ht="15.75" customHeight="1" x14ac:dyDescent="0.3">
      <c r="A1911" s="4" t="s">
        <v>251</v>
      </c>
      <c r="B1911" s="3">
        <v>45565.258020833331</v>
      </c>
      <c r="C1911" s="2" t="s">
        <v>252</v>
      </c>
      <c r="D1911" s="2" t="s">
        <v>131</v>
      </c>
      <c r="E1911" s="2" t="s">
        <v>88</v>
      </c>
      <c r="F1911" s="2">
        <v>14000</v>
      </c>
      <c r="G1911" s="2">
        <v>3</v>
      </c>
      <c r="H1911" s="2">
        <v>15</v>
      </c>
      <c r="I1911">
        <f t="shared" si="145"/>
        <v>42000</v>
      </c>
      <c r="J1911">
        <f t="shared" si="146"/>
        <v>6300</v>
      </c>
      <c r="K1911" s="6">
        <f t="shared" si="147"/>
        <v>35700</v>
      </c>
      <c r="L1911" s="2">
        <v>59000</v>
      </c>
      <c r="M1911" s="6">
        <f>Table1[[#This Row],[Total Sales]]+Table1[[#This Row],[Shipping Fee]]</f>
        <v>94700</v>
      </c>
      <c r="N1911" s="2" t="s">
        <v>29</v>
      </c>
      <c r="O1911" t="str">
        <f>VLOOKUP(Table1[[#This Row],[Order ID]],Status!A:B, 2,FALSE)</f>
        <v>Returned</v>
      </c>
      <c r="P1911" s="2" t="s">
        <v>36</v>
      </c>
      <c r="Q1911" s="2">
        <v>2</v>
      </c>
      <c r="R1911" s="2" t="s">
        <v>24</v>
      </c>
      <c r="S1911" s="11" t="str">
        <f t="shared" si="148"/>
        <v>Rendah</v>
      </c>
      <c r="T1911" s="2" t="str">
        <f t="shared" si="149"/>
        <v>Rendah</v>
      </c>
    </row>
    <row r="1912" spans="1:20" ht="15.75" customHeight="1" x14ac:dyDescent="0.3">
      <c r="A1912" s="4" t="s">
        <v>251</v>
      </c>
      <c r="B1912" s="3">
        <v>45565.258020833331</v>
      </c>
      <c r="C1912" s="2" t="s">
        <v>252</v>
      </c>
      <c r="D1912" s="2" t="s">
        <v>131</v>
      </c>
      <c r="E1912" s="2" t="s">
        <v>41</v>
      </c>
      <c r="F1912" s="2">
        <v>4000</v>
      </c>
      <c r="G1912" s="2">
        <v>2</v>
      </c>
      <c r="H1912" s="2">
        <v>15</v>
      </c>
      <c r="I1912">
        <f t="shared" si="145"/>
        <v>8000</v>
      </c>
      <c r="J1912">
        <f t="shared" si="146"/>
        <v>1200</v>
      </c>
      <c r="K1912" s="6">
        <f t="shared" si="147"/>
        <v>6800</v>
      </c>
      <c r="L1912" s="2">
        <v>0</v>
      </c>
      <c r="M1912" s="6">
        <f>Table1[[#This Row],[Total Sales]]+Table1[[#This Row],[Shipping Fee]]</f>
        <v>6800</v>
      </c>
      <c r="N1912" s="2" t="s">
        <v>29</v>
      </c>
      <c r="O1912" t="str">
        <f>VLOOKUP(Table1[[#This Row],[Order ID]],Status!A:B, 2,FALSE)</f>
        <v>Returned</v>
      </c>
      <c r="P1912" s="2" t="s">
        <v>36</v>
      </c>
      <c r="Q1912" s="2">
        <v>2</v>
      </c>
      <c r="R1912" s="2" t="s">
        <v>24</v>
      </c>
      <c r="S1912" s="11" t="str">
        <f t="shared" si="148"/>
        <v>Rendah</v>
      </c>
      <c r="T1912" s="2" t="str">
        <f t="shared" si="149"/>
        <v>Sangat Rendah</v>
      </c>
    </row>
    <row r="1913" spans="1:20" ht="15.75" customHeight="1" x14ac:dyDescent="0.3">
      <c r="A1913" s="4" t="s">
        <v>248</v>
      </c>
      <c r="B1913" s="3">
        <v>45565.178935185177</v>
      </c>
      <c r="C1913" s="2" t="s">
        <v>249</v>
      </c>
      <c r="D1913" s="2" t="s">
        <v>49</v>
      </c>
      <c r="E1913" s="2" t="s">
        <v>250</v>
      </c>
      <c r="F1913" s="2">
        <v>18000</v>
      </c>
      <c r="G1913" s="2">
        <v>1</v>
      </c>
      <c r="H1913" s="2">
        <v>5</v>
      </c>
      <c r="I1913">
        <f t="shared" si="145"/>
        <v>18000</v>
      </c>
      <c r="J1913">
        <f t="shared" si="146"/>
        <v>900</v>
      </c>
      <c r="K1913" s="6">
        <f t="shared" si="147"/>
        <v>17100</v>
      </c>
      <c r="L1913" s="2">
        <v>43000</v>
      </c>
      <c r="M1913" s="6">
        <f>Table1[[#This Row],[Total Sales]]+Table1[[#This Row],[Shipping Fee]]</f>
        <v>60100</v>
      </c>
      <c r="N1913" s="2" t="s">
        <v>63</v>
      </c>
      <c r="O1913" t="str">
        <f>VLOOKUP(Table1[[#This Row],[Order ID]],Status!A:B, 2,FALSE)</f>
        <v>Completed</v>
      </c>
      <c r="P1913" s="2" t="s">
        <v>30</v>
      </c>
      <c r="Q1913" s="2">
        <v>4</v>
      </c>
      <c r="R1913" s="2" t="s">
        <v>24</v>
      </c>
      <c r="S1913" s="11" t="str">
        <f t="shared" si="148"/>
        <v>Bagus</v>
      </c>
      <c r="T1913" s="2" t="str">
        <f t="shared" si="149"/>
        <v>Sangat Rendah</v>
      </c>
    </row>
    <row r="1914" spans="1:20" ht="15.75" customHeight="1" x14ac:dyDescent="0.3">
      <c r="A1914" s="4" t="s">
        <v>247</v>
      </c>
      <c r="B1914" s="3">
        <v>45565.106886574067</v>
      </c>
      <c r="C1914" s="2" t="s">
        <v>240</v>
      </c>
      <c r="D1914" s="2" t="s">
        <v>189</v>
      </c>
      <c r="E1914" s="2" t="s">
        <v>88</v>
      </c>
      <c r="F1914" s="2">
        <v>14000</v>
      </c>
      <c r="G1914" s="2">
        <v>5</v>
      </c>
      <c r="H1914" s="2">
        <v>20</v>
      </c>
      <c r="I1914">
        <f t="shared" si="145"/>
        <v>70000</v>
      </c>
      <c r="J1914">
        <f t="shared" si="146"/>
        <v>14000</v>
      </c>
      <c r="K1914" s="6">
        <f t="shared" si="147"/>
        <v>56000</v>
      </c>
      <c r="L1914" s="2">
        <v>57000</v>
      </c>
      <c r="M1914" s="6">
        <f>Table1[[#This Row],[Total Sales]]+Table1[[#This Row],[Shipping Fee]]</f>
        <v>113000</v>
      </c>
      <c r="N1914" s="2" t="s">
        <v>35</v>
      </c>
      <c r="O1914" t="str">
        <f>VLOOKUP(Table1[[#This Row],[Order ID]],Status!A:B, 2,FALSE)</f>
        <v>Completed</v>
      </c>
      <c r="P1914" s="2" t="s">
        <v>30</v>
      </c>
      <c r="Q1914" s="2">
        <v>1</v>
      </c>
      <c r="R1914" s="2" t="s">
        <v>37</v>
      </c>
      <c r="S1914" s="11" t="str">
        <f t="shared" si="148"/>
        <v>Rendah</v>
      </c>
      <c r="T1914" s="2" t="str">
        <f t="shared" si="149"/>
        <v>Normal</v>
      </c>
    </row>
    <row r="1915" spans="1:20" ht="15.75" customHeight="1" x14ac:dyDescent="0.3">
      <c r="A1915" s="4" t="s">
        <v>245</v>
      </c>
      <c r="B1915" s="3">
        <v>45564.906493055547</v>
      </c>
      <c r="C1915" s="2" t="s">
        <v>246</v>
      </c>
      <c r="D1915" s="2" t="s">
        <v>238</v>
      </c>
      <c r="E1915" s="2" t="s">
        <v>88</v>
      </c>
      <c r="F1915" s="2">
        <v>14000</v>
      </c>
      <c r="G1915" s="2">
        <v>5</v>
      </c>
      <c r="H1915" s="2">
        <v>5</v>
      </c>
      <c r="I1915">
        <f t="shared" si="145"/>
        <v>70000</v>
      </c>
      <c r="J1915">
        <f t="shared" si="146"/>
        <v>3500</v>
      </c>
      <c r="K1915" s="6">
        <f t="shared" si="147"/>
        <v>66500</v>
      </c>
      <c r="L1915" s="2">
        <v>28000</v>
      </c>
      <c r="M1915" s="6">
        <f>Table1[[#This Row],[Total Sales]]+Table1[[#This Row],[Shipping Fee]]</f>
        <v>94500</v>
      </c>
      <c r="N1915" s="2" t="s">
        <v>63</v>
      </c>
      <c r="O1915" t="str">
        <f>VLOOKUP(Table1[[#This Row],[Order ID]],Status!A:B, 2,FALSE)</f>
        <v>Completed</v>
      </c>
      <c r="P1915" s="2" t="s">
        <v>46</v>
      </c>
      <c r="Q1915" s="2">
        <v>3</v>
      </c>
      <c r="R1915" s="2" t="s">
        <v>24</v>
      </c>
      <c r="S1915" s="11" t="str">
        <f t="shared" si="148"/>
        <v>Standar</v>
      </c>
      <c r="T1915" s="2" t="str">
        <f t="shared" si="149"/>
        <v>Sangat Rendah</v>
      </c>
    </row>
    <row r="1916" spans="1:20" ht="15.75" customHeight="1" x14ac:dyDescent="0.3">
      <c r="A1916" s="4" t="s">
        <v>242</v>
      </c>
      <c r="B1916" s="3">
        <v>45564.51357638889</v>
      </c>
      <c r="C1916" s="2" t="s">
        <v>243</v>
      </c>
      <c r="D1916" s="2" t="s">
        <v>244</v>
      </c>
      <c r="E1916" s="2" t="s">
        <v>190</v>
      </c>
      <c r="F1916" s="2">
        <v>35000</v>
      </c>
      <c r="G1916" s="2">
        <v>1</v>
      </c>
      <c r="H1916" s="2">
        <v>15</v>
      </c>
      <c r="I1916">
        <f t="shared" si="145"/>
        <v>35000</v>
      </c>
      <c r="J1916">
        <f t="shared" si="146"/>
        <v>5250</v>
      </c>
      <c r="K1916" s="6">
        <f t="shared" si="147"/>
        <v>29750</v>
      </c>
      <c r="L1916" s="2">
        <v>80000</v>
      </c>
      <c r="M1916" s="6">
        <f>Table1[[#This Row],[Total Sales]]+Table1[[#This Row],[Shipping Fee]]</f>
        <v>109750</v>
      </c>
      <c r="N1916" s="2" t="s">
        <v>63</v>
      </c>
      <c r="O1916" t="str">
        <f>VLOOKUP(Table1[[#This Row],[Order ID]],Status!A:B, 2,FALSE)</f>
        <v>Completed</v>
      </c>
      <c r="P1916" s="2" t="s">
        <v>36</v>
      </c>
      <c r="Q1916" s="2">
        <v>5</v>
      </c>
      <c r="R1916" s="2" t="s">
        <v>37</v>
      </c>
      <c r="S1916" s="11" t="str">
        <f t="shared" si="148"/>
        <v>Bagus</v>
      </c>
      <c r="T1916" s="2" t="str">
        <f t="shared" si="149"/>
        <v>Rendah</v>
      </c>
    </row>
    <row r="1917" spans="1:20" ht="15.75" customHeight="1" x14ac:dyDescent="0.3">
      <c r="A1917" s="4" t="s">
        <v>241</v>
      </c>
      <c r="B1917" s="3">
        <v>45564.440324074072</v>
      </c>
      <c r="C1917" s="2" t="s">
        <v>146</v>
      </c>
      <c r="D1917" s="2" t="s">
        <v>92</v>
      </c>
      <c r="E1917" s="2" t="s">
        <v>21</v>
      </c>
      <c r="F1917" s="2">
        <v>45000</v>
      </c>
      <c r="G1917" s="2">
        <v>2</v>
      </c>
      <c r="H1917" s="2">
        <v>15</v>
      </c>
      <c r="I1917">
        <f t="shared" si="145"/>
        <v>90000</v>
      </c>
      <c r="J1917">
        <f t="shared" si="146"/>
        <v>13500</v>
      </c>
      <c r="K1917" s="6">
        <f t="shared" si="147"/>
        <v>76500</v>
      </c>
      <c r="L1917" s="2">
        <v>30000</v>
      </c>
      <c r="M1917" s="6">
        <f>Table1[[#This Row],[Total Sales]]+Table1[[#This Row],[Shipping Fee]]</f>
        <v>106500</v>
      </c>
      <c r="N1917" s="2" t="s">
        <v>22</v>
      </c>
      <c r="O1917" t="str">
        <f>VLOOKUP(Table1[[#This Row],[Order ID]],Status!A:B, 2,FALSE)</f>
        <v>Cancelled</v>
      </c>
      <c r="P1917" s="2" t="s">
        <v>36</v>
      </c>
      <c r="Q1917" s="2">
        <v>5</v>
      </c>
      <c r="R1917" s="2" t="s">
        <v>37</v>
      </c>
      <c r="S1917" s="11" t="str">
        <f t="shared" si="148"/>
        <v>Bagus</v>
      </c>
      <c r="T1917" s="2" t="str">
        <f t="shared" si="149"/>
        <v>Normal</v>
      </c>
    </row>
    <row r="1918" spans="1:20" ht="15.75" customHeight="1" x14ac:dyDescent="0.3">
      <c r="A1918" s="4" t="s">
        <v>239</v>
      </c>
      <c r="B1918" s="3">
        <v>45564.403865740736</v>
      </c>
      <c r="C1918" s="2" t="s">
        <v>240</v>
      </c>
      <c r="D1918" s="2" t="s">
        <v>189</v>
      </c>
      <c r="E1918" s="2" t="s">
        <v>110</v>
      </c>
      <c r="F1918" s="2">
        <v>6000</v>
      </c>
      <c r="G1918" s="2">
        <v>5</v>
      </c>
      <c r="H1918" s="2">
        <v>20</v>
      </c>
      <c r="I1918">
        <f t="shared" si="145"/>
        <v>30000</v>
      </c>
      <c r="J1918">
        <f t="shared" si="146"/>
        <v>6000</v>
      </c>
      <c r="K1918" s="6">
        <f t="shared" si="147"/>
        <v>24000</v>
      </c>
      <c r="L1918" s="2">
        <v>57000</v>
      </c>
      <c r="M1918" s="6">
        <f>Table1[[#This Row],[Total Sales]]+Table1[[#This Row],[Shipping Fee]]</f>
        <v>81000</v>
      </c>
      <c r="N1918" s="2" t="s">
        <v>35</v>
      </c>
      <c r="O1918" t="str">
        <f>VLOOKUP(Table1[[#This Row],[Order ID]],Status!A:B, 2,FALSE)</f>
        <v>Completed</v>
      </c>
      <c r="P1918" s="2" t="s">
        <v>23</v>
      </c>
      <c r="Q1918" s="2">
        <v>5</v>
      </c>
      <c r="R1918" s="2" t="s">
        <v>37</v>
      </c>
      <c r="S1918" s="11" t="str">
        <f t="shared" si="148"/>
        <v>Bagus</v>
      </c>
      <c r="T1918" s="2" t="str">
        <f t="shared" si="149"/>
        <v>Rendah</v>
      </c>
    </row>
    <row r="1919" spans="1:20" ht="15.75" customHeight="1" x14ac:dyDescent="0.3">
      <c r="A1919" s="4" t="s">
        <v>236</v>
      </c>
      <c r="B1919" s="3">
        <v>45564.352638888893</v>
      </c>
      <c r="C1919" s="2" t="s">
        <v>237</v>
      </c>
      <c r="D1919" s="2" t="s">
        <v>238</v>
      </c>
      <c r="E1919" s="2" t="s">
        <v>93</v>
      </c>
      <c r="F1919" s="2">
        <v>25000</v>
      </c>
      <c r="G1919" s="2">
        <v>2</v>
      </c>
      <c r="H1919" s="2">
        <v>15</v>
      </c>
      <c r="I1919">
        <f t="shared" si="145"/>
        <v>50000</v>
      </c>
      <c r="J1919">
        <f t="shared" si="146"/>
        <v>7500</v>
      </c>
      <c r="K1919" s="6">
        <f t="shared" si="147"/>
        <v>42500</v>
      </c>
      <c r="L1919" s="2">
        <v>28000</v>
      </c>
      <c r="M1919" s="6">
        <f>Table1[[#This Row],[Total Sales]]+Table1[[#This Row],[Shipping Fee]]</f>
        <v>70500</v>
      </c>
      <c r="N1919" s="2" t="s">
        <v>29</v>
      </c>
      <c r="O1919" t="str">
        <f>VLOOKUP(Table1[[#This Row],[Order ID]],Status!A:B, 2,FALSE)</f>
        <v>Completed</v>
      </c>
      <c r="P1919" s="2" t="s">
        <v>82</v>
      </c>
      <c r="Q1919" s="2">
        <v>3</v>
      </c>
      <c r="R1919" s="2" t="s">
        <v>24</v>
      </c>
      <c r="S1919" s="11" t="str">
        <f t="shared" si="148"/>
        <v>Standar</v>
      </c>
      <c r="T1919" s="2" t="str">
        <f t="shared" si="149"/>
        <v>Rendah</v>
      </c>
    </row>
    <row r="1920" spans="1:20" ht="15.75" customHeight="1" x14ac:dyDescent="0.3">
      <c r="A1920" s="4" t="s">
        <v>234</v>
      </c>
      <c r="B1920" s="3">
        <v>45564.279097222221</v>
      </c>
      <c r="C1920" s="2" t="s">
        <v>235</v>
      </c>
      <c r="D1920" s="2" t="s">
        <v>189</v>
      </c>
      <c r="E1920" s="2" t="s">
        <v>75</v>
      </c>
      <c r="F1920" s="2">
        <v>55000</v>
      </c>
      <c r="G1920" s="2">
        <v>4</v>
      </c>
      <c r="H1920" s="2">
        <v>0</v>
      </c>
      <c r="I1920">
        <f t="shared" si="145"/>
        <v>220000</v>
      </c>
      <c r="J1920">
        <f t="shared" si="146"/>
        <v>0</v>
      </c>
      <c r="K1920" s="6">
        <f t="shared" si="147"/>
        <v>220000</v>
      </c>
      <c r="L1920" s="2">
        <v>57000</v>
      </c>
      <c r="M1920" s="6">
        <f>Table1[[#This Row],[Total Sales]]+Table1[[#This Row],[Shipping Fee]]</f>
        <v>277000</v>
      </c>
      <c r="N1920" s="2" t="s">
        <v>35</v>
      </c>
      <c r="O1920" t="str">
        <f>VLOOKUP(Table1[[#This Row],[Order ID]],Status!A:B, 2,FALSE)</f>
        <v>Completed</v>
      </c>
      <c r="P1920" s="2" t="s">
        <v>36</v>
      </c>
      <c r="Q1920" s="2">
        <v>4</v>
      </c>
      <c r="R1920" s="2" t="s">
        <v>37</v>
      </c>
      <c r="S1920" s="11" t="str">
        <f t="shared" si="148"/>
        <v>Bagus</v>
      </c>
      <c r="T1920" s="2" t="str">
        <f t="shared" si="149"/>
        <v>Sangat Rendah</v>
      </c>
    </row>
    <row r="1921" spans="1:20" ht="15.75" customHeight="1" x14ac:dyDescent="0.3">
      <c r="A1921" s="4" t="s">
        <v>232</v>
      </c>
      <c r="B1921" s="3">
        <v>45563.714907407397</v>
      </c>
      <c r="C1921" s="2" t="s">
        <v>233</v>
      </c>
      <c r="D1921" s="2" t="s">
        <v>113</v>
      </c>
      <c r="E1921" s="2" t="s">
        <v>41</v>
      </c>
      <c r="F1921" s="2">
        <v>4000</v>
      </c>
      <c r="G1921" s="2">
        <v>4</v>
      </c>
      <c r="H1921" s="2">
        <v>15</v>
      </c>
      <c r="I1921">
        <f t="shared" si="145"/>
        <v>16000</v>
      </c>
      <c r="J1921">
        <f t="shared" si="146"/>
        <v>2400</v>
      </c>
      <c r="K1921" s="6">
        <f t="shared" si="147"/>
        <v>13600</v>
      </c>
      <c r="L1921" s="2">
        <v>18000</v>
      </c>
      <c r="M1921" s="6">
        <f>Table1[[#This Row],[Total Sales]]+Table1[[#This Row],[Shipping Fee]]</f>
        <v>31600</v>
      </c>
      <c r="N1921" s="2" t="s">
        <v>29</v>
      </c>
      <c r="O1921" t="str">
        <f>VLOOKUP(Table1[[#This Row],[Order ID]],Status!A:B, 2,FALSE)</f>
        <v>Completed</v>
      </c>
      <c r="P1921" s="2" t="s">
        <v>36</v>
      </c>
      <c r="Q1921" s="2">
        <v>1</v>
      </c>
      <c r="R1921" s="2" t="s">
        <v>37</v>
      </c>
      <c r="S1921" s="11" t="str">
        <f t="shared" si="148"/>
        <v>Rendah</v>
      </c>
      <c r="T1921" s="2" t="str">
        <f t="shared" si="149"/>
        <v>Sangat Rendah</v>
      </c>
    </row>
    <row r="1922" spans="1:20" ht="15.75" customHeight="1" x14ac:dyDescent="0.3">
      <c r="A1922" s="4" t="s">
        <v>230</v>
      </c>
      <c r="B1922" s="3">
        <v>45563.360196759262</v>
      </c>
      <c r="C1922" s="2" t="s">
        <v>231</v>
      </c>
      <c r="D1922" s="2" t="s">
        <v>66</v>
      </c>
      <c r="E1922" s="2" t="s">
        <v>138</v>
      </c>
      <c r="F1922" s="2">
        <v>17000</v>
      </c>
      <c r="G1922" s="2">
        <v>4</v>
      </c>
      <c r="H1922" s="2">
        <v>5</v>
      </c>
      <c r="I1922">
        <f t="shared" ref="I1922:I1985" si="150">F1922*G1922</f>
        <v>68000</v>
      </c>
      <c r="J1922">
        <f t="shared" ref="J1922:J1985" si="151">I1922*H1922/100</f>
        <v>3400</v>
      </c>
      <c r="K1922" s="6">
        <f t="shared" ref="K1922:K1985" si="152">I1922-J1922</f>
        <v>64600</v>
      </c>
      <c r="L1922" s="2">
        <v>59000</v>
      </c>
      <c r="M1922" s="6">
        <f>Table1[[#This Row],[Total Sales]]+Table1[[#This Row],[Shipping Fee]]</f>
        <v>123600</v>
      </c>
      <c r="N1922" s="2" t="s">
        <v>29</v>
      </c>
      <c r="O1922" t="str">
        <f>VLOOKUP(Table1[[#This Row],[Order ID]],Status!A:B, 2,FALSE)</f>
        <v>Completed</v>
      </c>
      <c r="P1922" s="2" t="s">
        <v>36</v>
      </c>
      <c r="Q1922" s="2">
        <v>1</v>
      </c>
      <c r="R1922" s="2" t="s">
        <v>24</v>
      </c>
      <c r="S1922" s="11" t="str">
        <f t="shared" ref="S1922:S1985" si="153">_xlfn.IFS(Q1922&gt;3,"Bagus",Q1922=3,"Standar",Q1922&lt;3,"Rendah")</f>
        <v>Rendah</v>
      </c>
      <c r="T1922" s="2" t="str">
        <f t="shared" ref="T1922:T1985" si="154">_xlfn.IFS(J1922&lt;=5000,"Sangat Rendah", J1922&lt;=10000,"Rendah", J1922&lt;=20000, "Normal", J1922&lt;=35000, "Tinggi", J1922&lt;= 50000, "Sangat Tinggi", J1922&gt;50000, "Clearance")</f>
        <v>Sangat Rendah</v>
      </c>
    </row>
    <row r="1923" spans="1:20" ht="15.75" customHeight="1" x14ac:dyDescent="0.3">
      <c r="A1923" s="4" t="s">
        <v>228</v>
      </c>
      <c r="B1923" s="3">
        <v>45563.307650462957</v>
      </c>
      <c r="C1923" s="2" t="s">
        <v>229</v>
      </c>
      <c r="D1923" s="2" t="s">
        <v>195</v>
      </c>
      <c r="E1923" s="2" t="s">
        <v>174</v>
      </c>
      <c r="F1923" s="2">
        <v>10000</v>
      </c>
      <c r="G1923" s="2">
        <v>3</v>
      </c>
      <c r="H1923" s="2">
        <v>5</v>
      </c>
      <c r="I1923">
        <f t="shared" si="150"/>
        <v>30000</v>
      </c>
      <c r="J1923">
        <f t="shared" si="151"/>
        <v>1500</v>
      </c>
      <c r="K1923" s="6">
        <f t="shared" si="152"/>
        <v>28500</v>
      </c>
      <c r="L1923" s="2">
        <v>87000</v>
      </c>
      <c r="M1923" s="6">
        <f>Table1[[#This Row],[Total Sales]]+Table1[[#This Row],[Shipping Fee]]</f>
        <v>115500</v>
      </c>
      <c r="N1923" s="2" t="s">
        <v>35</v>
      </c>
      <c r="O1923" t="str">
        <f>VLOOKUP(Table1[[#This Row],[Order ID]],Status!A:B, 2,FALSE)</f>
        <v>Cancelled</v>
      </c>
      <c r="P1923" s="2" t="s">
        <v>30</v>
      </c>
      <c r="Q1923" s="2">
        <v>2</v>
      </c>
      <c r="R1923" s="2" t="s">
        <v>24</v>
      </c>
      <c r="S1923" s="11" t="str">
        <f t="shared" si="153"/>
        <v>Rendah</v>
      </c>
      <c r="T1923" s="2" t="str">
        <f t="shared" si="154"/>
        <v>Sangat Rendah</v>
      </c>
    </row>
    <row r="1924" spans="1:20" ht="15.75" customHeight="1" x14ac:dyDescent="0.3">
      <c r="A1924" s="4" t="s">
        <v>226</v>
      </c>
      <c r="B1924" s="3">
        <v>45563.252222222232</v>
      </c>
      <c r="C1924" s="2" t="s">
        <v>227</v>
      </c>
      <c r="D1924" s="2" t="s">
        <v>70</v>
      </c>
      <c r="E1924" s="2" t="s">
        <v>41</v>
      </c>
      <c r="F1924" s="2">
        <v>4000</v>
      </c>
      <c r="G1924" s="2">
        <v>3</v>
      </c>
      <c r="H1924" s="2">
        <v>10</v>
      </c>
      <c r="I1924">
        <f t="shared" si="150"/>
        <v>12000</v>
      </c>
      <c r="J1924">
        <f t="shared" si="151"/>
        <v>1200</v>
      </c>
      <c r="K1924" s="6">
        <f t="shared" si="152"/>
        <v>10800</v>
      </c>
      <c r="L1924" s="2">
        <v>89000</v>
      </c>
      <c r="M1924" s="6">
        <f>Table1[[#This Row],[Total Sales]]+Table1[[#This Row],[Shipping Fee]]</f>
        <v>99800</v>
      </c>
      <c r="N1924" s="2" t="s">
        <v>35</v>
      </c>
      <c r="O1924" t="str">
        <f>VLOOKUP(Table1[[#This Row],[Order ID]],Status!A:B, 2,FALSE)</f>
        <v>Returned</v>
      </c>
      <c r="P1924" s="2" t="s">
        <v>30</v>
      </c>
      <c r="Q1924" s="2">
        <v>4</v>
      </c>
      <c r="R1924" s="2" t="s">
        <v>24</v>
      </c>
      <c r="S1924" s="11" t="str">
        <f t="shared" si="153"/>
        <v>Bagus</v>
      </c>
      <c r="T1924" s="2" t="str">
        <f t="shared" si="154"/>
        <v>Sangat Rendah</v>
      </c>
    </row>
    <row r="1925" spans="1:20" ht="15.75" customHeight="1" x14ac:dyDescent="0.3">
      <c r="A1925" s="4" t="s">
        <v>224</v>
      </c>
      <c r="B1925" s="3">
        <v>45563.223182870373</v>
      </c>
      <c r="C1925" s="2" t="s">
        <v>225</v>
      </c>
      <c r="D1925" s="2" t="s">
        <v>189</v>
      </c>
      <c r="E1925" s="2" t="s">
        <v>88</v>
      </c>
      <c r="F1925" s="2">
        <v>14000</v>
      </c>
      <c r="G1925" s="2">
        <v>4</v>
      </c>
      <c r="H1925" s="2">
        <v>10</v>
      </c>
      <c r="I1925">
        <f t="shared" si="150"/>
        <v>56000</v>
      </c>
      <c r="J1925">
        <f t="shared" si="151"/>
        <v>5600</v>
      </c>
      <c r="K1925" s="6">
        <f t="shared" si="152"/>
        <v>50400</v>
      </c>
      <c r="L1925" s="2">
        <v>57000</v>
      </c>
      <c r="M1925" s="6">
        <f>Table1[[#This Row],[Total Sales]]+Table1[[#This Row],[Shipping Fee]]</f>
        <v>107400</v>
      </c>
      <c r="N1925" s="2" t="s">
        <v>22</v>
      </c>
      <c r="O1925" t="str">
        <f>VLOOKUP(Table1[[#This Row],[Order ID]],Status!A:B, 2,FALSE)</f>
        <v>Completed</v>
      </c>
      <c r="P1925" s="2" t="s">
        <v>46</v>
      </c>
      <c r="Q1925" s="2">
        <v>4</v>
      </c>
      <c r="R1925" s="2" t="s">
        <v>37</v>
      </c>
      <c r="S1925" s="11" t="str">
        <f t="shared" si="153"/>
        <v>Bagus</v>
      </c>
      <c r="T1925" s="2" t="str">
        <f t="shared" si="154"/>
        <v>Rendah</v>
      </c>
    </row>
    <row r="1926" spans="1:20" ht="15.75" customHeight="1" x14ac:dyDescent="0.3">
      <c r="A1926" s="4" t="s">
        <v>223</v>
      </c>
      <c r="B1926" s="3">
        <v>45563.093090277784</v>
      </c>
      <c r="C1926" s="2" t="s">
        <v>79</v>
      </c>
      <c r="D1926" s="2" t="s">
        <v>80</v>
      </c>
      <c r="E1926" s="2" t="s">
        <v>88</v>
      </c>
      <c r="F1926" s="2">
        <v>14000</v>
      </c>
      <c r="G1926" s="2">
        <v>4</v>
      </c>
      <c r="H1926" s="2">
        <v>20</v>
      </c>
      <c r="I1926">
        <f t="shared" si="150"/>
        <v>56000</v>
      </c>
      <c r="J1926">
        <f t="shared" si="151"/>
        <v>11200</v>
      </c>
      <c r="K1926" s="6">
        <f t="shared" si="152"/>
        <v>44800</v>
      </c>
      <c r="L1926" s="2">
        <v>74000</v>
      </c>
      <c r="M1926" s="6">
        <f>Table1[[#This Row],[Total Sales]]+Table1[[#This Row],[Shipping Fee]]</f>
        <v>118800</v>
      </c>
      <c r="N1926" s="2" t="s">
        <v>22</v>
      </c>
      <c r="O1926" t="str">
        <f>VLOOKUP(Table1[[#This Row],[Order ID]],Status!A:B, 2,FALSE)</f>
        <v>Completed</v>
      </c>
      <c r="P1926" s="2" t="s">
        <v>30</v>
      </c>
      <c r="Q1926" s="2">
        <v>1</v>
      </c>
      <c r="R1926" s="2" t="s">
        <v>24</v>
      </c>
      <c r="S1926" s="11" t="str">
        <f t="shared" si="153"/>
        <v>Rendah</v>
      </c>
      <c r="T1926" s="2" t="str">
        <f t="shared" si="154"/>
        <v>Normal</v>
      </c>
    </row>
    <row r="1927" spans="1:20" ht="15.75" customHeight="1" x14ac:dyDescent="0.3">
      <c r="A1927" s="4" t="s">
        <v>223</v>
      </c>
      <c r="B1927" s="3">
        <v>45563.093090277784</v>
      </c>
      <c r="C1927" s="2" t="s">
        <v>79</v>
      </c>
      <c r="D1927" s="2" t="s">
        <v>80</v>
      </c>
      <c r="E1927" s="2" t="s">
        <v>58</v>
      </c>
      <c r="F1927" s="2">
        <v>16000</v>
      </c>
      <c r="G1927" s="2">
        <v>4</v>
      </c>
      <c r="H1927" s="2">
        <v>15</v>
      </c>
      <c r="I1927">
        <f t="shared" si="150"/>
        <v>64000</v>
      </c>
      <c r="J1927">
        <f t="shared" si="151"/>
        <v>9600</v>
      </c>
      <c r="K1927" s="6">
        <f t="shared" si="152"/>
        <v>54400</v>
      </c>
      <c r="L1927" s="2">
        <v>0</v>
      </c>
      <c r="M1927" s="6">
        <f>Table1[[#This Row],[Total Sales]]+Table1[[#This Row],[Shipping Fee]]</f>
        <v>54400</v>
      </c>
      <c r="N1927" s="2" t="s">
        <v>22</v>
      </c>
      <c r="O1927" t="str">
        <f>VLOOKUP(Table1[[#This Row],[Order ID]],Status!A:B, 2,FALSE)</f>
        <v>Completed</v>
      </c>
      <c r="P1927" s="2" t="s">
        <v>30</v>
      </c>
      <c r="Q1927" s="2">
        <v>1</v>
      </c>
      <c r="R1927" s="2" t="s">
        <v>24</v>
      </c>
      <c r="S1927" s="11" t="str">
        <f t="shared" si="153"/>
        <v>Rendah</v>
      </c>
      <c r="T1927" s="2" t="str">
        <f t="shared" si="154"/>
        <v>Rendah</v>
      </c>
    </row>
    <row r="1928" spans="1:20" ht="15.75" customHeight="1" x14ac:dyDescent="0.3">
      <c r="A1928" s="4" t="s">
        <v>221</v>
      </c>
      <c r="B1928" s="3">
        <v>45562.669733796298</v>
      </c>
      <c r="C1928" s="2" t="s">
        <v>222</v>
      </c>
      <c r="D1928" s="2" t="s">
        <v>49</v>
      </c>
      <c r="E1928" s="2" t="s">
        <v>190</v>
      </c>
      <c r="F1928" s="2">
        <v>35000</v>
      </c>
      <c r="G1928" s="2">
        <v>5</v>
      </c>
      <c r="H1928" s="2">
        <v>10</v>
      </c>
      <c r="I1928">
        <f t="shared" si="150"/>
        <v>175000</v>
      </c>
      <c r="J1928">
        <f t="shared" si="151"/>
        <v>17500</v>
      </c>
      <c r="K1928" s="6">
        <f t="shared" si="152"/>
        <v>157500</v>
      </c>
      <c r="L1928" s="2">
        <v>43000</v>
      </c>
      <c r="M1928" s="6">
        <f>Table1[[#This Row],[Total Sales]]+Table1[[#This Row],[Shipping Fee]]</f>
        <v>200500</v>
      </c>
      <c r="N1928" s="2" t="s">
        <v>35</v>
      </c>
      <c r="O1928" t="str">
        <f>VLOOKUP(Table1[[#This Row],[Order ID]],Status!A:B, 2,FALSE)</f>
        <v>Completed</v>
      </c>
      <c r="P1928" s="2" t="s">
        <v>46</v>
      </c>
      <c r="Q1928" s="2">
        <v>2</v>
      </c>
      <c r="R1928" s="2" t="s">
        <v>24</v>
      </c>
      <c r="S1928" s="11" t="str">
        <f t="shared" si="153"/>
        <v>Rendah</v>
      </c>
      <c r="T1928" s="2" t="str">
        <f t="shared" si="154"/>
        <v>Normal</v>
      </c>
    </row>
    <row r="1929" spans="1:20" ht="15.75" customHeight="1" x14ac:dyDescent="0.3">
      <c r="A1929" s="4" t="s">
        <v>219</v>
      </c>
      <c r="B1929" s="3">
        <v>45562.663055555553</v>
      </c>
      <c r="C1929" s="2" t="s">
        <v>220</v>
      </c>
      <c r="D1929" s="2" t="s">
        <v>53</v>
      </c>
      <c r="E1929" s="2" t="s">
        <v>85</v>
      </c>
      <c r="F1929" s="2">
        <v>35000</v>
      </c>
      <c r="G1929" s="2">
        <v>5</v>
      </c>
      <c r="H1929" s="2">
        <v>10</v>
      </c>
      <c r="I1929">
        <f t="shared" si="150"/>
        <v>175000</v>
      </c>
      <c r="J1929">
        <f t="shared" si="151"/>
        <v>17500</v>
      </c>
      <c r="K1929" s="6">
        <f t="shared" si="152"/>
        <v>157500</v>
      </c>
      <c r="L1929" s="2">
        <v>18000</v>
      </c>
      <c r="M1929" s="6">
        <f>Table1[[#This Row],[Total Sales]]+Table1[[#This Row],[Shipping Fee]]</f>
        <v>175500</v>
      </c>
      <c r="N1929" s="2" t="s">
        <v>35</v>
      </c>
      <c r="O1929" t="str">
        <f>VLOOKUP(Table1[[#This Row],[Order ID]],Status!A:B, 2,FALSE)</f>
        <v>Completed</v>
      </c>
      <c r="P1929" s="2" t="s">
        <v>30</v>
      </c>
      <c r="Q1929" s="2">
        <v>2</v>
      </c>
      <c r="R1929" s="2" t="s">
        <v>24</v>
      </c>
      <c r="S1929" s="11" t="str">
        <f t="shared" si="153"/>
        <v>Rendah</v>
      </c>
      <c r="T1929" s="2" t="str">
        <f t="shared" si="154"/>
        <v>Normal</v>
      </c>
    </row>
    <row r="1930" spans="1:20" ht="15.75" customHeight="1" x14ac:dyDescent="0.3">
      <c r="A1930" s="4" t="s">
        <v>217</v>
      </c>
      <c r="B1930" s="3">
        <v>45562.555601851847</v>
      </c>
      <c r="C1930" s="2" t="s">
        <v>218</v>
      </c>
      <c r="D1930" s="2" t="s">
        <v>170</v>
      </c>
      <c r="E1930" s="2" t="s">
        <v>186</v>
      </c>
      <c r="F1930" s="2">
        <v>45000</v>
      </c>
      <c r="G1930" s="2">
        <v>1</v>
      </c>
      <c r="H1930" s="2">
        <v>15</v>
      </c>
      <c r="I1930">
        <f t="shared" si="150"/>
        <v>45000</v>
      </c>
      <c r="J1930">
        <f t="shared" si="151"/>
        <v>6750</v>
      </c>
      <c r="K1930" s="6">
        <f t="shared" si="152"/>
        <v>38250</v>
      </c>
      <c r="L1930" s="2">
        <v>46000</v>
      </c>
      <c r="M1930" s="6">
        <f>Table1[[#This Row],[Total Sales]]+Table1[[#This Row],[Shipping Fee]]</f>
        <v>84250</v>
      </c>
      <c r="N1930" s="2" t="s">
        <v>63</v>
      </c>
      <c r="O1930" t="str">
        <f>VLOOKUP(Table1[[#This Row],[Order ID]],Status!A:B, 2,FALSE)</f>
        <v>Completed</v>
      </c>
      <c r="P1930" s="2" t="s">
        <v>23</v>
      </c>
      <c r="Q1930" s="2">
        <v>4</v>
      </c>
      <c r="R1930" s="2" t="s">
        <v>24</v>
      </c>
      <c r="S1930" s="11" t="str">
        <f t="shared" si="153"/>
        <v>Bagus</v>
      </c>
      <c r="T1930" s="2" t="str">
        <f t="shared" si="154"/>
        <v>Rendah</v>
      </c>
    </row>
    <row r="1931" spans="1:20" ht="15.75" customHeight="1" x14ac:dyDescent="0.3">
      <c r="A1931" s="4" t="s">
        <v>215</v>
      </c>
      <c r="B1931" s="3">
        <v>45562.441701388889</v>
      </c>
      <c r="C1931" s="2" t="s">
        <v>216</v>
      </c>
      <c r="D1931" s="2" t="s">
        <v>143</v>
      </c>
      <c r="E1931" s="2" t="s">
        <v>34</v>
      </c>
      <c r="F1931" s="2">
        <v>16000</v>
      </c>
      <c r="G1931" s="2">
        <v>2</v>
      </c>
      <c r="H1931" s="2">
        <v>20</v>
      </c>
      <c r="I1931">
        <f t="shared" si="150"/>
        <v>32000</v>
      </c>
      <c r="J1931">
        <f t="shared" si="151"/>
        <v>6400</v>
      </c>
      <c r="K1931" s="6">
        <f t="shared" si="152"/>
        <v>25600</v>
      </c>
      <c r="L1931" s="2">
        <v>50000</v>
      </c>
      <c r="M1931" s="6">
        <f>Table1[[#This Row],[Total Sales]]+Table1[[#This Row],[Shipping Fee]]</f>
        <v>75600</v>
      </c>
      <c r="N1931" s="2" t="s">
        <v>29</v>
      </c>
      <c r="O1931" t="str">
        <f>VLOOKUP(Table1[[#This Row],[Order ID]],Status!A:B, 2,FALSE)</f>
        <v>Completed</v>
      </c>
      <c r="P1931" s="2" t="s">
        <v>30</v>
      </c>
      <c r="Q1931" s="2">
        <v>4</v>
      </c>
      <c r="R1931" s="2" t="s">
        <v>24</v>
      </c>
      <c r="S1931" s="11" t="str">
        <f t="shared" si="153"/>
        <v>Bagus</v>
      </c>
      <c r="T1931" s="2" t="str">
        <f t="shared" si="154"/>
        <v>Rendah</v>
      </c>
    </row>
    <row r="1932" spans="1:20" ht="15.75" customHeight="1" x14ac:dyDescent="0.3">
      <c r="A1932" s="4" t="s">
        <v>213</v>
      </c>
      <c r="B1932" s="3">
        <v>45562.322916666657</v>
      </c>
      <c r="C1932" s="2" t="s">
        <v>214</v>
      </c>
      <c r="D1932" s="2" t="s">
        <v>131</v>
      </c>
      <c r="E1932" s="2" t="s">
        <v>50</v>
      </c>
      <c r="F1932" s="2">
        <v>14000</v>
      </c>
      <c r="G1932" s="2">
        <v>4</v>
      </c>
      <c r="H1932" s="2">
        <v>20</v>
      </c>
      <c r="I1932">
        <f t="shared" si="150"/>
        <v>56000</v>
      </c>
      <c r="J1932">
        <f t="shared" si="151"/>
        <v>11200</v>
      </c>
      <c r="K1932" s="6">
        <f t="shared" si="152"/>
        <v>44800</v>
      </c>
      <c r="L1932" s="2">
        <v>59000</v>
      </c>
      <c r="M1932" s="6">
        <f>Table1[[#This Row],[Total Sales]]+Table1[[#This Row],[Shipping Fee]]</f>
        <v>103800</v>
      </c>
      <c r="N1932" s="2" t="s">
        <v>35</v>
      </c>
      <c r="O1932" t="str">
        <f>VLOOKUP(Table1[[#This Row],[Order ID]],Status!A:B, 2,FALSE)</f>
        <v>Completed</v>
      </c>
      <c r="P1932" s="2" t="s">
        <v>23</v>
      </c>
      <c r="Q1932" s="2">
        <v>4</v>
      </c>
      <c r="R1932" s="2" t="s">
        <v>24</v>
      </c>
      <c r="S1932" s="11" t="str">
        <f t="shared" si="153"/>
        <v>Bagus</v>
      </c>
      <c r="T1932" s="2" t="str">
        <f t="shared" si="154"/>
        <v>Normal</v>
      </c>
    </row>
    <row r="1933" spans="1:20" ht="15.75" customHeight="1" x14ac:dyDescent="0.3">
      <c r="A1933" s="4" t="s">
        <v>212</v>
      </c>
      <c r="B1933" s="3">
        <v>45561.91914351852</v>
      </c>
      <c r="C1933" s="2" t="s">
        <v>102</v>
      </c>
      <c r="D1933" s="2" t="s">
        <v>103</v>
      </c>
      <c r="E1933" s="2" t="s">
        <v>71</v>
      </c>
      <c r="F1933" s="2">
        <v>40000</v>
      </c>
      <c r="G1933" s="2">
        <v>4</v>
      </c>
      <c r="H1933" s="2">
        <v>10</v>
      </c>
      <c r="I1933">
        <f t="shared" si="150"/>
        <v>160000</v>
      </c>
      <c r="J1933">
        <f t="shared" si="151"/>
        <v>16000</v>
      </c>
      <c r="K1933" s="6">
        <f t="shared" si="152"/>
        <v>144000</v>
      </c>
      <c r="L1933" s="2">
        <v>85000</v>
      </c>
      <c r="M1933" s="6">
        <f>Table1[[#This Row],[Total Sales]]+Table1[[#This Row],[Shipping Fee]]</f>
        <v>229000</v>
      </c>
      <c r="N1933" s="2" t="s">
        <v>22</v>
      </c>
      <c r="O1933" t="str">
        <f>VLOOKUP(Table1[[#This Row],[Order ID]],Status!A:B, 2,FALSE)</f>
        <v>Completed</v>
      </c>
      <c r="P1933" s="2" t="s">
        <v>30</v>
      </c>
      <c r="Q1933" s="2">
        <v>3</v>
      </c>
      <c r="R1933" s="2" t="s">
        <v>24</v>
      </c>
      <c r="S1933" s="11" t="str">
        <f t="shared" si="153"/>
        <v>Standar</v>
      </c>
      <c r="T1933" s="2" t="str">
        <f t="shared" si="154"/>
        <v>Normal</v>
      </c>
    </row>
    <row r="1934" spans="1:20" ht="15.75" customHeight="1" x14ac:dyDescent="0.3">
      <c r="A1934" s="4" t="s">
        <v>210</v>
      </c>
      <c r="B1934" s="3">
        <v>45560.827361111107</v>
      </c>
      <c r="C1934" s="2" t="s">
        <v>211</v>
      </c>
      <c r="D1934" s="2" t="s">
        <v>49</v>
      </c>
      <c r="E1934" s="2" t="s">
        <v>67</v>
      </c>
      <c r="F1934" s="2">
        <v>15000</v>
      </c>
      <c r="G1934" s="2">
        <v>1</v>
      </c>
      <c r="H1934" s="2">
        <v>20</v>
      </c>
      <c r="I1934">
        <f t="shared" si="150"/>
        <v>15000</v>
      </c>
      <c r="J1934">
        <f t="shared" si="151"/>
        <v>3000</v>
      </c>
      <c r="K1934" s="6">
        <f t="shared" si="152"/>
        <v>12000</v>
      </c>
      <c r="L1934" s="2">
        <v>43000</v>
      </c>
      <c r="M1934" s="6">
        <f>Table1[[#This Row],[Total Sales]]+Table1[[#This Row],[Shipping Fee]]</f>
        <v>55000</v>
      </c>
      <c r="N1934" s="2" t="s">
        <v>29</v>
      </c>
      <c r="O1934" t="str">
        <f>VLOOKUP(Table1[[#This Row],[Order ID]],Status!A:B, 2,FALSE)</f>
        <v>Completed</v>
      </c>
      <c r="P1934" s="2" t="s">
        <v>82</v>
      </c>
      <c r="Q1934" s="2">
        <v>3</v>
      </c>
      <c r="R1934" s="2" t="s">
        <v>24</v>
      </c>
      <c r="S1934" s="11" t="str">
        <f t="shared" si="153"/>
        <v>Standar</v>
      </c>
      <c r="T1934" s="2" t="str">
        <f t="shared" si="154"/>
        <v>Sangat Rendah</v>
      </c>
    </row>
    <row r="1935" spans="1:20" ht="15.75" customHeight="1" x14ac:dyDescent="0.3">
      <c r="A1935" s="4" t="s">
        <v>208</v>
      </c>
      <c r="B1935" s="3">
        <v>45560.683599537027</v>
      </c>
      <c r="C1935" s="2" t="s">
        <v>209</v>
      </c>
      <c r="D1935" s="2" t="s">
        <v>143</v>
      </c>
      <c r="E1935" s="2" t="s">
        <v>28</v>
      </c>
      <c r="F1935" s="2">
        <v>5000</v>
      </c>
      <c r="G1935" s="2">
        <v>3</v>
      </c>
      <c r="H1935" s="2">
        <v>15</v>
      </c>
      <c r="I1935">
        <f t="shared" si="150"/>
        <v>15000</v>
      </c>
      <c r="J1935">
        <f t="shared" si="151"/>
        <v>2250</v>
      </c>
      <c r="K1935" s="6">
        <f t="shared" si="152"/>
        <v>12750</v>
      </c>
      <c r="L1935" s="2">
        <v>50000</v>
      </c>
      <c r="M1935" s="6">
        <f>Table1[[#This Row],[Total Sales]]+Table1[[#This Row],[Shipping Fee]]</f>
        <v>62750</v>
      </c>
      <c r="N1935" s="2" t="s">
        <v>29</v>
      </c>
      <c r="O1935" t="str">
        <f>VLOOKUP(Table1[[#This Row],[Order ID]],Status!A:B, 2,FALSE)</f>
        <v>Completed</v>
      </c>
      <c r="P1935" s="2" t="s">
        <v>30</v>
      </c>
      <c r="Q1935" s="2">
        <v>4</v>
      </c>
      <c r="R1935" s="2" t="s">
        <v>37</v>
      </c>
      <c r="S1935" s="11" t="str">
        <f t="shared" si="153"/>
        <v>Bagus</v>
      </c>
      <c r="T1935" s="2" t="str">
        <f t="shared" si="154"/>
        <v>Sangat Rendah</v>
      </c>
    </row>
    <row r="1936" spans="1:20" ht="15.75" customHeight="1" x14ac:dyDescent="0.3">
      <c r="A1936" s="4" t="s">
        <v>206</v>
      </c>
      <c r="B1936" s="3">
        <v>45560.518657407411</v>
      </c>
      <c r="C1936" s="2" t="s">
        <v>207</v>
      </c>
      <c r="D1936" s="2" t="s">
        <v>96</v>
      </c>
      <c r="E1936" s="2" t="s">
        <v>34</v>
      </c>
      <c r="F1936" s="2">
        <v>16000</v>
      </c>
      <c r="G1936" s="2">
        <v>3</v>
      </c>
      <c r="H1936" s="2">
        <v>10</v>
      </c>
      <c r="I1936">
        <f t="shared" si="150"/>
        <v>48000</v>
      </c>
      <c r="J1936">
        <f t="shared" si="151"/>
        <v>4800</v>
      </c>
      <c r="K1936" s="6">
        <f t="shared" si="152"/>
        <v>43200</v>
      </c>
      <c r="L1936" s="2">
        <v>49000</v>
      </c>
      <c r="M1936" s="6">
        <f>Table1[[#This Row],[Total Sales]]+Table1[[#This Row],[Shipping Fee]]</f>
        <v>92200</v>
      </c>
      <c r="N1936" s="2" t="s">
        <v>29</v>
      </c>
      <c r="O1936" t="str">
        <f>VLOOKUP(Table1[[#This Row],[Order ID]],Status!A:B, 2,FALSE)</f>
        <v>Completed</v>
      </c>
      <c r="P1936" s="2" t="s">
        <v>30</v>
      </c>
      <c r="Q1936" s="2">
        <v>2</v>
      </c>
      <c r="R1936" s="2" t="s">
        <v>24</v>
      </c>
      <c r="S1936" s="11" t="str">
        <f t="shared" si="153"/>
        <v>Rendah</v>
      </c>
      <c r="T1936" s="2" t="str">
        <f t="shared" si="154"/>
        <v>Sangat Rendah</v>
      </c>
    </row>
    <row r="1937" spans="1:20" ht="15.75" customHeight="1" x14ac:dyDescent="0.3">
      <c r="A1937" s="4" t="s">
        <v>204</v>
      </c>
      <c r="B1937" s="3">
        <v>45560.374374999999</v>
      </c>
      <c r="C1937" s="2" t="s">
        <v>205</v>
      </c>
      <c r="D1937" s="2" t="s">
        <v>96</v>
      </c>
      <c r="E1937" s="2" t="s">
        <v>62</v>
      </c>
      <c r="F1937" s="2">
        <v>50000</v>
      </c>
      <c r="G1937" s="2">
        <v>5</v>
      </c>
      <c r="H1937" s="2">
        <v>10</v>
      </c>
      <c r="I1937">
        <f t="shared" si="150"/>
        <v>250000</v>
      </c>
      <c r="J1937">
        <f t="shared" si="151"/>
        <v>25000</v>
      </c>
      <c r="K1937" s="6">
        <f t="shared" si="152"/>
        <v>225000</v>
      </c>
      <c r="L1937" s="2">
        <v>49000</v>
      </c>
      <c r="M1937" s="6">
        <f>Table1[[#This Row],[Total Sales]]+Table1[[#This Row],[Shipping Fee]]</f>
        <v>274000</v>
      </c>
      <c r="N1937" s="2" t="s">
        <v>63</v>
      </c>
      <c r="O1937" t="str">
        <f>VLOOKUP(Table1[[#This Row],[Order ID]],Status!A:B, 2,FALSE)</f>
        <v>Completed</v>
      </c>
      <c r="P1937" s="2" t="s">
        <v>82</v>
      </c>
      <c r="Q1937" s="2">
        <v>4</v>
      </c>
      <c r="R1937" s="2" t="s">
        <v>24</v>
      </c>
      <c r="S1937" s="11" t="str">
        <f t="shared" si="153"/>
        <v>Bagus</v>
      </c>
      <c r="T1937" s="2" t="str">
        <f t="shared" si="154"/>
        <v>Tinggi</v>
      </c>
    </row>
    <row r="1938" spans="1:20" ht="15.75" customHeight="1" x14ac:dyDescent="0.3">
      <c r="A1938" s="4" t="s">
        <v>202</v>
      </c>
      <c r="B1938" s="3">
        <v>45560.274340277778</v>
      </c>
      <c r="C1938" s="2" t="s">
        <v>203</v>
      </c>
      <c r="D1938" s="2" t="s">
        <v>20</v>
      </c>
      <c r="E1938" s="2" t="s">
        <v>38</v>
      </c>
      <c r="F1938" s="2">
        <v>28000</v>
      </c>
      <c r="G1938" s="2">
        <v>3</v>
      </c>
      <c r="H1938" s="2">
        <v>15</v>
      </c>
      <c r="I1938">
        <f t="shared" si="150"/>
        <v>84000</v>
      </c>
      <c r="J1938">
        <f t="shared" si="151"/>
        <v>12600</v>
      </c>
      <c r="K1938" s="6">
        <f t="shared" si="152"/>
        <v>71400</v>
      </c>
      <c r="L1938" s="2">
        <v>15000</v>
      </c>
      <c r="M1938" s="6">
        <f>Table1[[#This Row],[Total Sales]]+Table1[[#This Row],[Shipping Fee]]</f>
        <v>86400</v>
      </c>
      <c r="N1938" s="2" t="s">
        <v>29</v>
      </c>
      <c r="O1938" t="str">
        <f>VLOOKUP(Table1[[#This Row],[Order ID]],Status!A:B, 2,FALSE)</f>
        <v>Completed</v>
      </c>
      <c r="P1938" s="2" t="s">
        <v>23</v>
      </c>
      <c r="Q1938" s="2">
        <v>3</v>
      </c>
      <c r="R1938" s="2" t="s">
        <v>24</v>
      </c>
      <c r="S1938" s="11" t="str">
        <f t="shared" si="153"/>
        <v>Standar</v>
      </c>
      <c r="T1938" s="2" t="str">
        <f t="shared" si="154"/>
        <v>Normal</v>
      </c>
    </row>
    <row r="1939" spans="1:20" ht="15.75" customHeight="1" x14ac:dyDescent="0.3">
      <c r="A1939" s="4" t="s">
        <v>200</v>
      </c>
      <c r="B1939" s="3">
        <v>45560.139421296299</v>
      </c>
      <c r="C1939" s="2" t="s">
        <v>201</v>
      </c>
      <c r="D1939" s="2" t="s">
        <v>107</v>
      </c>
      <c r="E1939" s="2" t="s">
        <v>45</v>
      </c>
      <c r="F1939" s="2">
        <v>40000</v>
      </c>
      <c r="G1939" s="2">
        <v>1</v>
      </c>
      <c r="H1939" s="2">
        <v>15</v>
      </c>
      <c r="I1939">
        <f t="shared" si="150"/>
        <v>40000</v>
      </c>
      <c r="J1939">
        <f t="shared" si="151"/>
        <v>6000</v>
      </c>
      <c r="K1939" s="6">
        <f t="shared" si="152"/>
        <v>34000</v>
      </c>
      <c r="L1939" s="2">
        <v>97000</v>
      </c>
      <c r="M1939" s="6">
        <f>Table1[[#This Row],[Total Sales]]+Table1[[#This Row],[Shipping Fee]]</f>
        <v>131000</v>
      </c>
      <c r="N1939" s="2" t="s">
        <v>29</v>
      </c>
      <c r="O1939" t="str">
        <f>VLOOKUP(Table1[[#This Row],[Order ID]],Status!A:B, 2,FALSE)</f>
        <v>Completed</v>
      </c>
      <c r="P1939" s="2" t="s">
        <v>82</v>
      </c>
      <c r="Q1939" s="2">
        <v>3</v>
      </c>
      <c r="R1939" s="2" t="s">
        <v>24</v>
      </c>
      <c r="S1939" s="11" t="str">
        <f t="shared" si="153"/>
        <v>Standar</v>
      </c>
      <c r="T1939" s="2" t="str">
        <f t="shared" si="154"/>
        <v>Rendah</v>
      </c>
    </row>
    <row r="1940" spans="1:20" ht="15.75" customHeight="1" x14ac:dyDescent="0.3">
      <c r="A1940" s="4" t="s">
        <v>198</v>
      </c>
      <c r="B1940" s="3">
        <v>45560.015497685177</v>
      </c>
      <c r="C1940" s="2" t="s">
        <v>199</v>
      </c>
      <c r="D1940" s="2" t="s">
        <v>143</v>
      </c>
      <c r="E1940" s="2" t="s">
        <v>71</v>
      </c>
      <c r="F1940" s="2">
        <v>40000</v>
      </c>
      <c r="G1940" s="2">
        <v>2</v>
      </c>
      <c r="H1940" s="2">
        <v>20</v>
      </c>
      <c r="I1940">
        <f t="shared" si="150"/>
        <v>80000</v>
      </c>
      <c r="J1940">
        <f t="shared" si="151"/>
        <v>16000</v>
      </c>
      <c r="K1940" s="6">
        <f t="shared" si="152"/>
        <v>64000</v>
      </c>
      <c r="L1940" s="2">
        <v>50000</v>
      </c>
      <c r="M1940" s="6">
        <f>Table1[[#This Row],[Total Sales]]+Table1[[#This Row],[Shipping Fee]]</f>
        <v>114000</v>
      </c>
      <c r="N1940" s="2" t="s">
        <v>29</v>
      </c>
      <c r="O1940" t="str">
        <f>VLOOKUP(Table1[[#This Row],[Order ID]],Status!A:B, 2,FALSE)</f>
        <v>Completed</v>
      </c>
      <c r="P1940" s="2" t="s">
        <v>82</v>
      </c>
      <c r="Q1940" s="2">
        <v>3</v>
      </c>
      <c r="R1940" s="2" t="s">
        <v>24</v>
      </c>
      <c r="S1940" s="11" t="str">
        <f t="shared" si="153"/>
        <v>Standar</v>
      </c>
      <c r="T1940" s="2" t="str">
        <f t="shared" si="154"/>
        <v>Normal</v>
      </c>
    </row>
    <row r="1941" spans="1:20" ht="15.75" customHeight="1" x14ac:dyDescent="0.3">
      <c r="A1941" s="4" t="s">
        <v>196</v>
      </c>
      <c r="B1941" s="3">
        <v>45559.960763888892</v>
      </c>
      <c r="C1941" s="2" t="s">
        <v>197</v>
      </c>
      <c r="D1941" s="2" t="s">
        <v>119</v>
      </c>
      <c r="E1941" s="2" t="s">
        <v>104</v>
      </c>
      <c r="F1941" s="2">
        <v>30000</v>
      </c>
      <c r="G1941" s="2">
        <v>1</v>
      </c>
      <c r="H1941" s="2">
        <v>5</v>
      </c>
      <c r="I1941">
        <f t="shared" si="150"/>
        <v>30000</v>
      </c>
      <c r="J1941">
        <f t="shared" si="151"/>
        <v>1500</v>
      </c>
      <c r="K1941" s="6">
        <f t="shared" si="152"/>
        <v>28500</v>
      </c>
      <c r="L1941" s="2">
        <v>0</v>
      </c>
      <c r="M1941" s="6">
        <f>Table1[[#This Row],[Total Sales]]+Table1[[#This Row],[Shipping Fee]]</f>
        <v>28500</v>
      </c>
      <c r="N1941" s="2" t="s">
        <v>63</v>
      </c>
      <c r="O1941" t="str">
        <f>VLOOKUP(Table1[[#This Row],[Order ID]],Status!A:B, 2,FALSE)</f>
        <v>Cancelled</v>
      </c>
      <c r="P1941" s="2" t="s">
        <v>46</v>
      </c>
      <c r="Q1941" s="2">
        <v>3</v>
      </c>
      <c r="R1941" s="2" t="s">
        <v>37</v>
      </c>
      <c r="S1941" s="11" t="str">
        <f t="shared" si="153"/>
        <v>Standar</v>
      </c>
      <c r="T1941" s="2" t="str">
        <f t="shared" si="154"/>
        <v>Sangat Rendah</v>
      </c>
    </row>
    <row r="1942" spans="1:20" ht="15.75" customHeight="1" x14ac:dyDescent="0.3">
      <c r="A1942" s="4" t="s">
        <v>193</v>
      </c>
      <c r="B1942" s="3">
        <v>45559.922812500001</v>
      </c>
      <c r="C1942" s="2" t="s">
        <v>194</v>
      </c>
      <c r="D1942" s="2" t="s">
        <v>195</v>
      </c>
      <c r="E1942" s="2" t="s">
        <v>58</v>
      </c>
      <c r="F1942" s="2">
        <v>16000</v>
      </c>
      <c r="G1942" s="2">
        <v>4</v>
      </c>
      <c r="H1942" s="2">
        <v>20</v>
      </c>
      <c r="I1942">
        <f t="shared" si="150"/>
        <v>64000</v>
      </c>
      <c r="J1942">
        <f t="shared" si="151"/>
        <v>12800</v>
      </c>
      <c r="K1942" s="6">
        <f t="shared" si="152"/>
        <v>51200</v>
      </c>
      <c r="L1942" s="2">
        <v>87000</v>
      </c>
      <c r="M1942" s="6">
        <f>Table1[[#This Row],[Total Sales]]+Table1[[#This Row],[Shipping Fee]]</f>
        <v>138200</v>
      </c>
      <c r="N1942" s="2" t="s">
        <v>22</v>
      </c>
      <c r="O1942" t="str">
        <f>VLOOKUP(Table1[[#This Row],[Order ID]],Status!A:B, 2,FALSE)</f>
        <v>Returned</v>
      </c>
      <c r="P1942" s="2" t="s">
        <v>23</v>
      </c>
      <c r="Q1942" s="2">
        <v>1</v>
      </c>
      <c r="R1942" s="2" t="s">
        <v>24</v>
      </c>
      <c r="S1942" s="11" t="str">
        <f t="shared" si="153"/>
        <v>Rendah</v>
      </c>
      <c r="T1942" s="2" t="str">
        <f t="shared" si="154"/>
        <v>Normal</v>
      </c>
    </row>
    <row r="1943" spans="1:20" ht="15.75" customHeight="1" x14ac:dyDescent="0.3">
      <c r="A1943" s="4" t="s">
        <v>191</v>
      </c>
      <c r="B1943" s="3">
        <v>45559.714965277781</v>
      </c>
      <c r="C1943" s="2" t="s">
        <v>192</v>
      </c>
      <c r="D1943" s="2" t="s">
        <v>107</v>
      </c>
      <c r="E1943" s="2" t="s">
        <v>28</v>
      </c>
      <c r="F1943" s="2">
        <v>5000</v>
      </c>
      <c r="G1943" s="2">
        <v>2</v>
      </c>
      <c r="H1943" s="2">
        <v>20</v>
      </c>
      <c r="I1943">
        <f t="shared" si="150"/>
        <v>10000</v>
      </c>
      <c r="J1943">
        <f t="shared" si="151"/>
        <v>2000</v>
      </c>
      <c r="K1943" s="6">
        <f t="shared" si="152"/>
        <v>8000</v>
      </c>
      <c r="L1943" s="2">
        <v>97000</v>
      </c>
      <c r="M1943" s="6">
        <f>Table1[[#This Row],[Total Sales]]+Table1[[#This Row],[Shipping Fee]]</f>
        <v>105000</v>
      </c>
      <c r="N1943" s="2" t="s">
        <v>63</v>
      </c>
      <c r="O1943" t="str">
        <f>VLOOKUP(Table1[[#This Row],[Order ID]],Status!A:B, 2,FALSE)</f>
        <v>Completed</v>
      </c>
      <c r="P1943" s="2" t="s">
        <v>46</v>
      </c>
      <c r="Q1943" s="2">
        <v>2</v>
      </c>
      <c r="R1943" s="2" t="s">
        <v>24</v>
      </c>
      <c r="S1943" s="11" t="str">
        <f t="shared" si="153"/>
        <v>Rendah</v>
      </c>
      <c r="T1943" s="2" t="str">
        <f t="shared" si="154"/>
        <v>Sangat Rendah</v>
      </c>
    </row>
    <row r="1944" spans="1:20" ht="15.75" customHeight="1" x14ac:dyDescent="0.3">
      <c r="A1944" s="4" t="s">
        <v>187</v>
      </c>
      <c r="B1944" s="3">
        <v>45559.683819444443</v>
      </c>
      <c r="C1944" s="2" t="s">
        <v>188</v>
      </c>
      <c r="D1944" s="2" t="s">
        <v>189</v>
      </c>
      <c r="E1944" s="2" t="s">
        <v>190</v>
      </c>
      <c r="F1944" s="2">
        <v>35000</v>
      </c>
      <c r="G1944" s="2">
        <v>5</v>
      </c>
      <c r="H1944" s="2">
        <v>5</v>
      </c>
      <c r="I1944">
        <f t="shared" si="150"/>
        <v>175000</v>
      </c>
      <c r="J1944">
        <f t="shared" si="151"/>
        <v>8750</v>
      </c>
      <c r="K1944" s="6">
        <f t="shared" si="152"/>
        <v>166250</v>
      </c>
      <c r="L1944" s="2">
        <v>57000</v>
      </c>
      <c r="M1944" s="6">
        <f>Table1[[#This Row],[Total Sales]]+Table1[[#This Row],[Shipping Fee]]</f>
        <v>223250</v>
      </c>
      <c r="N1944" s="2" t="s">
        <v>29</v>
      </c>
      <c r="O1944" t="str">
        <f>VLOOKUP(Table1[[#This Row],[Order ID]],Status!A:B, 2,FALSE)</f>
        <v>Returned</v>
      </c>
      <c r="P1944" s="2" t="s">
        <v>23</v>
      </c>
      <c r="Q1944" s="2">
        <v>2</v>
      </c>
      <c r="R1944" s="2" t="s">
        <v>24</v>
      </c>
      <c r="S1944" s="11" t="str">
        <f t="shared" si="153"/>
        <v>Rendah</v>
      </c>
      <c r="T1944" s="2" t="str">
        <f t="shared" si="154"/>
        <v>Rendah</v>
      </c>
    </row>
    <row r="1945" spans="1:20" ht="15.75" customHeight="1" x14ac:dyDescent="0.3">
      <c r="A1945" s="4" t="s">
        <v>185</v>
      </c>
      <c r="B1945" s="3">
        <v>45559.478229166663</v>
      </c>
      <c r="C1945" s="2" t="s">
        <v>95</v>
      </c>
      <c r="D1945" s="2" t="s">
        <v>96</v>
      </c>
      <c r="E1945" s="2" t="s">
        <v>186</v>
      </c>
      <c r="F1945" s="2">
        <v>45000</v>
      </c>
      <c r="G1945" s="2">
        <v>1</v>
      </c>
      <c r="H1945" s="2">
        <v>15</v>
      </c>
      <c r="I1945">
        <f t="shared" si="150"/>
        <v>45000</v>
      </c>
      <c r="J1945">
        <f t="shared" si="151"/>
        <v>6750</v>
      </c>
      <c r="K1945" s="6">
        <f t="shared" si="152"/>
        <v>38250</v>
      </c>
      <c r="L1945" s="2">
        <v>49000</v>
      </c>
      <c r="M1945" s="6">
        <f>Table1[[#This Row],[Total Sales]]+Table1[[#This Row],[Shipping Fee]]</f>
        <v>87250</v>
      </c>
      <c r="N1945" s="2" t="s">
        <v>63</v>
      </c>
      <c r="O1945" t="str">
        <f>VLOOKUP(Table1[[#This Row],[Order ID]],Status!A:B, 2,FALSE)</f>
        <v>Returned</v>
      </c>
      <c r="P1945" s="2" t="s">
        <v>82</v>
      </c>
      <c r="Q1945" s="2">
        <v>5</v>
      </c>
      <c r="R1945" s="2" t="s">
        <v>24</v>
      </c>
      <c r="S1945" s="11" t="str">
        <f t="shared" si="153"/>
        <v>Bagus</v>
      </c>
      <c r="T1945" s="2" t="str">
        <f t="shared" si="154"/>
        <v>Rendah</v>
      </c>
    </row>
    <row r="1946" spans="1:20" ht="15.75" customHeight="1" x14ac:dyDescent="0.3">
      <c r="A1946" s="4" t="s">
        <v>183</v>
      </c>
      <c r="B1946" s="3">
        <v>45559.340555555558</v>
      </c>
      <c r="C1946" s="2" t="s">
        <v>184</v>
      </c>
      <c r="D1946" s="2" t="s">
        <v>103</v>
      </c>
      <c r="E1946" s="2" t="s">
        <v>75</v>
      </c>
      <c r="F1946" s="2">
        <v>55000</v>
      </c>
      <c r="G1946" s="2">
        <v>1</v>
      </c>
      <c r="H1946" s="2">
        <v>15</v>
      </c>
      <c r="I1946">
        <f t="shared" si="150"/>
        <v>55000</v>
      </c>
      <c r="J1946">
        <f t="shared" si="151"/>
        <v>8250</v>
      </c>
      <c r="K1946" s="6">
        <f t="shared" si="152"/>
        <v>46750</v>
      </c>
      <c r="L1946" s="2">
        <v>85000</v>
      </c>
      <c r="M1946" s="6">
        <f>Table1[[#This Row],[Total Sales]]+Table1[[#This Row],[Shipping Fee]]</f>
        <v>131750</v>
      </c>
      <c r="N1946" s="2" t="s">
        <v>22</v>
      </c>
      <c r="O1946" t="str">
        <f>VLOOKUP(Table1[[#This Row],[Order ID]],Status!A:B, 2,FALSE)</f>
        <v>Completed</v>
      </c>
      <c r="P1946" s="2" t="s">
        <v>46</v>
      </c>
      <c r="Q1946" s="2">
        <v>2</v>
      </c>
      <c r="R1946" s="2" t="s">
        <v>24</v>
      </c>
      <c r="S1946" s="11" t="str">
        <f t="shared" si="153"/>
        <v>Rendah</v>
      </c>
      <c r="T1946" s="2" t="str">
        <f t="shared" si="154"/>
        <v>Rendah</v>
      </c>
    </row>
    <row r="1947" spans="1:20" ht="15.75" customHeight="1" x14ac:dyDescent="0.3">
      <c r="A1947" s="4" t="s">
        <v>180</v>
      </c>
      <c r="B1947" s="3">
        <v>45559.32298611111</v>
      </c>
      <c r="C1947" s="2" t="s">
        <v>181</v>
      </c>
      <c r="D1947" s="2" t="s">
        <v>182</v>
      </c>
      <c r="E1947" s="2" t="s">
        <v>71</v>
      </c>
      <c r="F1947" s="2">
        <v>40000</v>
      </c>
      <c r="G1947" s="2">
        <v>1</v>
      </c>
      <c r="H1947" s="2">
        <v>10</v>
      </c>
      <c r="I1947">
        <f t="shared" si="150"/>
        <v>40000</v>
      </c>
      <c r="J1947">
        <f t="shared" si="151"/>
        <v>4000</v>
      </c>
      <c r="K1947" s="6">
        <f t="shared" si="152"/>
        <v>36000</v>
      </c>
      <c r="L1947" s="2">
        <v>48000</v>
      </c>
      <c r="M1947" s="6">
        <f>Table1[[#This Row],[Total Sales]]+Table1[[#This Row],[Shipping Fee]]</f>
        <v>84000</v>
      </c>
      <c r="N1947" s="2" t="s">
        <v>29</v>
      </c>
      <c r="O1947" t="str">
        <f>VLOOKUP(Table1[[#This Row],[Order ID]],Status!A:B, 2,FALSE)</f>
        <v>Completed</v>
      </c>
      <c r="P1947" s="2" t="s">
        <v>82</v>
      </c>
      <c r="Q1947" s="2">
        <v>2</v>
      </c>
      <c r="R1947" s="2" t="s">
        <v>24</v>
      </c>
      <c r="S1947" s="11" t="str">
        <f t="shared" si="153"/>
        <v>Rendah</v>
      </c>
      <c r="T1947" s="2" t="str">
        <f t="shared" si="154"/>
        <v>Sangat Rendah</v>
      </c>
    </row>
    <row r="1948" spans="1:20" ht="15.75" customHeight="1" x14ac:dyDescent="0.3">
      <c r="A1948" s="4" t="s">
        <v>178</v>
      </c>
      <c r="B1948" s="3">
        <v>45559.04047453704</v>
      </c>
      <c r="C1948" s="2" t="s">
        <v>179</v>
      </c>
      <c r="D1948" s="2" t="s">
        <v>66</v>
      </c>
      <c r="E1948" s="2" t="s">
        <v>75</v>
      </c>
      <c r="F1948" s="2">
        <v>55000</v>
      </c>
      <c r="G1948" s="2">
        <v>5</v>
      </c>
      <c r="H1948" s="2">
        <v>10</v>
      </c>
      <c r="I1948">
        <f t="shared" si="150"/>
        <v>275000</v>
      </c>
      <c r="J1948">
        <f t="shared" si="151"/>
        <v>27500</v>
      </c>
      <c r="K1948" s="6">
        <f t="shared" si="152"/>
        <v>247500</v>
      </c>
      <c r="L1948" s="2">
        <v>59000</v>
      </c>
      <c r="M1948" s="6">
        <f>Table1[[#This Row],[Total Sales]]+Table1[[#This Row],[Shipping Fee]]</f>
        <v>306500</v>
      </c>
      <c r="N1948" s="2" t="s">
        <v>35</v>
      </c>
      <c r="O1948" t="str">
        <f>VLOOKUP(Table1[[#This Row],[Order ID]],Status!A:B, 2,FALSE)</f>
        <v>Completed</v>
      </c>
      <c r="P1948" s="2" t="s">
        <v>82</v>
      </c>
      <c r="Q1948" s="2">
        <v>4</v>
      </c>
      <c r="R1948" s="2" t="s">
        <v>24</v>
      </c>
      <c r="S1948" s="11" t="str">
        <f t="shared" si="153"/>
        <v>Bagus</v>
      </c>
      <c r="T1948" s="2" t="str">
        <f t="shared" si="154"/>
        <v>Tinggi</v>
      </c>
    </row>
    <row r="1949" spans="1:20" ht="15.75" customHeight="1" x14ac:dyDescent="0.3">
      <c r="A1949" s="4" t="s">
        <v>175</v>
      </c>
      <c r="B1949" s="3">
        <v>45559.020509259259</v>
      </c>
      <c r="C1949" s="2" t="s">
        <v>176</v>
      </c>
      <c r="D1949" s="2" t="s">
        <v>177</v>
      </c>
      <c r="E1949" s="2" t="s">
        <v>58</v>
      </c>
      <c r="F1949" s="2">
        <v>16000</v>
      </c>
      <c r="G1949" s="2">
        <v>5</v>
      </c>
      <c r="H1949" s="2">
        <v>15</v>
      </c>
      <c r="I1949">
        <f t="shared" si="150"/>
        <v>80000</v>
      </c>
      <c r="J1949">
        <f t="shared" si="151"/>
        <v>12000</v>
      </c>
      <c r="K1949" s="6">
        <f t="shared" si="152"/>
        <v>68000</v>
      </c>
      <c r="L1949" s="2">
        <v>56000</v>
      </c>
      <c r="M1949" s="6">
        <f>Table1[[#This Row],[Total Sales]]+Table1[[#This Row],[Shipping Fee]]</f>
        <v>124000</v>
      </c>
      <c r="N1949" s="2" t="s">
        <v>22</v>
      </c>
      <c r="O1949" t="str">
        <f>VLOOKUP(Table1[[#This Row],[Order ID]],Status!A:B, 2,FALSE)</f>
        <v>Completed</v>
      </c>
      <c r="P1949" s="2" t="s">
        <v>82</v>
      </c>
      <c r="Q1949" s="2">
        <v>2</v>
      </c>
      <c r="R1949" s="2" t="s">
        <v>24</v>
      </c>
      <c r="S1949" s="11" t="str">
        <f t="shared" si="153"/>
        <v>Rendah</v>
      </c>
      <c r="T1949" s="2" t="str">
        <f t="shared" si="154"/>
        <v>Normal</v>
      </c>
    </row>
    <row r="1950" spans="1:20" ht="15.75" customHeight="1" x14ac:dyDescent="0.3">
      <c r="A1950" s="4" t="s">
        <v>171</v>
      </c>
      <c r="B1950" s="3">
        <v>45559.017048611109</v>
      </c>
      <c r="C1950" s="2" t="s">
        <v>172</v>
      </c>
      <c r="D1950" s="2" t="s">
        <v>173</v>
      </c>
      <c r="E1950" s="2" t="s">
        <v>41</v>
      </c>
      <c r="F1950" s="2">
        <v>4000</v>
      </c>
      <c r="G1950" s="2">
        <v>3</v>
      </c>
      <c r="H1950" s="2">
        <v>10</v>
      </c>
      <c r="I1950">
        <f t="shared" si="150"/>
        <v>12000</v>
      </c>
      <c r="J1950">
        <f t="shared" si="151"/>
        <v>1200</v>
      </c>
      <c r="K1950" s="6">
        <f t="shared" si="152"/>
        <v>10800</v>
      </c>
      <c r="L1950" s="2">
        <v>49000</v>
      </c>
      <c r="M1950" s="6">
        <f>Table1[[#This Row],[Total Sales]]+Table1[[#This Row],[Shipping Fee]]</f>
        <v>59800</v>
      </c>
      <c r="N1950" s="2" t="s">
        <v>22</v>
      </c>
      <c r="O1950" t="str">
        <f>VLOOKUP(Table1[[#This Row],[Order ID]],Status!A:B, 2,FALSE)</f>
        <v>Completed</v>
      </c>
      <c r="P1950" s="2" t="s">
        <v>82</v>
      </c>
      <c r="Q1950" s="2">
        <v>1</v>
      </c>
      <c r="R1950" s="2" t="s">
        <v>24</v>
      </c>
      <c r="S1950" s="11" t="str">
        <f t="shared" si="153"/>
        <v>Rendah</v>
      </c>
      <c r="T1950" s="2" t="str">
        <f t="shared" si="154"/>
        <v>Sangat Rendah</v>
      </c>
    </row>
    <row r="1951" spans="1:20" ht="15.75" customHeight="1" x14ac:dyDescent="0.3">
      <c r="A1951" s="4" t="s">
        <v>171</v>
      </c>
      <c r="B1951" s="3">
        <v>45559.017048611109</v>
      </c>
      <c r="C1951" s="2" t="s">
        <v>172</v>
      </c>
      <c r="D1951" s="2" t="s">
        <v>173</v>
      </c>
      <c r="E1951" s="2" t="s">
        <v>174</v>
      </c>
      <c r="F1951" s="2">
        <v>10000</v>
      </c>
      <c r="G1951" s="2">
        <v>4</v>
      </c>
      <c r="H1951" s="2">
        <v>5</v>
      </c>
      <c r="I1951">
        <f t="shared" si="150"/>
        <v>40000</v>
      </c>
      <c r="J1951">
        <f t="shared" si="151"/>
        <v>2000</v>
      </c>
      <c r="K1951" s="6">
        <f t="shared" si="152"/>
        <v>38000</v>
      </c>
      <c r="L1951" s="2">
        <v>0</v>
      </c>
      <c r="M1951" s="6">
        <f>Table1[[#This Row],[Total Sales]]+Table1[[#This Row],[Shipping Fee]]</f>
        <v>38000</v>
      </c>
      <c r="N1951" s="2" t="s">
        <v>22</v>
      </c>
      <c r="O1951" t="str">
        <f>VLOOKUP(Table1[[#This Row],[Order ID]],Status!A:B, 2,FALSE)</f>
        <v>Completed</v>
      </c>
      <c r="P1951" s="2" t="s">
        <v>82</v>
      </c>
      <c r="Q1951" s="2">
        <v>1</v>
      </c>
      <c r="R1951" s="2" t="s">
        <v>24</v>
      </c>
      <c r="S1951" s="11" t="str">
        <f t="shared" si="153"/>
        <v>Rendah</v>
      </c>
      <c r="T1951" s="2" t="str">
        <f t="shared" si="154"/>
        <v>Sangat Rendah</v>
      </c>
    </row>
    <row r="1952" spans="1:20" ht="15.75" customHeight="1" x14ac:dyDescent="0.3">
      <c r="A1952" s="4" t="s">
        <v>168</v>
      </c>
      <c r="B1952" s="3">
        <v>45559.000520833331</v>
      </c>
      <c r="C1952" s="2" t="s">
        <v>169</v>
      </c>
      <c r="D1952" s="2" t="s">
        <v>170</v>
      </c>
      <c r="E1952" s="2" t="s">
        <v>71</v>
      </c>
      <c r="F1952" s="2">
        <v>40000</v>
      </c>
      <c r="G1952" s="2">
        <v>4</v>
      </c>
      <c r="H1952" s="2">
        <v>10</v>
      </c>
      <c r="I1952">
        <f t="shared" si="150"/>
        <v>160000</v>
      </c>
      <c r="J1952">
        <f t="shared" si="151"/>
        <v>16000</v>
      </c>
      <c r="K1952" s="6">
        <f t="shared" si="152"/>
        <v>144000</v>
      </c>
      <c r="L1952" s="2">
        <v>46000</v>
      </c>
      <c r="M1952" s="6">
        <f>Table1[[#This Row],[Total Sales]]+Table1[[#This Row],[Shipping Fee]]</f>
        <v>190000</v>
      </c>
      <c r="N1952" s="2" t="s">
        <v>63</v>
      </c>
      <c r="O1952" t="str">
        <f>VLOOKUP(Table1[[#This Row],[Order ID]],Status!A:B, 2,FALSE)</f>
        <v>Completed</v>
      </c>
      <c r="P1952" s="2" t="s">
        <v>82</v>
      </c>
      <c r="Q1952" s="2">
        <v>4</v>
      </c>
      <c r="R1952" s="2" t="s">
        <v>24</v>
      </c>
      <c r="S1952" s="11" t="str">
        <f t="shared" si="153"/>
        <v>Bagus</v>
      </c>
      <c r="T1952" s="2" t="str">
        <f t="shared" si="154"/>
        <v>Normal</v>
      </c>
    </row>
    <row r="1953" spans="1:20" ht="15.75" customHeight="1" x14ac:dyDescent="0.3">
      <c r="A1953" s="4" t="s">
        <v>166</v>
      </c>
      <c r="B1953" s="3">
        <v>45558.775856481479</v>
      </c>
      <c r="C1953" s="2" t="s">
        <v>167</v>
      </c>
      <c r="D1953" s="2" t="s">
        <v>44</v>
      </c>
      <c r="E1953" s="2" t="s">
        <v>34</v>
      </c>
      <c r="F1953" s="2">
        <v>16000</v>
      </c>
      <c r="G1953" s="2">
        <v>5</v>
      </c>
      <c r="H1953" s="2">
        <v>5</v>
      </c>
      <c r="I1953">
        <f t="shared" si="150"/>
        <v>80000</v>
      </c>
      <c r="J1953">
        <f t="shared" si="151"/>
        <v>4000</v>
      </c>
      <c r="K1953" s="6">
        <f t="shared" si="152"/>
        <v>76000</v>
      </c>
      <c r="L1953" s="2">
        <v>93000</v>
      </c>
      <c r="M1953" s="6">
        <f>Table1[[#This Row],[Total Sales]]+Table1[[#This Row],[Shipping Fee]]</f>
        <v>169000</v>
      </c>
      <c r="N1953" s="2" t="s">
        <v>63</v>
      </c>
      <c r="O1953" t="str">
        <f>VLOOKUP(Table1[[#This Row],[Order ID]],Status!A:B, 2,FALSE)</f>
        <v>Cancelled</v>
      </c>
      <c r="P1953" s="2" t="s">
        <v>82</v>
      </c>
      <c r="Q1953" s="2">
        <v>4</v>
      </c>
      <c r="R1953" s="2" t="s">
        <v>24</v>
      </c>
      <c r="S1953" s="11" t="str">
        <f t="shared" si="153"/>
        <v>Bagus</v>
      </c>
      <c r="T1953" s="2" t="str">
        <f t="shared" si="154"/>
        <v>Sangat Rendah</v>
      </c>
    </row>
    <row r="1954" spans="1:20" ht="15.75" customHeight="1" x14ac:dyDescent="0.3">
      <c r="A1954" s="4" t="s">
        <v>164</v>
      </c>
      <c r="B1954" s="3">
        <v>45558.671018518522</v>
      </c>
      <c r="C1954" s="2" t="s">
        <v>165</v>
      </c>
      <c r="D1954" s="2" t="s">
        <v>143</v>
      </c>
      <c r="E1954" s="2" t="s">
        <v>45</v>
      </c>
      <c r="F1954" s="2">
        <v>40000</v>
      </c>
      <c r="G1954" s="2">
        <v>3</v>
      </c>
      <c r="H1954" s="2">
        <v>0</v>
      </c>
      <c r="I1954">
        <f t="shared" si="150"/>
        <v>120000</v>
      </c>
      <c r="J1954">
        <f t="shared" si="151"/>
        <v>0</v>
      </c>
      <c r="K1954" s="6">
        <f t="shared" si="152"/>
        <v>120000</v>
      </c>
      <c r="L1954" s="2">
        <v>50000</v>
      </c>
      <c r="M1954" s="6">
        <f>Table1[[#This Row],[Total Sales]]+Table1[[#This Row],[Shipping Fee]]</f>
        <v>170000</v>
      </c>
      <c r="N1954" s="2" t="s">
        <v>22</v>
      </c>
      <c r="O1954" t="str">
        <f>VLOOKUP(Table1[[#This Row],[Order ID]],Status!A:B, 2,FALSE)</f>
        <v>Completed</v>
      </c>
      <c r="P1954" s="2" t="s">
        <v>46</v>
      </c>
      <c r="Q1954" s="2">
        <v>5</v>
      </c>
      <c r="R1954" s="2" t="s">
        <v>24</v>
      </c>
      <c r="S1954" s="11" t="str">
        <f t="shared" si="153"/>
        <v>Bagus</v>
      </c>
      <c r="T1954" s="2" t="str">
        <f t="shared" si="154"/>
        <v>Sangat Rendah</v>
      </c>
    </row>
    <row r="1955" spans="1:20" ht="15.75" customHeight="1" x14ac:dyDescent="0.3">
      <c r="A1955" s="4" t="s">
        <v>161</v>
      </c>
      <c r="B1955" s="3">
        <v>45558.467662037037</v>
      </c>
      <c r="C1955" s="2" t="s">
        <v>162</v>
      </c>
      <c r="D1955" s="2" t="s">
        <v>163</v>
      </c>
      <c r="E1955" s="2" t="s">
        <v>54</v>
      </c>
      <c r="F1955" s="2">
        <v>16000</v>
      </c>
      <c r="G1955" s="2">
        <v>3</v>
      </c>
      <c r="H1955" s="2">
        <v>5</v>
      </c>
      <c r="I1955">
        <f t="shared" si="150"/>
        <v>48000</v>
      </c>
      <c r="J1955">
        <f t="shared" si="151"/>
        <v>2400</v>
      </c>
      <c r="K1955" s="6">
        <f t="shared" si="152"/>
        <v>45600</v>
      </c>
      <c r="L1955" s="2">
        <v>50000</v>
      </c>
      <c r="M1955" s="6">
        <f>Table1[[#This Row],[Total Sales]]+Table1[[#This Row],[Shipping Fee]]</f>
        <v>95600</v>
      </c>
      <c r="N1955" s="2" t="s">
        <v>63</v>
      </c>
      <c r="O1955" t="str">
        <f>VLOOKUP(Table1[[#This Row],[Order ID]],Status!A:B, 2,FALSE)</f>
        <v>Completed</v>
      </c>
      <c r="P1955" s="2" t="s">
        <v>23</v>
      </c>
      <c r="Q1955" s="2">
        <v>4</v>
      </c>
      <c r="R1955" s="2" t="s">
        <v>24</v>
      </c>
      <c r="S1955" s="11" t="str">
        <f t="shared" si="153"/>
        <v>Bagus</v>
      </c>
      <c r="T1955" s="2" t="str">
        <f t="shared" si="154"/>
        <v>Sangat Rendah</v>
      </c>
    </row>
    <row r="1956" spans="1:20" ht="15.75" customHeight="1" x14ac:dyDescent="0.3">
      <c r="A1956" s="4" t="s">
        <v>158</v>
      </c>
      <c r="B1956" s="3">
        <v>45558.191782407397</v>
      </c>
      <c r="C1956" s="2" t="s">
        <v>159</v>
      </c>
      <c r="D1956" s="2" t="s">
        <v>160</v>
      </c>
      <c r="E1956" s="2" t="s">
        <v>41</v>
      </c>
      <c r="F1956" s="2">
        <v>4000</v>
      </c>
      <c r="G1956" s="2">
        <v>1</v>
      </c>
      <c r="H1956" s="2">
        <v>5</v>
      </c>
      <c r="I1956">
        <f t="shared" si="150"/>
        <v>4000</v>
      </c>
      <c r="J1956">
        <f t="shared" si="151"/>
        <v>200</v>
      </c>
      <c r="K1956" s="6">
        <f t="shared" si="152"/>
        <v>3800</v>
      </c>
      <c r="L1956" s="2">
        <v>68000</v>
      </c>
      <c r="M1956" s="6">
        <f>Table1[[#This Row],[Total Sales]]+Table1[[#This Row],[Shipping Fee]]</f>
        <v>71800</v>
      </c>
      <c r="N1956" s="2" t="s">
        <v>63</v>
      </c>
      <c r="O1956" t="str">
        <f>VLOOKUP(Table1[[#This Row],[Order ID]],Status!A:B, 2,FALSE)</f>
        <v>Completed</v>
      </c>
      <c r="P1956" s="2" t="s">
        <v>82</v>
      </c>
      <c r="Q1956" s="2">
        <v>1</v>
      </c>
      <c r="R1956" s="2" t="s">
        <v>24</v>
      </c>
      <c r="S1956" s="11" t="str">
        <f t="shared" si="153"/>
        <v>Rendah</v>
      </c>
      <c r="T1956" s="2" t="str">
        <f t="shared" si="154"/>
        <v>Sangat Rendah</v>
      </c>
    </row>
    <row r="1957" spans="1:20" ht="15.75" customHeight="1" x14ac:dyDescent="0.3">
      <c r="A1957" s="4" t="s">
        <v>156</v>
      </c>
      <c r="B1957" s="3">
        <v>45557.948622685188</v>
      </c>
      <c r="C1957" s="2" t="s">
        <v>157</v>
      </c>
      <c r="D1957" s="2" t="s">
        <v>20</v>
      </c>
      <c r="E1957" s="2" t="s">
        <v>54</v>
      </c>
      <c r="F1957" s="2">
        <v>16000</v>
      </c>
      <c r="G1957" s="2">
        <v>3</v>
      </c>
      <c r="H1957" s="2">
        <v>0</v>
      </c>
      <c r="I1957">
        <f t="shared" si="150"/>
        <v>48000</v>
      </c>
      <c r="J1957">
        <f t="shared" si="151"/>
        <v>0</v>
      </c>
      <c r="K1957" s="6">
        <f t="shared" si="152"/>
        <v>48000</v>
      </c>
      <c r="L1957" s="2">
        <v>15000</v>
      </c>
      <c r="M1957" s="6">
        <f>Table1[[#This Row],[Total Sales]]+Table1[[#This Row],[Shipping Fee]]</f>
        <v>63000</v>
      </c>
      <c r="N1957" s="2" t="s">
        <v>35</v>
      </c>
      <c r="O1957" t="str">
        <f>VLOOKUP(Table1[[#This Row],[Order ID]],Status!A:B, 2,FALSE)</f>
        <v>Completed</v>
      </c>
      <c r="P1957" s="2" t="s">
        <v>36</v>
      </c>
      <c r="Q1957" s="2">
        <v>4</v>
      </c>
      <c r="R1957" s="2" t="s">
        <v>24</v>
      </c>
      <c r="S1957" s="11" t="str">
        <f t="shared" si="153"/>
        <v>Bagus</v>
      </c>
      <c r="T1957" s="2" t="str">
        <f t="shared" si="154"/>
        <v>Sangat Rendah</v>
      </c>
    </row>
    <row r="1958" spans="1:20" ht="15.75" customHeight="1" x14ac:dyDescent="0.3">
      <c r="A1958" s="4" t="s">
        <v>154</v>
      </c>
      <c r="B1958" s="3">
        <v>45557.904618055552</v>
      </c>
      <c r="C1958" s="2" t="s">
        <v>155</v>
      </c>
      <c r="D1958" s="2" t="s">
        <v>92</v>
      </c>
      <c r="E1958" s="2" t="s">
        <v>54</v>
      </c>
      <c r="F1958" s="2">
        <v>16000</v>
      </c>
      <c r="G1958" s="2">
        <v>5</v>
      </c>
      <c r="H1958" s="2">
        <v>10</v>
      </c>
      <c r="I1958">
        <f t="shared" si="150"/>
        <v>80000</v>
      </c>
      <c r="J1958">
        <f t="shared" si="151"/>
        <v>8000</v>
      </c>
      <c r="K1958" s="6">
        <f t="shared" si="152"/>
        <v>72000</v>
      </c>
      <c r="L1958" s="2">
        <v>30000</v>
      </c>
      <c r="M1958" s="6">
        <f>Table1[[#This Row],[Total Sales]]+Table1[[#This Row],[Shipping Fee]]</f>
        <v>102000</v>
      </c>
      <c r="N1958" s="2" t="s">
        <v>22</v>
      </c>
      <c r="O1958" t="str">
        <f>VLOOKUP(Table1[[#This Row],[Order ID]],Status!A:B, 2,FALSE)</f>
        <v>Completed</v>
      </c>
      <c r="P1958" s="2" t="s">
        <v>82</v>
      </c>
      <c r="Q1958" s="2">
        <v>3</v>
      </c>
      <c r="R1958" s="2" t="s">
        <v>24</v>
      </c>
      <c r="S1958" s="11" t="str">
        <f t="shared" si="153"/>
        <v>Standar</v>
      </c>
      <c r="T1958" s="2" t="str">
        <f t="shared" si="154"/>
        <v>Rendah</v>
      </c>
    </row>
    <row r="1959" spans="1:20" ht="15.75" customHeight="1" x14ac:dyDescent="0.3">
      <c r="A1959" s="4" t="s">
        <v>152</v>
      </c>
      <c r="B1959" s="3">
        <v>45557.435624999998</v>
      </c>
      <c r="C1959" s="2" t="s">
        <v>153</v>
      </c>
      <c r="D1959" s="2" t="s">
        <v>103</v>
      </c>
      <c r="E1959" s="2" t="s">
        <v>62</v>
      </c>
      <c r="F1959" s="2">
        <v>50000</v>
      </c>
      <c r="G1959" s="2">
        <v>1</v>
      </c>
      <c r="H1959" s="2">
        <v>10</v>
      </c>
      <c r="I1959">
        <f t="shared" si="150"/>
        <v>50000</v>
      </c>
      <c r="J1959">
        <f t="shared" si="151"/>
        <v>5000</v>
      </c>
      <c r="K1959" s="6">
        <f t="shared" si="152"/>
        <v>45000</v>
      </c>
      <c r="L1959" s="2">
        <v>85000</v>
      </c>
      <c r="M1959" s="6">
        <f>Table1[[#This Row],[Total Sales]]+Table1[[#This Row],[Shipping Fee]]</f>
        <v>130000</v>
      </c>
      <c r="N1959" s="2" t="s">
        <v>29</v>
      </c>
      <c r="O1959" t="str">
        <f>VLOOKUP(Table1[[#This Row],[Order ID]],Status!A:B, 2,FALSE)</f>
        <v>Completed</v>
      </c>
      <c r="P1959" s="2" t="s">
        <v>36</v>
      </c>
      <c r="Q1959" s="2">
        <v>2</v>
      </c>
      <c r="R1959" s="2" t="s">
        <v>37</v>
      </c>
      <c r="S1959" s="11" t="str">
        <f t="shared" si="153"/>
        <v>Rendah</v>
      </c>
      <c r="T1959" s="2" t="str">
        <f t="shared" si="154"/>
        <v>Sangat Rendah</v>
      </c>
    </row>
    <row r="1960" spans="1:20" ht="15.75" customHeight="1" x14ac:dyDescent="0.3">
      <c r="A1960" s="4" t="s">
        <v>149</v>
      </c>
      <c r="B1960" s="3">
        <v>45557.366747685177</v>
      </c>
      <c r="C1960" s="2" t="s">
        <v>150</v>
      </c>
      <c r="D1960" s="2" t="s">
        <v>151</v>
      </c>
      <c r="E1960" s="2" t="s">
        <v>93</v>
      </c>
      <c r="F1960" s="2">
        <v>25000</v>
      </c>
      <c r="G1960" s="2">
        <v>5</v>
      </c>
      <c r="H1960" s="2">
        <v>0</v>
      </c>
      <c r="I1960">
        <f t="shared" si="150"/>
        <v>125000</v>
      </c>
      <c r="J1960">
        <f t="shared" si="151"/>
        <v>0</v>
      </c>
      <c r="K1960" s="6">
        <f t="shared" si="152"/>
        <v>125000</v>
      </c>
      <c r="L1960" s="2">
        <v>55000</v>
      </c>
      <c r="M1960" s="6">
        <f>Table1[[#This Row],[Total Sales]]+Table1[[#This Row],[Shipping Fee]]</f>
        <v>180000</v>
      </c>
      <c r="N1960" s="2" t="s">
        <v>29</v>
      </c>
      <c r="O1960" t="str">
        <f>VLOOKUP(Table1[[#This Row],[Order ID]],Status!A:B, 2,FALSE)</f>
        <v>Returned</v>
      </c>
      <c r="P1960" s="2" t="s">
        <v>36</v>
      </c>
      <c r="Q1960" s="2">
        <v>3</v>
      </c>
      <c r="R1960" s="2" t="s">
        <v>37</v>
      </c>
      <c r="S1960" s="11" t="str">
        <f t="shared" si="153"/>
        <v>Standar</v>
      </c>
      <c r="T1960" s="2" t="str">
        <f t="shared" si="154"/>
        <v>Sangat Rendah</v>
      </c>
    </row>
    <row r="1961" spans="1:20" ht="15.75" customHeight="1" x14ac:dyDescent="0.3">
      <c r="A1961" s="4" t="s">
        <v>147</v>
      </c>
      <c r="B1961" s="3">
        <v>45556.667488425926</v>
      </c>
      <c r="C1961" s="2" t="s">
        <v>148</v>
      </c>
      <c r="D1961" s="2" t="s">
        <v>74</v>
      </c>
      <c r="E1961" s="2" t="s">
        <v>62</v>
      </c>
      <c r="F1961" s="2">
        <v>50000</v>
      </c>
      <c r="G1961" s="2">
        <v>5</v>
      </c>
      <c r="H1961" s="2">
        <v>15</v>
      </c>
      <c r="I1961">
        <f t="shared" si="150"/>
        <v>250000</v>
      </c>
      <c r="J1961">
        <f t="shared" si="151"/>
        <v>37500</v>
      </c>
      <c r="K1961" s="6">
        <f t="shared" si="152"/>
        <v>212500</v>
      </c>
      <c r="L1961" s="2">
        <v>87000</v>
      </c>
      <c r="M1961" s="6">
        <f>Table1[[#This Row],[Total Sales]]+Table1[[#This Row],[Shipping Fee]]</f>
        <v>299500</v>
      </c>
      <c r="N1961" s="2" t="s">
        <v>63</v>
      </c>
      <c r="O1961" t="str">
        <f>VLOOKUP(Table1[[#This Row],[Order ID]],Status!A:B, 2,FALSE)</f>
        <v>Returned</v>
      </c>
      <c r="P1961" s="2" t="s">
        <v>82</v>
      </c>
      <c r="Q1961" s="2">
        <v>2</v>
      </c>
      <c r="R1961" s="2" t="s">
        <v>24</v>
      </c>
      <c r="S1961" s="11" t="str">
        <f t="shared" si="153"/>
        <v>Rendah</v>
      </c>
      <c r="T1961" s="2" t="str">
        <f t="shared" si="154"/>
        <v>Sangat Tinggi</v>
      </c>
    </row>
    <row r="1962" spans="1:20" ht="15.75" customHeight="1" x14ac:dyDescent="0.3">
      <c r="A1962" s="4" t="s">
        <v>145</v>
      </c>
      <c r="B1962" s="3">
        <v>45556.59302083333</v>
      </c>
      <c r="C1962" s="2" t="s">
        <v>146</v>
      </c>
      <c r="D1962" s="2" t="s">
        <v>92</v>
      </c>
      <c r="E1962" s="2" t="s">
        <v>75</v>
      </c>
      <c r="F1962" s="2">
        <v>55000</v>
      </c>
      <c r="G1962" s="2">
        <v>4</v>
      </c>
      <c r="H1962" s="2">
        <v>5</v>
      </c>
      <c r="I1962">
        <f t="shared" si="150"/>
        <v>220000</v>
      </c>
      <c r="J1962">
        <f t="shared" si="151"/>
        <v>11000</v>
      </c>
      <c r="K1962" s="6">
        <f t="shared" si="152"/>
        <v>209000</v>
      </c>
      <c r="L1962" s="2">
        <v>30000</v>
      </c>
      <c r="M1962" s="6">
        <f>Table1[[#This Row],[Total Sales]]+Table1[[#This Row],[Shipping Fee]]</f>
        <v>239000</v>
      </c>
      <c r="N1962" s="2" t="s">
        <v>35</v>
      </c>
      <c r="O1962" t="str">
        <f>VLOOKUP(Table1[[#This Row],[Order ID]],Status!A:B, 2,FALSE)</f>
        <v>Completed</v>
      </c>
      <c r="P1962" s="2" t="s">
        <v>30</v>
      </c>
      <c r="Q1962" s="2">
        <v>5</v>
      </c>
      <c r="R1962" s="2" t="s">
        <v>37</v>
      </c>
      <c r="S1962" s="11" t="str">
        <f t="shared" si="153"/>
        <v>Bagus</v>
      </c>
      <c r="T1962" s="2" t="str">
        <f t="shared" si="154"/>
        <v>Normal</v>
      </c>
    </row>
    <row r="1963" spans="1:20" ht="15.75" customHeight="1" x14ac:dyDescent="0.3">
      <c r="A1963" s="4" t="s">
        <v>141</v>
      </c>
      <c r="B1963" s="3">
        <v>45556.505023148151</v>
      </c>
      <c r="C1963" s="2" t="s">
        <v>142</v>
      </c>
      <c r="D1963" s="2" t="s">
        <v>143</v>
      </c>
      <c r="E1963" s="2" t="s">
        <v>144</v>
      </c>
      <c r="F1963" s="2">
        <v>18000</v>
      </c>
      <c r="G1963" s="2">
        <v>1</v>
      </c>
      <c r="H1963" s="2">
        <v>5</v>
      </c>
      <c r="I1963">
        <f t="shared" si="150"/>
        <v>18000</v>
      </c>
      <c r="J1963">
        <f t="shared" si="151"/>
        <v>900</v>
      </c>
      <c r="K1963" s="6">
        <f t="shared" si="152"/>
        <v>17100</v>
      </c>
      <c r="L1963" s="2">
        <v>50000</v>
      </c>
      <c r="M1963" s="6">
        <f>Table1[[#This Row],[Total Sales]]+Table1[[#This Row],[Shipping Fee]]</f>
        <v>67100</v>
      </c>
      <c r="N1963" s="2" t="s">
        <v>22</v>
      </c>
      <c r="O1963" t="str">
        <f>VLOOKUP(Table1[[#This Row],[Order ID]],Status!A:B, 2,FALSE)</f>
        <v>Returned</v>
      </c>
      <c r="P1963" s="2" t="s">
        <v>30</v>
      </c>
      <c r="Q1963" s="2">
        <v>4</v>
      </c>
      <c r="R1963" s="2" t="s">
        <v>24</v>
      </c>
      <c r="S1963" s="11" t="str">
        <f t="shared" si="153"/>
        <v>Bagus</v>
      </c>
      <c r="T1963" s="2" t="str">
        <f t="shared" si="154"/>
        <v>Sangat Rendah</v>
      </c>
    </row>
    <row r="1964" spans="1:20" ht="15.75" customHeight="1" x14ac:dyDescent="0.3">
      <c r="A1964" s="4" t="s">
        <v>139</v>
      </c>
      <c r="B1964" s="3">
        <v>45556.450289351851</v>
      </c>
      <c r="C1964" s="2" t="s">
        <v>140</v>
      </c>
      <c r="D1964" s="2" t="s">
        <v>92</v>
      </c>
      <c r="E1964" s="2" t="s">
        <v>110</v>
      </c>
      <c r="F1964" s="2">
        <v>6000</v>
      </c>
      <c r="G1964" s="2">
        <v>5</v>
      </c>
      <c r="H1964" s="2">
        <v>15</v>
      </c>
      <c r="I1964">
        <f t="shared" si="150"/>
        <v>30000</v>
      </c>
      <c r="J1964">
        <f t="shared" si="151"/>
        <v>4500</v>
      </c>
      <c r="K1964" s="6">
        <f t="shared" si="152"/>
        <v>25500</v>
      </c>
      <c r="L1964" s="2">
        <v>30000</v>
      </c>
      <c r="M1964" s="6">
        <f>Table1[[#This Row],[Total Sales]]+Table1[[#This Row],[Shipping Fee]]</f>
        <v>55500</v>
      </c>
      <c r="N1964" s="2" t="s">
        <v>63</v>
      </c>
      <c r="O1964" t="str">
        <f>VLOOKUP(Table1[[#This Row],[Order ID]],Status!A:B, 2,FALSE)</f>
        <v>Returned</v>
      </c>
      <c r="P1964" s="2" t="s">
        <v>23</v>
      </c>
      <c r="Q1964" s="2">
        <v>2</v>
      </c>
      <c r="R1964" s="2" t="s">
        <v>24</v>
      </c>
      <c r="S1964" s="11" t="str">
        <f t="shared" si="153"/>
        <v>Rendah</v>
      </c>
      <c r="T1964" s="2" t="str">
        <f t="shared" si="154"/>
        <v>Sangat Rendah</v>
      </c>
    </row>
    <row r="1965" spans="1:20" ht="15.75" customHeight="1" x14ac:dyDescent="0.3">
      <c r="A1965" s="4" t="s">
        <v>137</v>
      </c>
      <c r="B1965" s="3">
        <v>45556.2421875</v>
      </c>
      <c r="C1965" s="2" t="s">
        <v>133</v>
      </c>
      <c r="D1965" s="2" t="s">
        <v>33</v>
      </c>
      <c r="E1965" s="2" t="s">
        <v>93</v>
      </c>
      <c r="F1965" s="2">
        <v>25000</v>
      </c>
      <c r="G1965" s="2">
        <v>5</v>
      </c>
      <c r="H1965" s="2">
        <v>20</v>
      </c>
      <c r="I1965">
        <f t="shared" si="150"/>
        <v>125000</v>
      </c>
      <c r="J1965">
        <f t="shared" si="151"/>
        <v>25000</v>
      </c>
      <c r="K1965" s="6">
        <f t="shared" si="152"/>
        <v>100000</v>
      </c>
      <c r="L1965" s="2">
        <v>76000</v>
      </c>
      <c r="M1965" s="6">
        <f>Table1[[#This Row],[Total Sales]]+Table1[[#This Row],[Shipping Fee]]</f>
        <v>176000</v>
      </c>
      <c r="N1965" s="2" t="s">
        <v>35</v>
      </c>
      <c r="O1965" t="str">
        <f>VLOOKUP(Table1[[#This Row],[Order ID]],Status!A:B, 2,FALSE)</f>
        <v>Returned</v>
      </c>
      <c r="P1965" s="2" t="s">
        <v>46</v>
      </c>
      <c r="Q1965" s="2">
        <v>4</v>
      </c>
      <c r="R1965" s="2" t="s">
        <v>24</v>
      </c>
      <c r="S1965" s="11" t="str">
        <f t="shared" si="153"/>
        <v>Bagus</v>
      </c>
      <c r="T1965" s="2" t="str">
        <f t="shared" si="154"/>
        <v>Tinggi</v>
      </c>
    </row>
    <row r="1966" spans="1:20" ht="15.75" customHeight="1" x14ac:dyDescent="0.3">
      <c r="A1966" s="4" t="s">
        <v>137</v>
      </c>
      <c r="B1966" s="3">
        <v>45556.2421875</v>
      </c>
      <c r="C1966" s="2" t="s">
        <v>133</v>
      </c>
      <c r="D1966" s="2" t="s">
        <v>33</v>
      </c>
      <c r="E1966" s="2" t="s">
        <v>138</v>
      </c>
      <c r="F1966" s="2">
        <v>17000</v>
      </c>
      <c r="G1966" s="2">
        <v>2</v>
      </c>
      <c r="H1966" s="2">
        <v>5</v>
      </c>
      <c r="I1966">
        <f t="shared" si="150"/>
        <v>34000</v>
      </c>
      <c r="J1966">
        <f t="shared" si="151"/>
        <v>1700</v>
      </c>
      <c r="K1966" s="6">
        <f t="shared" si="152"/>
        <v>32300</v>
      </c>
      <c r="L1966" s="2">
        <v>0</v>
      </c>
      <c r="M1966" s="6">
        <f>Table1[[#This Row],[Total Sales]]+Table1[[#This Row],[Shipping Fee]]</f>
        <v>32300</v>
      </c>
      <c r="N1966" s="2" t="s">
        <v>35</v>
      </c>
      <c r="O1966" t="str">
        <f>VLOOKUP(Table1[[#This Row],[Order ID]],Status!A:B, 2,FALSE)</f>
        <v>Returned</v>
      </c>
      <c r="P1966" s="2" t="s">
        <v>46</v>
      </c>
      <c r="Q1966" s="2">
        <v>4</v>
      </c>
      <c r="R1966" s="2" t="s">
        <v>24</v>
      </c>
      <c r="S1966" s="11" t="str">
        <f t="shared" si="153"/>
        <v>Bagus</v>
      </c>
      <c r="T1966" s="2" t="str">
        <f t="shared" si="154"/>
        <v>Sangat Rendah</v>
      </c>
    </row>
    <row r="1967" spans="1:20" ht="15.75" customHeight="1" x14ac:dyDescent="0.3">
      <c r="A1967" s="4" t="s">
        <v>134</v>
      </c>
      <c r="B1967" s="3">
        <v>45556.107581018521</v>
      </c>
      <c r="C1967" s="2" t="s">
        <v>135</v>
      </c>
      <c r="D1967" s="2" t="s">
        <v>27</v>
      </c>
      <c r="E1967" s="2" t="s">
        <v>136</v>
      </c>
      <c r="F1967" s="2">
        <v>12000</v>
      </c>
      <c r="G1967" s="2">
        <v>5</v>
      </c>
      <c r="H1967" s="2">
        <v>15</v>
      </c>
      <c r="I1967">
        <f t="shared" si="150"/>
        <v>60000</v>
      </c>
      <c r="J1967">
        <f t="shared" si="151"/>
        <v>9000</v>
      </c>
      <c r="K1967" s="6">
        <f t="shared" si="152"/>
        <v>51000</v>
      </c>
      <c r="L1967" s="2">
        <v>17000</v>
      </c>
      <c r="M1967" s="6">
        <f>Table1[[#This Row],[Total Sales]]+Table1[[#This Row],[Shipping Fee]]</f>
        <v>68000</v>
      </c>
      <c r="N1967" s="2" t="s">
        <v>22</v>
      </c>
      <c r="O1967" t="str">
        <f>VLOOKUP(Table1[[#This Row],[Order ID]],Status!A:B, 2,FALSE)</f>
        <v>Completed</v>
      </c>
      <c r="P1967" s="2" t="s">
        <v>30</v>
      </c>
      <c r="Q1967" s="2">
        <v>1</v>
      </c>
      <c r="R1967" s="2" t="s">
        <v>24</v>
      </c>
      <c r="S1967" s="11" t="str">
        <f t="shared" si="153"/>
        <v>Rendah</v>
      </c>
      <c r="T1967" s="2" t="str">
        <f t="shared" si="154"/>
        <v>Rendah</v>
      </c>
    </row>
    <row r="1968" spans="1:20" ht="15.75" customHeight="1" x14ac:dyDescent="0.3">
      <c r="A1968" s="4" t="s">
        <v>132</v>
      </c>
      <c r="B1968" s="3">
        <v>45556.104629629634</v>
      </c>
      <c r="C1968" s="2" t="s">
        <v>133</v>
      </c>
      <c r="D1968" s="2" t="s">
        <v>33</v>
      </c>
      <c r="E1968" s="2" t="s">
        <v>104</v>
      </c>
      <c r="F1968" s="2">
        <v>30000</v>
      </c>
      <c r="G1968" s="2">
        <v>2</v>
      </c>
      <c r="H1968" s="2">
        <v>10</v>
      </c>
      <c r="I1968">
        <f t="shared" si="150"/>
        <v>60000</v>
      </c>
      <c r="J1968">
        <f t="shared" si="151"/>
        <v>6000</v>
      </c>
      <c r="K1968" s="6">
        <f t="shared" si="152"/>
        <v>54000</v>
      </c>
      <c r="L1968" s="2">
        <v>76000</v>
      </c>
      <c r="M1968" s="6">
        <f>Table1[[#This Row],[Total Sales]]+Table1[[#This Row],[Shipping Fee]]</f>
        <v>130000</v>
      </c>
      <c r="N1968" s="2" t="s">
        <v>22</v>
      </c>
      <c r="O1968" t="str">
        <f>VLOOKUP(Table1[[#This Row],[Order ID]],Status!A:B, 2,FALSE)</f>
        <v>Completed</v>
      </c>
      <c r="P1968" s="2" t="s">
        <v>36</v>
      </c>
      <c r="Q1968" s="2">
        <v>5</v>
      </c>
      <c r="R1968" s="2" t="s">
        <v>24</v>
      </c>
      <c r="S1968" s="11" t="str">
        <f t="shared" si="153"/>
        <v>Bagus</v>
      </c>
      <c r="T1968" s="2" t="str">
        <f t="shared" si="154"/>
        <v>Rendah</v>
      </c>
    </row>
    <row r="1969" spans="1:20" ht="15.75" customHeight="1" x14ac:dyDescent="0.3">
      <c r="A1969" s="4" t="s">
        <v>132</v>
      </c>
      <c r="B1969" s="3">
        <v>45556.104629629634</v>
      </c>
      <c r="C1969" s="2" t="s">
        <v>133</v>
      </c>
      <c r="D1969" s="2" t="s">
        <v>33</v>
      </c>
      <c r="E1969" s="2" t="s">
        <v>104</v>
      </c>
      <c r="F1969" s="2">
        <v>30000</v>
      </c>
      <c r="G1969" s="2">
        <v>5</v>
      </c>
      <c r="H1969" s="2">
        <v>10</v>
      </c>
      <c r="I1969">
        <f t="shared" si="150"/>
        <v>150000</v>
      </c>
      <c r="J1969">
        <f t="shared" si="151"/>
        <v>15000</v>
      </c>
      <c r="K1969" s="6">
        <f t="shared" si="152"/>
        <v>135000</v>
      </c>
      <c r="L1969" s="2">
        <v>0</v>
      </c>
      <c r="M1969" s="6">
        <f>Table1[[#This Row],[Total Sales]]+Table1[[#This Row],[Shipping Fee]]</f>
        <v>135000</v>
      </c>
      <c r="N1969" s="2" t="s">
        <v>22</v>
      </c>
      <c r="O1969" t="str">
        <f>VLOOKUP(Table1[[#This Row],[Order ID]],Status!A:B, 2,FALSE)</f>
        <v>Completed</v>
      </c>
      <c r="P1969" s="2" t="s">
        <v>36</v>
      </c>
      <c r="Q1969" s="2">
        <v>5</v>
      </c>
      <c r="R1969" s="2" t="s">
        <v>24</v>
      </c>
      <c r="S1969" s="11" t="str">
        <f t="shared" si="153"/>
        <v>Bagus</v>
      </c>
      <c r="T1969" s="2" t="str">
        <f t="shared" si="154"/>
        <v>Normal</v>
      </c>
    </row>
    <row r="1970" spans="1:20" ht="15.75" customHeight="1" x14ac:dyDescent="0.3">
      <c r="A1970" s="4" t="s">
        <v>129</v>
      </c>
      <c r="B1970" s="3">
        <v>45555.930231481478</v>
      </c>
      <c r="C1970" s="2" t="s">
        <v>130</v>
      </c>
      <c r="D1970" s="2" t="s">
        <v>131</v>
      </c>
      <c r="E1970" s="2" t="s">
        <v>41</v>
      </c>
      <c r="F1970" s="2">
        <v>4000</v>
      </c>
      <c r="G1970" s="2">
        <v>3</v>
      </c>
      <c r="H1970" s="2">
        <v>10</v>
      </c>
      <c r="I1970">
        <f t="shared" si="150"/>
        <v>12000</v>
      </c>
      <c r="J1970">
        <f t="shared" si="151"/>
        <v>1200</v>
      </c>
      <c r="K1970" s="6">
        <f t="shared" si="152"/>
        <v>10800</v>
      </c>
      <c r="L1970" s="2">
        <v>59000</v>
      </c>
      <c r="M1970" s="6">
        <f>Table1[[#This Row],[Total Sales]]+Table1[[#This Row],[Shipping Fee]]</f>
        <v>69800</v>
      </c>
      <c r="N1970" s="2" t="s">
        <v>29</v>
      </c>
      <c r="O1970" t="str">
        <f>VLOOKUP(Table1[[#This Row],[Order ID]],Status!A:B, 2,FALSE)</f>
        <v>Completed</v>
      </c>
      <c r="P1970" s="2" t="s">
        <v>23</v>
      </c>
      <c r="Q1970" s="2">
        <v>2</v>
      </c>
      <c r="R1970" s="2" t="s">
        <v>24</v>
      </c>
      <c r="S1970" s="11" t="str">
        <f t="shared" si="153"/>
        <v>Rendah</v>
      </c>
      <c r="T1970" s="2" t="str">
        <f t="shared" si="154"/>
        <v>Sangat Rendah</v>
      </c>
    </row>
    <row r="1971" spans="1:20" ht="15.75" customHeight="1" x14ac:dyDescent="0.3">
      <c r="A1971" s="4" t="s">
        <v>127</v>
      </c>
      <c r="B1971" s="3">
        <v>45555.912546296298</v>
      </c>
      <c r="C1971" s="2" t="s">
        <v>128</v>
      </c>
      <c r="D1971" s="2" t="s">
        <v>103</v>
      </c>
      <c r="E1971" s="2" t="s">
        <v>21</v>
      </c>
      <c r="F1971" s="2">
        <v>45000</v>
      </c>
      <c r="G1971" s="2">
        <v>5</v>
      </c>
      <c r="H1971" s="2">
        <v>10</v>
      </c>
      <c r="I1971">
        <f t="shared" si="150"/>
        <v>225000</v>
      </c>
      <c r="J1971">
        <f t="shared" si="151"/>
        <v>22500</v>
      </c>
      <c r="K1971" s="6">
        <f t="shared" si="152"/>
        <v>202500</v>
      </c>
      <c r="L1971" s="2">
        <v>85000</v>
      </c>
      <c r="M1971" s="6">
        <f>Table1[[#This Row],[Total Sales]]+Table1[[#This Row],[Shipping Fee]]</f>
        <v>287500</v>
      </c>
      <c r="N1971" s="2" t="s">
        <v>35</v>
      </c>
      <c r="O1971" t="str">
        <f>VLOOKUP(Table1[[#This Row],[Order ID]],Status!A:B, 2,FALSE)</f>
        <v>Completed</v>
      </c>
      <c r="P1971" s="2" t="s">
        <v>23</v>
      </c>
      <c r="Q1971" s="2">
        <v>4</v>
      </c>
      <c r="R1971" s="2" t="s">
        <v>37</v>
      </c>
      <c r="S1971" s="11" t="str">
        <f t="shared" si="153"/>
        <v>Bagus</v>
      </c>
      <c r="T1971" s="2" t="str">
        <f t="shared" si="154"/>
        <v>Tinggi</v>
      </c>
    </row>
    <row r="1972" spans="1:20" ht="15.75" customHeight="1" x14ac:dyDescent="0.3">
      <c r="A1972" s="4" t="s">
        <v>124</v>
      </c>
      <c r="B1972" s="3">
        <v>45555.886944444443</v>
      </c>
      <c r="C1972" s="2" t="s">
        <v>125</v>
      </c>
      <c r="D1972" s="2" t="s">
        <v>126</v>
      </c>
      <c r="E1972" s="2" t="s">
        <v>50</v>
      </c>
      <c r="F1972" s="2">
        <v>14000</v>
      </c>
      <c r="G1972" s="2">
        <v>1</v>
      </c>
      <c r="H1972" s="2">
        <v>0</v>
      </c>
      <c r="I1972">
        <f t="shared" si="150"/>
        <v>14000</v>
      </c>
      <c r="J1972">
        <f t="shared" si="151"/>
        <v>0</v>
      </c>
      <c r="K1972" s="6">
        <f t="shared" si="152"/>
        <v>14000</v>
      </c>
      <c r="L1972" s="2">
        <v>84000</v>
      </c>
      <c r="M1972" s="6">
        <f>Table1[[#This Row],[Total Sales]]+Table1[[#This Row],[Shipping Fee]]</f>
        <v>98000</v>
      </c>
      <c r="N1972" s="2" t="s">
        <v>29</v>
      </c>
      <c r="O1972" t="str">
        <f>VLOOKUP(Table1[[#This Row],[Order ID]],Status!A:B, 2,FALSE)</f>
        <v>Completed</v>
      </c>
      <c r="P1972" s="2" t="s">
        <v>46</v>
      </c>
      <c r="Q1972" s="2">
        <v>1</v>
      </c>
      <c r="R1972" s="2" t="s">
        <v>24</v>
      </c>
      <c r="S1972" s="11" t="str">
        <f t="shared" si="153"/>
        <v>Rendah</v>
      </c>
      <c r="T1972" s="2" t="str">
        <f t="shared" si="154"/>
        <v>Sangat Rendah</v>
      </c>
    </row>
    <row r="1973" spans="1:20" ht="15.75" customHeight="1" x14ac:dyDescent="0.3">
      <c r="A1973" s="4" t="s">
        <v>120</v>
      </c>
      <c r="B1973" s="3">
        <v>45555.805532407408</v>
      </c>
      <c r="C1973" s="2" t="s">
        <v>121</v>
      </c>
      <c r="D1973" s="2" t="s">
        <v>122</v>
      </c>
      <c r="E1973" s="2" t="s">
        <v>123</v>
      </c>
      <c r="F1973" s="2">
        <v>22000</v>
      </c>
      <c r="G1973" s="2">
        <v>4</v>
      </c>
      <c r="H1973" s="2">
        <v>10</v>
      </c>
      <c r="I1973">
        <f t="shared" si="150"/>
        <v>88000</v>
      </c>
      <c r="J1973">
        <f t="shared" si="151"/>
        <v>8800</v>
      </c>
      <c r="K1973" s="6">
        <f t="shared" si="152"/>
        <v>79200</v>
      </c>
      <c r="L1973" s="2">
        <v>78000</v>
      </c>
      <c r="M1973" s="6">
        <f>Table1[[#This Row],[Total Sales]]+Table1[[#This Row],[Shipping Fee]]</f>
        <v>157200</v>
      </c>
      <c r="N1973" s="2" t="s">
        <v>29</v>
      </c>
      <c r="O1973" t="str">
        <f>VLOOKUP(Table1[[#This Row],[Order ID]],Status!A:B, 2,FALSE)</f>
        <v>Cancelled</v>
      </c>
      <c r="P1973" s="2" t="s">
        <v>23</v>
      </c>
      <c r="Q1973" s="2">
        <v>3</v>
      </c>
      <c r="R1973" s="2" t="s">
        <v>24</v>
      </c>
      <c r="S1973" s="11" t="str">
        <f t="shared" si="153"/>
        <v>Standar</v>
      </c>
      <c r="T1973" s="2" t="str">
        <f t="shared" si="154"/>
        <v>Rendah</v>
      </c>
    </row>
    <row r="1974" spans="1:20" ht="15.75" customHeight="1" x14ac:dyDescent="0.3">
      <c r="A1974" s="4" t="s">
        <v>117</v>
      </c>
      <c r="B1974" s="3">
        <v>45555.596180555563</v>
      </c>
      <c r="C1974" s="2" t="s">
        <v>118</v>
      </c>
      <c r="D1974" s="2" t="s">
        <v>119</v>
      </c>
      <c r="E1974" s="2" t="s">
        <v>75</v>
      </c>
      <c r="F1974" s="2">
        <v>55000</v>
      </c>
      <c r="G1974" s="2">
        <v>2</v>
      </c>
      <c r="H1974" s="2">
        <v>0</v>
      </c>
      <c r="I1974">
        <f t="shared" si="150"/>
        <v>110000</v>
      </c>
      <c r="J1974">
        <f t="shared" si="151"/>
        <v>0</v>
      </c>
      <c r="K1974" s="6">
        <f t="shared" si="152"/>
        <v>110000</v>
      </c>
      <c r="L1974" s="2">
        <v>0</v>
      </c>
      <c r="M1974" s="6">
        <f>Table1[[#This Row],[Total Sales]]+Table1[[#This Row],[Shipping Fee]]</f>
        <v>110000</v>
      </c>
      <c r="N1974" s="2" t="s">
        <v>22</v>
      </c>
      <c r="O1974" t="str">
        <f>VLOOKUP(Table1[[#This Row],[Order ID]],Status!A:B, 2,FALSE)</f>
        <v>Completed</v>
      </c>
      <c r="P1974" s="2" t="s">
        <v>46</v>
      </c>
      <c r="Q1974" s="2">
        <v>2</v>
      </c>
      <c r="R1974" s="2" t="s">
        <v>24</v>
      </c>
      <c r="S1974" s="11" t="str">
        <f t="shared" si="153"/>
        <v>Rendah</v>
      </c>
      <c r="T1974" s="2" t="str">
        <f t="shared" si="154"/>
        <v>Sangat Rendah</v>
      </c>
    </row>
    <row r="1975" spans="1:20" ht="15.75" customHeight="1" x14ac:dyDescent="0.3">
      <c r="A1975" s="4" t="s">
        <v>114</v>
      </c>
      <c r="B1975" s="3">
        <v>45555.563715277778</v>
      </c>
      <c r="C1975" s="2" t="s">
        <v>115</v>
      </c>
      <c r="D1975" s="2" t="s">
        <v>116</v>
      </c>
      <c r="E1975" s="2" t="s">
        <v>50</v>
      </c>
      <c r="F1975" s="2">
        <v>14000</v>
      </c>
      <c r="G1975" s="2">
        <v>3</v>
      </c>
      <c r="H1975" s="2">
        <v>15</v>
      </c>
      <c r="I1975">
        <f t="shared" si="150"/>
        <v>42000</v>
      </c>
      <c r="J1975">
        <f t="shared" si="151"/>
        <v>6300</v>
      </c>
      <c r="K1975" s="6">
        <f t="shared" si="152"/>
        <v>35700</v>
      </c>
      <c r="L1975" s="2">
        <v>72000</v>
      </c>
      <c r="M1975" s="6">
        <f>Table1[[#This Row],[Total Sales]]+Table1[[#This Row],[Shipping Fee]]</f>
        <v>107700</v>
      </c>
      <c r="N1975" s="2" t="s">
        <v>63</v>
      </c>
      <c r="O1975" t="str">
        <f>VLOOKUP(Table1[[#This Row],[Order ID]],Status!A:B, 2,FALSE)</f>
        <v>Completed</v>
      </c>
      <c r="P1975" s="2" t="s">
        <v>23</v>
      </c>
      <c r="Q1975" s="2">
        <v>4</v>
      </c>
      <c r="R1975" s="2" t="s">
        <v>24</v>
      </c>
      <c r="S1975" s="11" t="str">
        <f t="shared" si="153"/>
        <v>Bagus</v>
      </c>
      <c r="T1975" s="2" t="str">
        <f t="shared" si="154"/>
        <v>Rendah</v>
      </c>
    </row>
    <row r="1976" spans="1:20" ht="15.75" customHeight="1" x14ac:dyDescent="0.3">
      <c r="A1976" s="4" t="s">
        <v>111</v>
      </c>
      <c r="B1976" s="3">
        <v>45555.482685185183</v>
      </c>
      <c r="C1976" s="2" t="s">
        <v>112</v>
      </c>
      <c r="D1976" s="2" t="s">
        <v>113</v>
      </c>
      <c r="E1976" s="2" t="s">
        <v>21</v>
      </c>
      <c r="F1976" s="2">
        <v>45000</v>
      </c>
      <c r="G1976" s="2">
        <v>3</v>
      </c>
      <c r="H1976" s="2">
        <v>0</v>
      </c>
      <c r="I1976">
        <f t="shared" si="150"/>
        <v>135000</v>
      </c>
      <c r="J1976">
        <f t="shared" si="151"/>
        <v>0</v>
      </c>
      <c r="K1976" s="6">
        <f t="shared" si="152"/>
        <v>135000</v>
      </c>
      <c r="L1976" s="2">
        <v>18000</v>
      </c>
      <c r="M1976" s="6">
        <f>Table1[[#This Row],[Total Sales]]+Table1[[#This Row],[Shipping Fee]]</f>
        <v>153000</v>
      </c>
      <c r="N1976" s="2" t="s">
        <v>29</v>
      </c>
      <c r="O1976" t="str">
        <f>VLOOKUP(Table1[[#This Row],[Order ID]],Status!A:B, 2,FALSE)</f>
        <v>Completed</v>
      </c>
      <c r="P1976" s="2" t="s">
        <v>46</v>
      </c>
      <c r="Q1976" s="2">
        <v>1</v>
      </c>
      <c r="R1976" s="2" t="s">
        <v>24</v>
      </c>
      <c r="S1976" s="11" t="str">
        <f t="shared" si="153"/>
        <v>Rendah</v>
      </c>
      <c r="T1976" s="2" t="str">
        <f t="shared" si="154"/>
        <v>Sangat Rendah</v>
      </c>
    </row>
    <row r="1977" spans="1:20" ht="15.75" customHeight="1" x14ac:dyDescent="0.3">
      <c r="A1977" s="4" t="s">
        <v>108</v>
      </c>
      <c r="B1977" s="3">
        <v>45555.373101851852</v>
      </c>
      <c r="C1977" s="2" t="s">
        <v>109</v>
      </c>
      <c r="D1977" s="2" t="s">
        <v>49</v>
      </c>
      <c r="E1977" s="2" t="s">
        <v>110</v>
      </c>
      <c r="F1977" s="2">
        <v>6000</v>
      </c>
      <c r="G1977" s="2">
        <v>4</v>
      </c>
      <c r="H1977" s="2">
        <v>5</v>
      </c>
      <c r="I1977">
        <f t="shared" si="150"/>
        <v>24000</v>
      </c>
      <c r="J1977">
        <f t="shared" si="151"/>
        <v>1200</v>
      </c>
      <c r="K1977" s="6">
        <f t="shared" si="152"/>
        <v>22800</v>
      </c>
      <c r="L1977" s="2">
        <v>43000</v>
      </c>
      <c r="M1977" s="6">
        <f>Table1[[#This Row],[Total Sales]]+Table1[[#This Row],[Shipping Fee]]</f>
        <v>65800</v>
      </c>
      <c r="N1977" s="2" t="s">
        <v>22</v>
      </c>
      <c r="O1977" t="str">
        <f>VLOOKUP(Table1[[#This Row],[Order ID]],Status!A:B, 2,FALSE)</f>
        <v>Completed</v>
      </c>
      <c r="P1977" s="2" t="s">
        <v>82</v>
      </c>
      <c r="Q1977" s="2">
        <v>4</v>
      </c>
      <c r="R1977" s="2" t="s">
        <v>24</v>
      </c>
      <c r="S1977" s="11" t="str">
        <f t="shared" si="153"/>
        <v>Bagus</v>
      </c>
      <c r="T1977" s="2" t="str">
        <f t="shared" si="154"/>
        <v>Sangat Rendah</v>
      </c>
    </row>
    <row r="1978" spans="1:20" ht="15.75" customHeight="1" x14ac:dyDescent="0.3">
      <c r="A1978" s="4" t="s">
        <v>105</v>
      </c>
      <c r="B1978" s="3">
        <v>45554.928298611107</v>
      </c>
      <c r="C1978" s="2" t="s">
        <v>106</v>
      </c>
      <c r="D1978" s="2" t="s">
        <v>107</v>
      </c>
      <c r="E1978" s="2" t="s">
        <v>58</v>
      </c>
      <c r="F1978" s="2">
        <v>16000</v>
      </c>
      <c r="G1978" s="2">
        <v>4</v>
      </c>
      <c r="H1978" s="2">
        <v>5</v>
      </c>
      <c r="I1978">
        <f t="shared" si="150"/>
        <v>64000</v>
      </c>
      <c r="J1978">
        <f t="shared" si="151"/>
        <v>3200</v>
      </c>
      <c r="K1978" s="6">
        <f t="shared" si="152"/>
        <v>60800</v>
      </c>
      <c r="L1978" s="2">
        <v>97000</v>
      </c>
      <c r="M1978" s="6">
        <f>Table1[[#This Row],[Total Sales]]+Table1[[#This Row],[Shipping Fee]]</f>
        <v>157800</v>
      </c>
      <c r="N1978" s="2" t="s">
        <v>63</v>
      </c>
      <c r="O1978" t="str">
        <f>VLOOKUP(Table1[[#This Row],[Order ID]],Status!A:B, 2,FALSE)</f>
        <v>Completed</v>
      </c>
      <c r="P1978" s="2" t="s">
        <v>36</v>
      </c>
      <c r="Q1978" s="2">
        <v>1</v>
      </c>
      <c r="R1978" s="2" t="s">
        <v>24</v>
      </c>
      <c r="S1978" s="11" t="str">
        <f t="shared" si="153"/>
        <v>Rendah</v>
      </c>
      <c r="T1978" s="2" t="str">
        <f t="shared" si="154"/>
        <v>Sangat Rendah</v>
      </c>
    </row>
    <row r="1979" spans="1:20" ht="15.75" customHeight="1" x14ac:dyDescent="0.3">
      <c r="A1979" s="4" t="s">
        <v>101</v>
      </c>
      <c r="B1979" s="3">
        <v>45554.589224537027</v>
      </c>
      <c r="C1979" s="2" t="s">
        <v>102</v>
      </c>
      <c r="D1979" s="2" t="s">
        <v>103</v>
      </c>
      <c r="E1979" s="2" t="s">
        <v>104</v>
      </c>
      <c r="F1979" s="2">
        <v>30000</v>
      </c>
      <c r="G1979" s="2">
        <v>1</v>
      </c>
      <c r="H1979" s="2">
        <v>10</v>
      </c>
      <c r="I1979">
        <f t="shared" si="150"/>
        <v>30000</v>
      </c>
      <c r="J1979">
        <f t="shared" si="151"/>
        <v>3000</v>
      </c>
      <c r="K1979" s="6">
        <f t="shared" si="152"/>
        <v>27000</v>
      </c>
      <c r="L1979" s="2">
        <v>85000</v>
      </c>
      <c r="M1979" s="6">
        <f>Table1[[#This Row],[Total Sales]]+Table1[[#This Row],[Shipping Fee]]</f>
        <v>112000</v>
      </c>
      <c r="N1979" s="2" t="s">
        <v>22</v>
      </c>
      <c r="O1979" t="str">
        <f>VLOOKUP(Table1[[#This Row],[Order ID]],Status!A:B, 2,FALSE)</f>
        <v>Completed</v>
      </c>
      <c r="P1979" s="2" t="s">
        <v>23</v>
      </c>
      <c r="Q1979" s="2">
        <v>5</v>
      </c>
      <c r="R1979" s="2" t="s">
        <v>24</v>
      </c>
      <c r="S1979" s="11" t="str">
        <f t="shared" si="153"/>
        <v>Bagus</v>
      </c>
      <c r="T1979" s="2" t="str">
        <f t="shared" si="154"/>
        <v>Sangat Rendah</v>
      </c>
    </row>
    <row r="1980" spans="1:20" ht="15.75" customHeight="1" x14ac:dyDescent="0.3">
      <c r="A1980" s="4" t="s">
        <v>99</v>
      </c>
      <c r="B1980" s="3">
        <v>45554.584305555552</v>
      </c>
      <c r="C1980" s="2" t="s">
        <v>100</v>
      </c>
      <c r="D1980" s="2" t="s">
        <v>66</v>
      </c>
      <c r="E1980" s="2" t="s">
        <v>71</v>
      </c>
      <c r="F1980" s="2">
        <v>40000</v>
      </c>
      <c r="G1980" s="2">
        <v>3</v>
      </c>
      <c r="H1980" s="2">
        <v>15</v>
      </c>
      <c r="I1980">
        <f t="shared" si="150"/>
        <v>120000</v>
      </c>
      <c r="J1980">
        <f t="shared" si="151"/>
        <v>18000</v>
      </c>
      <c r="K1980" s="6">
        <f t="shared" si="152"/>
        <v>102000</v>
      </c>
      <c r="L1980" s="2">
        <v>59000</v>
      </c>
      <c r="M1980" s="6">
        <f>Table1[[#This Row],[Total Sales]]+Table1[[#This Row],[Shipping Fee]]</f>
        <v>161000</v>
      </c>
      <c r="N1980" s="2" t="s">
        <v>29</v>
      </c>
      <c r="O1980" t="str">
        <f>VLOOKUP(Table1[[#This Row],[Order ID]],Status!A:B, 2,FALSE)</f>
        <v>Returned</v>
      </c>
      <c r="P1980" s="2" t="s">
        <v>46</v>
      </c>
      <c r="Q1980" s="2">
        <v>3</v>
      </c>
      <c r="R1980" s="2" t="s">
        <v>24</v>
      </c>
      <c r="S1980" s="11" t="str">
        <f t="shared" si="153"/>
        <v>Standar</v>
      </c>
      <c r="T1980" s="2" t="str">
        <f t="shared" si="154"/>
        <v>Normal</v>
      </c>
    </row>
    <row r="1981" spans="1:20" ht="15.75" customHeight="1" x14ac:dyDescent="0.3">
      <c r="A1981" s="4" t="s">
        <v>97</v>
      </c>
      <c r="B1981" s="3">
        <v>45554.548981481479</v>
      </c>
      <c r="C1981" s="2" t="s">
        <v>98</v>
      </c>
      <c r="D1981" s="2" t="s">
        <v>92</v>
      </c>
      <c r="E1981" s="2" t="s">
        <v>45</v>
      </c>
      <c r="F1981" s="2">
        <v>40000</v>
      </c>
      <c r="G1981" s="2">
        <v>4</v>
      </c>
      <c r="H1981" s="2">
        <v>10</v>
      </c>
      <c r="I1981">
        <f t="shared" si="150"/>
        <v>160000</v>
      </c>
      <c r="J1981">
        <f t="shared" si="151"/>
        <v>16000</v>
      </c>
      <c r="K1981" s="6">
        <f t="shared" si="152"/>
        <v>144000</v>
      </c>
      <c r="L1981" s="2">
        <v>30000</v>
      </c>
      <c r="M1981" s="6">
        <f>Table1[[#This Row],[Total Sales]]+Table1[[#This Row],[Shipping Fee]]</f>
        <v>174000</v>
      </c>
      <c r="N1981" s="2" t="s">
        <v>29</v>
      </c>
      <c r="O1981" t="str">
        <f>VLOOKUP(Table1[[#This Row],[Order ID]],Status!A:B, 2,FALSE)</f>
        <v>Completed</v>
      </c>
      <c r="P1981" s="2" t="s">
        <v>30</v>
      </c>
      <c r="Q1981" s="2">
        <v>5</v>
      </c>
      <c r="R1981" s="2" t="s">
        <v>24</v>
      </c>
      <c r="S1981" s="11" t="str">
        <f t="shared" si="153"/>
        <v>Bagus</v>
      </c>
      <c r="T1981" s="2" t="str">
        <f t="shared" si="154"/>
        <v>Normal</v>
      </c>
    </row>
    <row r="1982" spans="1:20" ht="15.75" customHeight="1" x14ac:dyDescent="0.3">
      <c r="A1982" s="4" t="s">
        <v>94</v>
      </c>
      <c r="B1982" s="3">
        <v>45554.347511574073</v>
      </c>
      <c r="C1982" s="2" t="s">
        <v>95</v>
      </c>
      <c r="D1982" s="2" t="s">
        <v>96</v>
      </c>
      <c r="E1982" s="2" t="s">
        <v>58</v>
      </c>
      <c r="F1982" s="2">
        <v>16000</v>
      </c>
      <c r="G1982" s="2">
        <v>2</v>
      </c>
      <c r="H1982" s="2">
        <v>20</v>
      </c>
      <c r="I1982">
        <f t="shared" si="150"/>
        <v>32000</v>
      </c>
      <c r="J1982">
        <f t="shared" si="151"/>
        <v>6400</v>
      </c>
      <c r="K1982" s="6">
        <f t="shared" si="152"/>
        <v>25600</v>
      </c>
      <c r="L1982" s="2">
        <v>49000</v>
      </c>
      <c r="M1982" s="6">
        <f>Table1[[#This Row],[Total Sales]]+Table1[[#This Row],[Shipping Fee]]</f>
        <v>74600</v>
      </c>
      <c r="N1982" s="2" t="s">
        <v>22</v>
      </c>
      <c r="O1982" t="str">
        <f>VLOOKUP(Table1[[#This Row],[Order ID]],Status!A:B, 2,FALSE)</f>
        <v>Completed</v>
      </c>
      <c r="P1982" s="2" t="s">
        <v>30</v>
      </c>
      <c r="Q1982" s="2">
        <v>1</v>
      </c>
      <c r="R1982" s="2" t="s">
        <v>24</v>
      </c>
      <c r="S1982" s="11" t="str">
        <f t="shared" si="153"/>
        <v>Rendah</v>
      </c>
      <c r="T1982" s="2" t="str">
        <f t="shared" si="154"/>
        <v>Rendah</v>
      </c>
    </row>
    <row r="1983" spans="1:20" ht="15.75" customHeight="1" x14ac:dyDescent="0.3">
      <c r="A1983" s="4" t="s">
        <v>90</v>
      </c>
      <c r="B1983" s="3">
        <v>45553.897916666669</v>
      </c>
      <c r="C1983" s="2" t="s">
        <v>91</v>
      </c>
      <c r="D1983" s="2" t="s">
        <v>92</v>
      </c>
      <c r="E1983" s="2" t="s">
        <v>93</v>
      </c>
      <c r="F1983" s="2">
        <v>25000</v>
      </c>
      <c r="G1983" s="2">
        <v>5</v>
      </c>
      <c r="H1983" s="2">
        <v>10</v>
      </c>
      <c r="I1983">
        <f t="shared" si="150"/>
        <v>125000</v>
      </c>
      <c r="J1983">
        <f t="shared" si="151"/>
        <v>12500</v>
      </c>
      <c r="K1983" s="6">
        <f t="shared" si="152"/>
        <v>112500</v>
      </c>
      <c r="L1983" s="2">
        <v>30000</v>
      </c>
      <c r="M1983" s="6">
        <f>Table1[[#This Row],[Total Sales]]+Table1[[#This Row],[Shipping Fee]]</f>
        <v>142500</v>
      </c>
      <c r="N1983" s="2" t="s">
        <v>63</v>
      </c>
      <c r="O1983" t="str">
        <f>VLOOKUP(Table1[[#This Row],[Order ID]],Status!A:B, 2,FALSE)</f>
        <v>Completed</v>
      </c>
      <c r="P1983" s="2" t="s">
        <v>82</v>
      </c>
      <c r="Q1983" s="2">
        <v>2</v>
      </c>
      <c r="R1983" s="2" t="s">
        <v>24</v>
      </c>
      <c r="S1983" s="11" t="str">
        <f t="shared" si="153"/>
        <v>Rendah</v>
      </c>
      <c r="T1983" s="2" t="str">
        <f t="shared" si="154"/>
        <v>Normal</v>
      </c>
    </row>
    <row r="1984" spans="1:20" ht="15.75" customHeight="1" x14ac:dyDescent="0.3">
      <c r="A1984" s="4" t="s">
        <v>89</v>
      </c>
      <c r="B1984" s="3">
        <v>45553.80846064815</v>
      </c>
      <c r="C1984" s="2" t="s">
        <v>77</v>
      </c>
      <c r="D1984" s="2" t="s">
        <v>61</v>
      </c>
      <c r="E1984" s="2" t="s">
        <v>41</v>
      </c>
      <c r="F1984" s="2">
        <v>4000</v>
      </c>
      <c r="G1984" s="2">
        <v>4</v>
      </c>
      <c r="H1984" s="2">
        <v>20</v>
      </c>
      <c r="I1984">
        <f t="shared" si="150"/>
        <v>16000</v>
      </c>
      <c r="J1984">
        <f t="shared" si="151"/>
        <v>3200</v>
      </c>
      <c r="K1984" s="6">
        <f t="shared" si="152"/>
        <v>12800</v>
      </c>
      <c r="L1984" s="2">
        <v>26000</v>
      </c>
      <c r="M1984" s="6">
        <f>Table1[[#This Row],[Total Sales]]+Table1[[#This Row],[Shipping Fee]]</f>
        <v>38800</v>
      </c>
      <c r="N1984" s="2" t="s">
        <v>29</v>
      </c>
      <c r="O1984" t="str">
        <f>VLOOKUP(Table1[[#This Row],[Order ID]],Status!A:B, 2,FALSE)</f>
        <v>Completed</v>
      </c>
      <c r="P1984" s="2" t="s">
        <v>36</v>
      </c>
      <c r="Q1984" s="2">
        <v>4</v>
      </c>
      <c r="R1984" s="2" t="s">
        <v>24</v>
      </c>
      <c r="S1984" s="11" t="str">
        <f t="shared" si="153"/>
        <v>Bagus</v>
      </c>
      <c r="T1984" s="2" t="str">
        <f t="shared" si="154"/>
        <v>Sangat Rendah</v>
      </c>
    </row>
    <row r="1985" spans="1:20" ht="15.75" customHeight="1" x14ac:dyDescent="0.3">
      <c r="A1985" s="4" t="s">
        <v>86</v>
      </c>
      <c r="B1985" s="3">
        <v>45553.610069444447</v>
      </c>
      <c r="C1985" s="2" t="s">
        <v>87</v>
      </c>
      <c r="D1985" s="2" t="s">
        <v>80</v>
      </c>
      <c r="E1985" s="2" t="s">
        <v>88</v>
      </c>
      <c r="F1985" s="2">
        <v>14000</v>
      </c>
      <c r="G1985" s="2">
        <v>3</v>
      </c>
      <c r="H1985" s="2">
        <v>0</v>
      </c>
      <c r="I1985">
        <f t="shared" si="150"/>
        <v>42000</v>
      </c>
      <c r="J1985">
        <f t="shared" si="151"/>
        <v>0</v>
      </c>
      <c r="K1985" s="6">
        <f t="shared" si="152"/>
        <v>42000</v>
      </c>
      <c r="L1985" s="2">
        <v>74000</v>
      </c>
      <c r="M1985" s="6">
        <f>Table1[[#This Row],[Total Sales]]+Table1[[#This Row],[Shipping Fee]]</f>
        <v>116000</v>
      </c>
      <c r="N1985" s="2" t="s">
        <v>35</v>
      </c>
      <c r="O1985" t="str">
        <f>VLOOKUP(Table1[[#This Row],[Order ID]],Status!A:B, 2,FALSE)</f>
        <v>Completed</v>
      </c>
      <c r="P1985" s="2" t="s">
        <v>82</v>
      </c>
      <c r="Q1985" s="2">
        <v>4</v>
      </c>
      <c r="R1985" s="2" t="s">
        <v>24</v>
      </c>
      <c r="S1985" s="11" t="str">
        <f t="shared" si="153"/>
        <v>Bagus</v>
      </c>
      <c r="T1985" s="2" t="str">
        <f t="shared" si="154"/>
        <v>Sangat Rendah</v>
      </c>
    </row>
    <row r="1986" spans="1:20" ht="15.75" customHeight="1" x14ac:dyDescent="0.3">
      <c r="A1986" s="4" t="s">
        <v>83</v>
      </c>
      <c r="B1986" s="3">
        <v>45553.174039351848</v>
      </c>
      <c r="C1986" s="2" t="s">
        <v>84</v>
      </c>
      <c r="D1986" s="2" t="s">
        <v>57</v>
      </c>
      <c r="E1986" s="2" t="s">
        <v>85</v>
      </c>
      <c r="F1986" s="2">
        <v>35000</v>
      </c>
      <c r="G1986" s="2">
        <v>4</v>
      </c>
      <c r="H1986" s="2">
        <v>20</v>
      </c>
      <c r="I1986">
        <f t="shared" ref="I1986:I2001" si="155">F1986*G1986</f>
        <v>140000</v>
      </c>
      <c r="J1986">
        <f t="shared" ref="J1986:J2001" si="156">I1986*H1986/100</f>
        <v>28000</v>
      </c>
      <c r="K1986" s="6">
        <f t="shared" ref="K1986:K2001" si="157">I1986-J1986</f>
        <v>112000</v>
      </c>
      <c r="L1986" s="2">
        <v>80000</v>
      </c>
      <c r="M1986" s="6">
        <f>Table1[[#This Row],[Total Sales]]+Table1[[#This Row],[Shipping Fee]]</f>
        <v>192000</v>
      </c>
      <c r="N1986" s="2" t="s">
        <v>22</v>
      </c>
      <c r="O1986" t="str">
        <f>VLOOKUP(Table1[[#This Row],[Order ID]],Status!A:B, 2,FALSE)</f>
        <v>Completed</v>
      </c>
      <c r="P1986" s="2" t="s">
        <v>30</v>
      </c>
      <c r="Q1986" s="2">
        <v>2</v>
      </c>
      <c r="R1986" s="2" t="s">
        <v>37</v>
      </c>
      <c r="S1986" s="11" t="str">
        <f t="shared" ref="S1986:S2001" si="158">_xlfn.IFS(Q1986&gt;3,"Bagus",Q1986=3,"Standar",Q1986&lt;3,"Rendah")</f>
        <v>Rendah</v>
      </c>
      <c r="T1986" s="2" t="str">
        <f t="shared" ref="T1986:T2001" si="159">_xlfn.IFS(J1986&lt;=5000,"Sangat Rendah", J1986&lt;=10000,"Rendah", J1986&lt;=20000, "Normal", J1986&lt;=35000, "Tinggi", J1986&lt;= 50000, "Sangat Tinggi", J1986&gt;50000, "Clearance")</f>
        <v>Tinggi</v>
      </c>
    </row>
    <row r="1987" spans="1:20" ht="15.75" customHeight="1" x14ac:dyDescent="0.3">
      <c r="A1987" s="4" t="s">
        <v>78</v>
      </c>
      <c r="B1987" s="3">
        <v>45552.946944444448</v>
      </c>
      <c r="C1987" s="2" t="s">
        <v>79</v>
      </c>
      <c r="D1987" s="2" t="s">
        <v>80</v>
      </c>
      <c r="E1987" s="2" t="s">
        <v>81</v>
      </c>
      <c r="F1987" s="2">
        <v>17000</v>
      </c>
      <c r="G1987" s="2">
        <v>5</v>
      </c>
      <c r="H1987" s="2">
        <v>20</v>
      </c>
      <c r="I1987">
        <f t="shared" si="155"/>
        <v>85000</v>
      </c>
      <c r="J1987">
        <f t="shared" si="156"/>
        <v>17000</v>
      </c>
      <c r="K1987" s="6">
        <f t="shared" si="157"/>
        <v>68000</v>
      </c>
      <c r="L1987" s="2">
        <v>74000</v>
      </c>
      <c r="M1987" s="6">
        <f>Table1[[#This Row],[Total Sales]]+Table1[[#This Row],[Shipping Fee]]</f>
        <v>142000</v>
      </c>
      <c r="N1987" s="2" t="s">
        <v>29</v>
      </c>
      <c r="O1987" t="str">
        <f>VLOOKUP(Table1[[#This Row],[Order ID]],Status!A:B, 2,FALSE)</f>
        <v>Completed</v>
      </c>
      <c r="P1987" s="2" t="s">
        <v>82</v>
      </c>
      <c r="Q1987" s="2">
        <v>2</v>
      </c>
      <c r="R1987" s="2" t="s">
        <v>24</v>
      </c>
      <c r="S1987" s="11" t="str">
        <f t="shared" si="158"/>
        <v>Rendah</v>
      </c>
      <c r="T1987" s="2" t="str">
        <f t="shared" si="159"/>
        <v>Normal</v>
      </c>
    </row>
    <row r="1988" spans="1:20" ht="15.75" customHeight="1" x14ac:dyDescent="0.3">
      <c r="A1988" s="4" t="s">
        <v>76</v>
      </c>
      <c r="B1988" s="3">
        <v>45552.939884259264</v>
      </c>
      <c r="C1988" s="2" t="s">
        <v>77</v>
      </c>
      <c r="D1988" s="2" t="s">
        <v>61</v>
      </c>
      <c r="E1988" s="2" t="s">
        <v>54</v>
      </c>
      <c r="F1988" s="2">
        <v>16000</v>
      </c>
      <c r="G1988" s="2">
        <v>3</v>
      </c>
      <c r="H1988" s="2">
        <v>0</v>
      </c>
      <c r="I1988">
        <f t="shared" si="155"/>
        <v>48000</v>
      </c>
      <c r="J1988">
        <f t="shared" si="156"/>
        <v>0</v>
      </c>
      <c r="K1988" s="6">
        <f t="shared" si="157"/>
        <v>48000</v>
      </c>
      <c r="L1988" s="2">
        <v>26000</v>
      </c>
      <c r="M1988" s="6">
        <f>Table1[[#This Row],[Total Sales]]+Table1[[#This Row],[Shipping Fee]]</f>
        <v>74000</v>
      </c>
      <c r="N1988" s="2" t="s">
        <v>35</v>
      </c>
      <c r="O1988" t="str">
        <f>VLOOKUP(Table1[[#This Row],[Order ID]],Status!A:B, 2,FALSE)</f>
        <v>Completed</v>
      </c>
      <c r="P1988" s="2" t="s">
        <v>46</v>
      </c>
      <c r="Q1988" s="2">
        <v>4</v>
      </c>
      <c r="R1988" s="2" t="s">
        <v>24</v>
      </c>
      <c r="S1988" s="11" t="str">
        <f t="shared" si="158"/>
        <v>Bagus</v>
      </c>
      <c r="T1988" s="2" t="str">
        <f t="shared" si="159"/>
        <v>Sangat Rendah</v>
      </c>
    </row>
    <row r="1989" spans="1:20" ht="15.75" customHeight="1" x14ac:dyDescent="0.3">
      <c r="A1989" s="4" t="s">
        <v>72</v>
      </c>
      <c r="B1989" s="3">
        <v>45552.937326388892</v>
      </c>
      <c r="C1989" s="2" t="s">
        <v>73</v>
      </c>
      <c r="D1989" s="2" t="s">
        <v>74</v>
      </c>
      <c r="E1989" s="2" t="s">
        <v>75</v>
      </c>
      <c r="F1989" s="2">
        <v>55000</v>
      </c>
      <c r="G1989" s="2">
        <v>3</v>
      </c>
      <c r="H1989" s="2">
        <v>15</v>
      </c>
      <c r="I1989">
        <f t="shared" si="155"/>
        <v>165000</v>
      </c>
      <c r="J1989">
        <f t="shared" si="156"/>
        <v>24750</v>
      </c>
      <c r="K1989" s="6">
        <f t="shared" si="157"/>
        <v>140250</v>
      </c>
      <c r="L1989" s="2">
        <v>87000</v>
      </c>
      <c r="M1989" s="6">
        <f>Table1[[#This Row],[Total Sales]]+Table1[[#This Row],[Shipping Fee]]</f>
        <v>227250</v>
      </c>
      <c r="N1989" s="2" t="s">
        <v>35</v>
      </c>
      <c r="O1989" t="str">
        <f>VLOOKUP(Table1[[#This Row],[Order ID]],Status!A:B, 2,FALSE)</f>
        <v>Returned</v>
      </c>
      <c r="P1989" s="2" t="s">
        <v>30</v>
      </c>
      <c r="Q1989" s="2">
        <v>4</v>
      </c>
      <c r="R1989" s="2" t="s">
        <v>24</v>
      </c>
      <c r="S1989" s="11" t="str">
        <f t="shared" si="158"/>
        <v>Bagus</v>
      </c>
      <c r="T1989" s="2" t="str">
        <f t="shared" si="159"/>
        <v>Tinggi</v>
      </c>
    </row>
    <row r="1990" spans="1:20" ht="15.75" customHeight="1" x14ac:dyDescent="0.3">
      <c r="A1990" s="4" t="s">
        <v>68</v>
      </c>
      <c r="B1990" s="3">
        <v>45552.791898148149</v>
      </c>
      <c r="C1990" s="2" t="s">
        <v>69</v>
      </c>
      <c r="D1990" s="2" t="s">
        <v>70</v>
      </c>
      <c r="E1990" s="2" t="s">
        <v>71</v>
      </c>
      <c r="F1990" s="2">
        <v>40000</v>
      </c>
      <c r="G1990" s="2">
        <v>4</v>
      </c>
      <c r="H1990" s="2">
        <v>5</v>
      </c>
      <c r="I1990">
        <f t="shared" si="155"/>
        <v>160000</v>
      </c>
      <c r="J1990">
        <f t="shared" si="156"/>
        <v>8000</v>
      </c>
      <c r="K1990" s="6">
        <f t="shared" si="157"/>
        <v>152000</v>
      </c>
      <c r="L1990" s="2">
        <v>89000</v>
      </c>
      <c r="M1990" s="6">
        <f>Table1[[#This Row],[Total Sales]]+Table1[[#This Row],[Shipping Fee]]</f>
        <v>241000</v>
      </c>
      <c r="N1990" s="2" t="s">
        <v>35</v>
      </c>
      <c r="O1990" t="str">
        <f>VLOOKUP(Table1[[#This Row],[Order ID]],Status!A:B, 2,FALSE)</f>
        <v>Completed</v>
      </c>
      <c r="P1990" s="2" t="s">
        <v>46</v>
      </c>
      <c r="Q1990" s="2">
        <v>1</v>
      </c>
      <c r="R1990" s="2" t="s">
        <v>37</v>
      </c>
      <c r="S1990" s="11" t="str">
        <f t="shared" si="158"/>
        <v>Rendah</v>
      </c>
      <c r="T1990" s="2" t="str">
        <f t="shared" si="159"/>
        <v>Rendah</v>
      </c>
    </row>
    <row r="1991" spans="1:20" ht="15.75" customHeight="1" x14ac:dyDescent="0.3">
      <c r="A1991" s="4" t="s">
        <v>64</v>
      </c>
      <c r="B1991" s="3">
        <v>45552.563796296286</v>
      </c>
      <c r="C1991" s="2" t="s">
        <v>65</v>
      </c>
      <c r="D1991" s="2" t="s">
        <v>66</v>
      </c>
      <c r="E1991" s="2" t="s">
        <v>67</v>
      </c>
      <c r="F1991" s="2">
        <v>15000</v>
      </c>
      <c r="G1991" s="2">
        <v>1</v>
      </c>
      <c r="H1991" s="2">
        <v>20</v>
      </c>
      <c r="I1991">
        <f t="shared" si="155"/>
        <v>15000</v>
      </c>
      <c r="J1991">
        <f t="shared" si="156"/>
        <v>3000</v>
      </c>
      <c r="K1991" s="6">
        <f t="shared" si="157"/>
        <v>12000</v>
      </c>
      <c r="L1991" s="2">
        <v>59000</v>
      </c>
      <c r="M1991" s="6">
        <f>Table1[[#This Row],[Total Sales]]+Table1[[#This Row],[Shipping Fee]]</f>
        <v>71000</v>
      </c>
      <c r="N1991" s="2" t="s">
        <v>63</v>
      </c>
      <c r="O1991" t="str">
        <f>VLOOKUP(Table1[[#This Row],[Order ID]],Status!A:B, 2,FALSE)</f>
        <v>Completed</v>
      </c>
      <c r="P1991" s="2" t="s">
        <v>36</v>
      </c>
      <c r="Q1991" s="2">
        <v>1</v>
      </c>
      <c r="R1991" s="2" t="s">
        <v>37</v>
      </c>
      <c r="S1991" s="11" t="str">
        <f t="shared" si="158"/>
        <v>Rendah</v>
      </c>
      <c r="T1991" s="2" t="str">
        <f t="shared" si="159"/>
        <v>Sangat Rendah</v>
      </c>
    </row>
    <row r="1992" spans="1:20" ht="15.75" customHeight="1" x14ac:dyDescent="0.3">
      <c r="A1992" s="4" t="s">
        <v>59</v>
      </c>
      <c r="B1992" s="3">
        <v>45552.464247685188</v>
      </c>
      <c r="C1992" s="2" t="s">
        <v>60</v>
      </c>
      <c r="D1992" s="2" t="s">
        <v>61</v>
      </c>
      <c r="E1992" s="2" t="s">
        <v>62</v>
      </c>
      <c r="F1992" s="2">
        <v>50000</v>
      </c>
      <c r="G1992" s="2">
        <v>2</v>
      </c>
      <c r="H1992" s="2">
        <v>10</v>
      </c>
      <c r="I1992">
        <f t="shared" si="155"/>
        <v>100000</v>
      </c>
      <c r="J1992">
        <f t="shared" si="156"/>
        <v>10000</v>
      </c>
      <c r="K1992" s="6">
        <f t="shared" si="157"/>
        <v>90000</v>
      </c>
      <c r="L1992" s="2">
        <v>26000</v>
      </c>
      <c r="M1992" s="6">
        <f>Table1[[#This Row],[Total Sales]]+Table1[[#This Row],[Shipping Fee]]</f>
        <v>116000</v>
      </c>
      <c r="N1992" s="2" t="s">
        <v>63</v>
      </c>
      <c r="O1992" t="str">
        <f>VLOOKUP(Table1[[#This Row],[Order ID]],Status!A:B, 2,FALSE)</f>
        <v>Completed</v>
      </c>
      <c r="P1992" s="2" t="s">
        <v>36</v>
      </c>
      <c r="Q1992" s="2">
        <v>2</v>
      </c>
      <c r="R1992" s="2" t="s">
        <v>24</v>
      </c>
      <c r="S1992" s="11" t="str">
        <f t="shared" si="158"/>
        <v>Rendah</v>
      </c>
      <c r="T1992" s="2" t="str">
        <f t="shared" si="159"/>
        <v>Rendah</v>
      </c>
    </row>
    <row r="1993" spans="1:20" ht="15.75" customHeight="1" x14ac:dyDescent="0.3">
      <c r="A1993" s="4" t="s">
        <v>55</v>
      </c>
      <c r="B1993" s="3">
        <v>45552.108449074083</v>
      </c>
      <c r="C1993" s="2" t="s">
        <v>56</v>
      </c>
      <c r="D1993" s="2" t="s">
        <v>57</v>
      </c>
      <c r="E1993" s="2" t="s">
        <v>58</v>
      </c>
      <c r="F1993" s="2">
        <v>16000</v>
      </c>
      <c r="G1993" s="2">
        <v>1</v>
      </c>
      <c r="H1993" s="2">
        <v>0</v>
      </c>
      <c r="I1993">
        <f t="shared" si="155"/>
        <v>16000</v>
      </c>
      <c r="J1993">
        <f t="shared" si="156"/>
        <v>0</v>
      </c>
      <c r="K1993" s="6">
        <f t="shared" si="157"/>
        <v>16000</v>
      </c>
      <c r="L1993" s="2">
        <v>80000</v>
      </c>
      <c r="M1993" s="6">
        <f>Table1[[#This Row],[Total Sales]]+Table1[[#This Row],[Shipping Fee]]</f>
        <v>96000</v>
      </c>
      <c r="N1993" s="2" t="s">
        <v>35</v>
      </c>
      <c r="O1993" t="str">
        <f>VLOOKUP(Table1[[#This Row],[Order ID]],Status!A:B, 2,FALSE)</f>
        <v>Completed</v>
      </c>
      <c r="P1993" s="2" t="s">
        <v>36</v>
      </c>
      <c r="Q1993" s="2">
        <v>5</v>
      </c>
      <c r="R1993" s="2" t="s">
        <v>24</v>
      </c>
      <c r="S1993" s="11" t="str">
        <f t="shared" si="158"/>
        <v>Bagus</v>
      </c>
      <c r="T1993" s="2" t="str">
        <f t="shared" si="159"/>
        <v>Sangat Rendah</v>
      </c>
    </row>
    <row r="1994" spans="1:20" ht="15.75" customHeight="1" x14ac:dyDescent="0.3">
      <c r="A1994" s="4" t="s">
        <v>51</v>
      </c>
      <c r="B1994" s="3">
        <v>45552.077418981477</v>
      </c>
      <c r="C1994" s="2" t="s">
        <v>52</v>
      </c>
      <c r="D1994" s="2" t="s">
        <v>53</v>
      </c>
      <c r="E1994" s="2" t="s">
        <v>54</v>
      </c>
      <c r="F1994" s="2">
        <v>16000</v>
      </c>
      <c r="G1994" s="2">
        <v>2</v>
      </c>
      <c r="H1994" s="2">
        <v>0</v>
      </c>
      <c r="I1994">
        <f t="shared" si="155"/>
        <v>32000</v>
      </c>
      <c r="J1994">
        <f t="shared" si="156"/>
        <v>0</v>
      </c>
      <c r="K1994" s="6">
        <f t="shared" si="157"/>
        <v>32000</v>
      </c>
      <c r="L1994" s="2">
        <v>18000</v>
      </c>
      <c r="M1994" s="6">
        <f>Table1[[#This Row],[Total Sales]]+Table1[[#This Row],[Shipping Fee]]</f>
        <v>50000</v>
      </c>
      <c r="N1994" s="2" t="s">
        <v>29</v>
      </c>
      <c r="O1994" t="str">
        <f>VLOOKUP(Table1[[#This Row],[Order ID]],Status!A:B, 2,FALSE)</f>
        <v>Completed</v>
      </c>
      <c r="P1994" s="2" t="s">
        <v>30</v>
      </c>
      <c r="Q1994" s="2">
        <v>5</v>
      </c>
      <c r="R1994" s="2" t="s">
        <v>24</v>
      </c>
      <c r="S1994" s="11" t="str">
        <f t="shared" si="158"/>
        <v>Bagus</v>
      </c>
      <c r="T1994" s="2" t="str">
        <f t="shared" si="159"/>
        <v>Sangat Rendah</v>
      </c>
    </row>
    <row r="1995" spans="1:20" ht="15.75" customHeight="1" x14ac:dyDescent="0.3">
      <c r="A1995" s="4" t="s">
        <v>47</v>
      </c>
      <c r="B1995" s="3">
        <v>45552.008842592593</v>
      </c>
      <c r="C1995" s="2" t="s">
        <v>48</v>
      </c>
      <c r="D1995" s="2" t="s">
        <v>49</v>
      </c>
      <c r="E1995" s="2" t="s">
        <v>50</v>
      </c>
      <c r="F1995" s="2">
        <v>14000</v>
      </c>
      <c r="G1995" s="2">
        <v>4</v>
      </c>
      <c r="H1995" s="2">
        <v>0</v>
      </c>
      <c r="I1995">
        <f t="shared" si="155"/>
        <v>56000</v>
      </c>
      <c r="J1995">
        <f t="shared" si="156"/>
        <v>0</v>
      </c>
      <c r="K1995" s="6">
        <f t="shared" si="157"/>
        <v>56000</v>
      </c>
      <c r="L1995" s="2">
        <v>43000</v>
      </c>
      <c r="M1995" s="6">
        <f>Table1[[#This Row],[Total Sales]]+Table1[[#This Row],[Shipping Fee]]</f>
        <v>99000</v>
      </c>
      <c r="N1995" s="2" t="s">
        <v>22</v>
      </c>
      <c r="O1995" t="str">
        <f>VLOOKUP(Table1[[#This Row],[Order ID]],Status!A:B, 2,FALSE)</f>
        <v>Completed</v>
      </c>
      <c r="P1995" s="2" t="s">
        <v>30</v>
      </c>
      <c r="Q1995" s="2">
        <v>4</v>
      </c>
      <c r="R1995" s="2" t="s">
        <v>24</v>
      </c>
      <c r="S1995" s="11" t="str">
        <f t="shared" si="158"/>
        <v>Bagus</v>
      </c>
      <c r="T1995" s="2" t="str">
        <f t="shared" si="159"/>
        <v>Sangat Rendah</v>
      </c>
    </row>
    <row r="1996" spans="1:20" ht="15.75" customHeight="1" x14ac:dyDescent="0.3">
      <c r="A1996" s="4" t="s">
        <v>42</v>
      </c>
      <c r="B1996" s="3">
        <v>45551.633425925917</v>
      </c>
      <c r="C1996" s="2" t="s">
        <v>43</v>
      </c>
      <c r="D1996" s="2" t="s">
        <v>44</v>
      </c>
      <c r="E1996" s="2" t="s">
        <v>45</v>
      </c>
      <c r="F1996" s="2">
        <v>40000</v>
      </c>
      <c r="G1996" s="2">
        <v>1</v>
      </c>
      <c r="H1996" s="2">
        <v>0</v>
      </c>
      <c r="I1996">
        <f t="shared" si="155"/>
        <v>40000</v>
      </c>
      <c r="J1996">
        <f t="shared" si="156"/>
        <v>0</v>
      </c>
      <c r="K1996" s="6">
        <f t="shared" si="157"/>
        <v>40000</v>
      </c>
      <c r="L1996" s="2">
        <v>93000</v>
      </c>
      <c r="M1996" s="6">
        <f>Table1[[#This Row],[Total Sales]]+Table1[[#This Row],[Shipping Fee]]</f>
        <v>133000</v>
      </c>
      <c r="N1996" s="2" t="s">
        <v>35</v>
      </c>
      <c r="O1996" t="str">
        <f>VLOOKUP(Table1[[#This Row],[Order ID]],Status!A:B, 2,FALSE)</f>
        <v>Completed</v>
      </c>
      <c r="P1996" s="2" t="s">
        <v>46</v>
      </c>
      <c r="Q1996" s="2">
        <v>2</v>
      </c>
      <c r="R1996" s="2" t="s">
        <v>24</v>
      </c>
      <c r="S1996" s="11" t="str">
        <f t="shared" si="158"/>
        <v>Rendah</v>
      </c>
      <c r="T1996" s="2" t="str">
        <f t="shared" si="159"/>
        <v>Sangat Rendah</v>
      </c>
    </row>
    <row r="1997" spans="1:20" ht="15.75" customHeight="1" x14ac:dyDescent="0.3">
      <c r="A1997" s="4" t="s">
        <v>39</v>
      </c>
      <c r="B1997" s="3">
        <v>45551.573483796303</v>
      </c>
      <c r="C1997" s="2" t="s">
        <v>40</v>
      </c>
      <c r="D1997" s="2" t="s">
        <v>27</v>
      </c>
      <c r="E1997" s="2" t="s">
        <v>41</v>
      </c>
      <c r="F1997" s="2">
        <v>4000</v>
      </c>
      <c r="G1997" s="2">
        <v>3</v>
      </c>
      <c r="H1997" s="2">
        <v>0</v>
      </c>
      <c r="I1997">
        <f t="shared" si="155"/>
        <v>12000</v>
      </c>
      <c r="J1997">
        <f t="shared" si="156"/>
        <v>0</v>
      </c>
      <c r="K1997" s="6">
        <f t="shared" si="157"/>
        <v>12000</v>
      </c>
      <c r="L1997" s="2">
        <v>17000</v>
      </c>
      <c r="M1997" s="6">
        <f>Table1[[#This Row],[Total Sales]]+Table1[[#This Row],[Shipping Fee]]</f>
        <v>29000</v>
      </c>
      <c r="N1997" s="2" t="s">
        <v>29</v>
      </c>
      <c r="O1997" t="str">
        <f>VLOOKUP(Table1[[#This Row],[Order ID]],Status!A:B, 2,FALSE)</f>
        <v>Completed</v>
      </c>
      <c r="P1997" s="2" t="s">
        <v>30</v>
      </c>
      <c r="Q1997" s="2">
        <v>2</v>
      </c>
      <c r="R1997" s="2" t="s">
        <v>24</v>
      </c>
      <c r="S1997" s="11" t="str">
        <f t="shared" si="158"/>
        <v>Rendah</v>
      </c>
      <c r="T1997" s="2" t="str">
        <f t="shared" si="159"/>
        <v>Sangat Rendah</v>
      </c>
    </row>
    <row r="1998" spans="1:20" ht="15.75" customHeight="1" x14ac:dyDescent="0.3">
      <c r="A1998" s="4" t="s">
        <v>31</v>
      </c>
      <c r="B1998" s="3">
        <v>45551.531631944446</v>
      </c>
      <c r="C1998" s="2" t="s">
        <v>32</v>
      </c>
      <c r="D1998" s="2" t="s">
        <v>33</v>
      </c>
      <c r="E1998" s="2" t="s">
        <v>34</v>
      </c>
      <c r="F1998" s="2">
        <v>16000</v>
      </c>
      <c r="G1998" s="2">
        <v>5</v>
      </c>
      <c r="H1998" s="2">
        <v>5</v>
      </c>
      <c r="I1998">
        <f t="shared" si="155"/>
        <v>80000</v>
      </c>
      <c r="J1998">
        <f t="shared" si="156"/>
        <v>4000</v>
      </c>
      <c r="K1998" s="6">
        <f t="shared" si="157"/>
        <v>76000</v>
      </c>
      <c r="L1998" s="2">
        <v>76000</v>
      </c>
      <c r="M1998" s="6">
        <f>Table1[[#This Row],[Total Sales]]+Table1[[#This Row],[Shipping Fee]]</f>
        <v>152000</v>
      </c>
      <c r="N1998" s="2" t="s">
        <v>35</v>
      </c>
      <c r="O1998" t="str">
        <f>VLOOKUP(Table1[[#This Row],[Order ID]],Status!A:B, 2,FALSE)</f>
        <v>Completed</v>
      </c>
      <c r="P1998" s="2" t="s">
        <v>36</v>
      </c>
      <c r="Q1998" s="2">
        <v>1</v>
      </c>
      <c r="R1998" s="2" t="s">
        <v>37</v>
      </c>
      <c r="S1998" s="11" t="str">
        <f t="shared" si="158"/>
        <v>Rendah</v>
      </c>
      <c r="T1998" s="2" t="str">
        <f t="shared" si="159"/>
        <v>Sangat Rendah</v>
      </c>
    </row>
    <row r="1999" spans="1:20" ht="15.75" customHeight="1" x14ac:dyDescent="0.3">
      <c r="A1999" s="4" t="s">
        <v>31</v>
      </c>
      <c r="B1999" s="3">
        <v>45551.531631944446</v>
      </c>
      <c r="C1999" s="2" t="s">
        <v>32</v>
      </c>
      <c r="D1999" s="2" t="s">
        <v>33</v>
      </c>
      <c r="E1999" s="2" t="s">
        <v>38</v>
      </c>
      <c r="F1999" s="2">
        <v>28000</v>
      </c>
      <c r="G1999" s="2">
        <v>1</v>
      </c>
      <c r="H1999" s="2">
        <v>10</v>
      </c>
      <c r="I1999">
        <f t="shared" si="155"/>
        <v>28000</v>
      </c>
      <c r="J1999">
        <f t="shared" si="156"/>
        <v>2800</v>
      </c>
      <c r="K1999" s="6">
        <f t="shared" si="157"/>
        <v>25200</v>
      </c>
      <c r="L1999" s="2">
        <v>0</v>
      </c>
      <c r="M1999" s="6">
        <f>Table1[[#This Row],[Total Sales]]+Table1[[#This Row],[Shipping Fee]]</f>
        <v>25200</v>
      </c>
      <c r="N1999" s="2" t="s">
        <v>35</v>
      </c>
      <c r="O1999" t="str">
        <f>VLOOKUP(Table1[[#This Row],[Order ID]],Status!A:B, 2,FALSE)</f>
        <v>Completed</v>
      </c>
      <c r="P1999" s="2" t="s">
        <v>36</v>
      </c>
      <c r="Q1999" s="2">
        <v>1</v>
      </c>
      <c r="R1999" s="2" t="s">
        <v>37</v>
      </c>
      <c r="S1999" s="11" t="str">
        <f t="shared" si="158"/>
        <v>Rendah</v>
      </c>
      <c r="T1999" s="2" t="str">
        <f t="shared" si="159"/>
        <v>Sangat Rendah</v>
      </c>
    </row>
    <row r="2000" spans="1:20" ht="15.75" customHeight="1" x14ac:dyDescent="0.3">
      <c r="A2000" s="4" t="s">
        <v>25</v>
      </c>
      <c r="B2000" s="3">
        <v>45551.028368055559</v>
      </c>
      <c r="C2000" s="2" t="s">
        <v>26</v>
      </c>
      <c r="D2000" s="2" t="s">
        <v>27</v>
      </c>
      <c r="E2000" s="2" t="s">
        <v>28</v>
      </c>
      <c r="F2000" s="2">
        <v>5000</v>
      </c>
      <c r="G2000" s="2">
        <v>4</v>
      </c>
      <c r="H2000" s="2">
        <v>20</v>
      </c>
      <c r="I2000">
        <f t="shared" si="155"/>
        <v>20000</v>
      </c>
      <c r="J2000">
        <f t="shared" si="156"/>
        <v>4000</v>
      </c>
      <c r="K2000" s="6">
        <f t="shared" si="157"/>
        <v>16000</v>
      </c>
      <c r="L2000" s="2">
        <v>17000</v>
      </c>
      <c r="M2000" s="6">
        <f>Table1[[#This Row],[Total Sales]]+Table1[[#This Row],[Shipping Fee]]</f>
        <v>33000</v>
      </c>
      <c r="N2000" s="2" t="s">
        <v>29</v>
      </c>
      <c r="O2000" t="str">
        <f>VLOOKUP(Table1[[#This Row],[Order ID]],Status!A:B, 2,FALSE)</f>
        <v>Completed</v>
      </c>
      <c r="P2000" s="2" t="s">
        <v>30</v>
      </c>
      <c r="Q2000" s="2">
        <v>5</v>
      </c>
      <c r="R2000" s="2" t="s">
        <v>24</v>
      </c>
      <c r="S2000" s="11" t="str">
        <f t="shared" si="158"/>
        <v>Bagus</v>
      </c>
      <c r="T2000" s="2" t="str">
        <f t="shared" si="159"/>
        <v>Sangat Rendah</v>
      </c>
    </row>
    <row r="2001" spans="1:20" ht="15.75" customHeight="1" x14ac:dyDescent="0.3">
      <c r="A2001" s="4" t="s">
        <v>18</v>
      </c>
      <c r="B2001" s="3">
        <v>45551.015844907408</v>
      </c>
      <c r="C2001" s="2" t="s">
        <v>19</v>
      </c>
      <c r="D2001" s="2" t="s">
        <v>20</v>
      </c>
      <c r="E2001" s="2" t="s">
        <v>21</v>
      </c>
      <c r="F2001" s="2">
        <v>45000</v>
      </c>
      <c r="G2001" s="2">
        <v>4</v>
      </c>
      <c r="H2001" s="2">
        <v>0</v>
      </c>
      <c r="I2001">
        <f t="shared" si="155"/>
        <v>180000</v>
      </c>
      <c r="J2001">
        <f t="shared" si="156"/>
        <v>0</v>
      </c>
      <c r="K2001" s="6">
        <f t="shared" si="157"/>
        <v>180000</v>
      </c>
      <c r="L2001" s="2">
        <v>15000</v>
      </c>
      <c r="M2001" s="6">
        <f>Table1[[#This Row],[Total Sales]]+Table1[[#This Row],[Shipping Fee]]</f>
        <v>195000</v>
      </c>
      <c r="N2001" s="2" t="s">
        <v>22</v>
      </c>
      <c r="O2001" t="str">
        <f>VLOOKUP(Table1[[#This Row],[Order ID]],Status!A:B, 2,FALSE)</f>
        <v>Completed</v>
      </c>
      <c r="P2001" s="2" t="s">
        <v>23</v>
      </c>
      <c r="Q2001" s="2">
        <v>3</v>
      </c>
      <c r="R2001" s="2" t="s">
        <v>24</v>
      </c>
      <c r="S2001" s="11" t="str">
        <f t="shared" si="158"/>
        <v>Standar</v>
      </c>
      <c r="T2001" s="2" t="str">
        <f t="shared" si="159"/>
        <v>Sangat Rendah</v>
      </c>
    </row>
  </sheetData>
  <mergeCells count="12">
    <mergeCell ref="X30:AA30"/>
    <mergeCell ref="X31:AA32"/>
    <mergeCell ref="X18:Z20"/>
    <mergeCell ref="X22:Z22"/>
    <mergeCell ref="X23:Z24"/>
    <mergeCell ref="X26:Z26"/>
    <mergeCell ref="X27:Z28"/>
    <mergeCell ref="X7:Z9"/>
    <mergeCell ref="X6:Z6"/>
    <mergeCell ref="X12:Z12"/>
    <mergeCell ref="X13:Z15"/>
    <mergeCell ref="X17:Z17"/>
  </mergeCells>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workbookViewId="0">
      <selection sqref="A1:A1048576"/>
    </sheetView>
  </sheetViews>
  <sheetFormatPr defaultColWidth="14.44140625" defaultRowHeight="15" customHeight="1" x14ac:dyDescent="0.3"/>
  <cols>
    <col min="1" max="6" width="10.6640625" customWidth="1"/>
  </cols>
  <sheetData>
    <row r="1" spans="1:2" ht="14.4" x14ac:dyDescent="0.3">
      <c r="A1" s="1" t="s">
        <v>0</v>
      </c>
      <c r="B1" s="1" t="s">
        <v>14</v>
      </c>
    </row>
    <row r="2" spans="1:2" ht="14.4" x14ac:dyDescent="0.3">
      <c r="A2" s="2" t="s">
        <v>2245</v>
      </c>
      <c r="B2" s="2" t="s">
        <v>2356</v>
      </c>
    </row>
    <row r="3" spans="1:2" ht="14.4" x14ac:dyDescent="0.3">
      <c r="A3" s="2" t="s">
        <v>1830</v>
      </c>
      <c r="B3" s="2" t="s">
        <v>2357</v>
      </c>
    </row>
    <row r="4" spans="1:2" ht="14.4" x14ac:dyDescent="0.3">
      <c r="A4" s="2" t="s">
        <v>1389</v>
      </c>
      <c r="B4" s="2" t="s">
        <v>2356</v>
      </c>
    </row>
    <row r="5" spans="1:2" ht="14.4" x14ac:dyDescent="0.3">
      <c r="A5" s="2" t="s">
        <v>2117</v>
      </c>
      <c r="B5" s="2" t="s">
        <v>2358</v>
      </c>
    </row>
    <row r="6" spans="1:2" ht="14.4" x14ac:dyDescent="0.3">
      <c r="A6" s="2" t="s">
        <v>996</v>
      </c>
      <c r="B6" s="2" t="s">
        <v>2359</v>
      </c>
    </row>
    <row r="7" spans="1:2" ht="14.4" x14ac:dyDescent="0.3">
      <c r="A7" s="2" t="s">
        <v>1011</v>
      </c>
      <c r="B7" s="2" t="s">
        <v>2357</v>
      </c>
    </row>
    <row r="8" spans="1:2" ht="14.4" x14ac:dyDescent="0.3">
      <c r="A8" s="2" t="s">
        <v>2236</v>
      </c>
      <c r="B8" s="2" t="s">
        <v>2357</v>
      </c>
    </row>
    <row r="9" spans="1:2" ht="14.4" x14ac:dyDescent="0.3">
      <c r="A9" s="2" t="s">
        <v>1316</v>
      </c>
      <c r="B9" s="2" t="s">
        <v>2356</v>
      </c>
    </row>
    <row r="10" spans="1:2" ht="14.4" x14ac:dyDescent="0.3">
      <c r="A10" s="2" t="s">
        <v>948</v>
      </c>
      <c r="B10" s="2" t="s">
        <v>2357</v>
      </c>
    </row>
    <row r="11" spans="1:2" ht="14.4" x14ac:dyDescent="0.3">
      <c r="A11" s="2" t="s">
        <v>1991</v>
      </c>
      <c r="B11" s="2" t="s">
        <v>2357</v>
      </c>
    </row>
    <row r="12" spans="1:2" ht="14.4" x14ac:dyDescent="0.3">
      <c r="A12" s="2" t="s">
        <v>1268</v>
      </c>
      <c r="B12" s="2" t="s">
        <v>2357</v>
      </c>
    </row>
    <row r="13" spans="1:2" ht="14.4" x14ac:dyDescent="0.3">
      <c r="A13" s="2" t="s">
        <v>500</v>
      </c>
      <c r="B13" s="2" t="s">
        <v>2357</v>
      </c>
    </row>
    <row r="14" spans="1:2" ht="14.4" x14ac:dyDescent="0.3">
      <c r="A14" s="2" t="s">
        <v>208</v>
      </c>
      <c r="B14" s="2" t="s">
        <v>2357</v>
      </c>
    </row>
    <row r="15" spans="1:2" ht="14.4" x14ac:dyDescent="0.3">
      <c r="A15" s="2" t="s">
        <v>349</v>
      </c>
      <c r="B15" s="2" t="s">
        <v>2357</v>
      </c>
    </row>
    <row r="16" spans="1:2" ht="14.4" x14ac:dyDescent="0.3">
      <c r="A16" s="2" t="s">
        <v>1195</v>
      </c>
      <c r="B16" s="2" t="s">
        <v>2359</v>
      </c>
    </row>
    <row r="17" spans="1:2" ht="14.4" x14ac:dyDescent="0.3">
      <c r="A17" s="2" t="s">
        <v>31</v>
      </c>
      <c r="B17" s="2" t="s">
        <v>2357</v>
      </c>
    </row>
    <row r="18" spans="1:2" ht="14.4" x14ac:dyDescent="0.3">
      <c r="A18" s="2" t="s">
        <v>720</v>
      </c>
      <c r="B18" s="2" t="s">
        <v>2357</v>
      </c>
    </row>
    <row r="19" spans="1:2" ht="14.4" x14ac:dyDescent="0.3">
      <c r="A19" s="2" t="s">
        <v>2027</v>
      </c>
      <c r="B19" s="2" t="s">
        <v>2357</v>
      </c>
    </row>
    <row r="20" spans="1:2" ht="14.4" x14ac:dyDescent="0.3">
      <c r="A20" s="2" t="s">
        <v>1772</v>
      </c>
      <c r="B20" s="2" t="s">
        <v>2357</v>
      </c>
    </row>
    <row r="21" spans="1:2" ht="15.75" customHeight="1" x14ac:dyDescent="0.3">
      <c r="A21" s="2" t="s">
        <v>2123</v>
      </c>
      <c r="B21" s="2" t="s">
        <v>2357</v>
      </c>
    </row>
    <row r="22" spans="1:2" ht="15.75" customHeight="1" x14ac:dyDescent="0.3">
      <c r="A22" s="2" t="s">
        <v>1375</v>
      </c>
      <c r="B22" s="2" t="s">
        <v>2357</v>
      </c>
    </row>
    <row r="23" spans="1:2" ht="15.75" customHeight="1" x14ac:dyDescent="0.3">
      <c r="A23" s="2" t="s">
        <v>232</v>
      </c>
      <c r="B23" s="2" t="s">
        <v>2357</v>
      </c>
    </row>
    <row r="24" spans="1:2" ht="15.75" customHeight="1" x14ac:dyDescent="0.3">
      <c r="A24" s="2" t="s">
        <v>341</v>
      </c>
      <c r="B24" s="2" t="s">
        <v>2357</v>
      </c>
    </row>
    <row r="25" spans="1:2" ht="15.75" customHeight="1" x14ac:dyDescent="0.3">
      <c r="A25" s="2" t="s">
        <v>422</v>
      </c>
      <c r="B25" s="2" t="s">
        <v>2356</v>
      </c>
    </row>
    <row r="26" spans="1:2" ht="15.75" customHeight="1" x14ac:dyDescent="0.3">
      <c r="A26" s="2" t="s">
        <v>696</v>
      </c>
      <c r="B26" s="2" t="s">
        <v>2357</v>
      </c>
    </row>
    <row r="27" spans="1:2" ht="15.75" customHeight="1" x14ac:dyDescent="0.3">
      <c r="A27" s="2" t="s">
        <v>1020</v>
      </c>
      <c r="B27" s="2" t="s">
        <v>2357</v>
      </c>
    </row>
    <row r="28" spans="1:2" ht="15.75" customHeight="1" x14ac:dyDescent="0.3">
      <c r="A28" s="2" t="s">
        <v>2338</v>
      </c>
      <c r="B28" s="2" t="s">
        <v>2357</v>
      </c>
    </row>
    <row r="29" spans="1:2" ht="15.75" customHeight="1" x14ac:dyDescent="0.3">
      <c r="A29" s="2" t="s">
        <v>753</v>
      </c>
      <c r="B29" s="2" t="s">
        <v>2357</v>
      </c>
    </row>
    <row r="30" spans="1:2" ht="15.75" customHeight="1" x14ac:dyDescent="0.3">
      <c r="A30" s="2" t="s">
        <v>290</v>
      </c>
      <c r="B30" s="2" t="s">
        <v>2356</v>
      </c>
    </row>
    <row r="31" spans="1:2" ht="15.75" customHeight="1" x14ac:dyDescent="0.3">
      <c r="A31" s="2" t="s">
        <v>829</v>
      </c>
      <c r="B31" s="2" t="s">
        <v>2356</v>
      </c>
    </row>
    <row r="32" spans="1:2" ht="15.75" customHeight="1" x14ac:dyDescent="0.3">
      <c r="A32" s="2" t="s">
        <v>859</v>
      </c>
      <c r="B32" s="2" t="s">
        <v>2357</v>
      </c>
    </row>
    <row r="33" spans="1:2" ht="15.75" customHeight="1" x14ac:dyDescent="0.3">
      <c r="A33" s="2" t="s">
        <v>1636</v>
      </c>
      <c r="B33" s="2" t="s">
        <v>2357</v>
      </c>
    </row>
    <row r="34" spans="1:2" ht="15.75" customHeight="1" x14ac:dyDescent="0.3">
      <c r="A34" s="2" t="s">
        <v>2044</v>
      </c>
      <c r="B34" s="2" t="s">
        <v>2357</v>
      </c>
    </row>
    <row r="35" spans="1:2" ht="15.75" customHeight="1" x14ac:dyDescent="0.3">
      <c r="A35" s="2" t="s">
        <v>460</v>
      </c>
      <c r="B35" s="2" t="s">
        <v>2357</v>
      </c>
    </row>
    <row r="36" spans="1:2" ht="15.75" customHeight="1" x14ac:dyDescent="0.3">
      <c r="A36" s="2" t="s">
        <v>982</v>
      </c>
      <c r="B36" s="2" t="s">
        <v>2356</v>
      </c>
    </row>
    <row r="37" spans="1:2" ht="15.75" customHeight="1" x14ac:dyDescent="0.3">
      <c r="A37" s="2" t="s">
        <v>2226</v>
      </c>
      <c r="B37" s="2" t="s">
        <v>2358</v>
      </c>
    </row>
    <row r="38" spans="1:2" ht="15.75" customHeight="1" x14ac:dyDescent="0.3">
      <c r="A38" s="2" t="s">
        <v>438</v>
      </c>
      <c r="B38" s="2" t="s">
        <v>2357</v>
      </c>
    </row>
    <row r="39" spans="1:2" ht="15.75" customHeight="1" x14ac:dyDescent="0.3">
      <c r="A39" s="2" t="s">
        <v>682</v>
      </c>
      <c r="B39" s="2" t="s">
        <v>2356</v>
      </c>
    </row>
    <row r="40" spans="1:2" ht="15.75" customHeight="1" x14ac:dyDescent="0.3">
      <c r="A40" s="2" t="s">
        <v>2346</v>
      </c>
      <c r="B40" s="2" t="s">
        <v>2358</v>
      </c>
    </row>
    <row r="41" spans="1:2" ht="15.75" customHeight="1" x14ac:dyDescent="0.3">
      <c r="A41" s="2" t="s">
        <v>1351</v>
      </c>
      <c r="B41" s="2" t="s">
        <v>2357</v>
      </c>
    </row>
    <row r="42" spans="1:2" ht="15.75" customHeight="1" x14ac:dyDescent="0.3">
      <c r="A42" s="2" t="s">
        <v>1944</v>
      </c>
      <c r="B42" s="2" t="s">
        <v>2357</v>
      </c>
    </row>
    <row r="43" spans="1:2" ht="15.75" customHeight="1" x14ac:dyDescent="0.3">
      <c r="A43" s="2" t="s">
        <v>1221</v>
      </c>
      <c r="B43" s="2" t="s">
        <v>2357</v>
      </c>
    </row>
    <row r="44" spans="1:2" ht="15.75" customHeight="1" x14ac:dyDescent="0.3">
      <c r="A44" s="2" t="s">
        <v>1144</v>
      </c>
      <c r="B44" s="2" t="s">
        <v>2356</v>
      </c>
    </row>
    <row r="45" spans="1:2" ht="15.75" customHeight="1" x14ac:dyDescent="0.3">
      <c r="A45" s="2" t="s">
        <v>907</v>
      </c>
      <c r="B45" s="2" t="s">
        <v>2357</v>
      </c>
    </row>
    <row r="46" spans="1:2" ht="15.75" customHeight="1" x14ac:dyDescent="0.3">
      <c r="A46" s="2" t="s">
        <v>1110</v>
      </c>
      <c r="B46" s="2" t="s">
        <v>2357</v>
      </c>
    </row>
    <row r="47" spans="1:2" ht="15.75" customHeight="1" x14ac:dyDescent="0.3">
      <c r="A47" s="2" t="s">
        <v>2095</v>
      </c>
      <c r="B47" s="2" t="s">
        <v>2357</v>
      </c>
    </row>
    <row r="48" spans="1:2" ht="15.75" customHeight="1" x14ac:dyDescent="0.3">
      <c r="A48" s="2" t="s">
        <v>2019</v>
      </c>
      <c r="B48" s="2" t="s">
        <v>2357</v>
      </c>
    </row>
    <row r="49" spans="1:2" ht="15.75" customHeight="1" x14ac:dyDescent="0.3">
      <c r="A49" s="2" t="s">
        <v>1670</v>
      </c>
      <c r="B49" s="2" t="s">
        <v>2359</v>
      </c>
    </row>
    <row r="50" spans="1:2" ht="15.75" customHeight="1" x14ac:dyDescent="0.3">
      <c r="A50" s="2" t="s">
        <v>64</v>
      </c>
      <c r="B50" s="2" t="s">
        <v>2357</v>
      </c>
    </row>
    <row r="51" spans="1:2" ht="15.75" customHeight="1" x14ac:dyDescent="0.3">
      <c r="A51" s="2" t="s">
        <v>1016</v>
      </c>
      <c r="B51" s="2" t="s">
        <v>2359</v>
      </c>
    </row>
    <row r="52" spans="1:2" ht="15.75" customHeight="1" x14ac:dyDescent="0.3">
      <c r="A52" s="2" t="s">
        <v>83</v>
      </c>
      <c r="B52" s="2" t="s">
        <v>2357</v>
      </c>
    </row>
    <row r="53" spans="1:2" ht="15.75" customHeight="1" x14ac:dyDescent="0.3">
      <c r="A53" s="2" t="s">
        <v>2071</v>
      </c>
      <c r="B53" s="2" t="s">
        <v>2356</v>
      </c>
    </row>
    <row r="54" spans="1:2" ht="15.75" customHeight="1" x14ac:dyDescent="0.3">
      <c r="A54" s="2" t="s">
        <v>1349</v>
      </c>
      <c r="B54" s="2" t="s">
        <v>2357</v>
      </c>
    </row>
    <row r="55" spans="1:2" ht="15.75" customHeight="1" x14ac:dyDescent="0.3">
      <c r="A55" s="2" t="s">
        <v>2070</v>
      </c>
      <c r="B55" s="2" t="s">
        <v>2357</v>
      </c>
    </row>
    <row r="56" spans="1:2" ht="15.75" customHeight="1" x14ac:dyDescent="0.3">
      <c r="A56" s="2" t="s">
        <v>1793</v>
      </c>
      <c r="B56" s="2" t="s">
        <v>2357</v>
      </c>
    </row>
    <row r="57" spans="1:2" ht="15.75" customHeight="1" x14ac:dyDescent="0.3">
      <c r="A57" s="2" t="s">
        <v>1803</v>
      </c>
      <c r="B57" s="2" t="s">
        <v>2357</v>
      </c>
    </row>
    <row r="58" spans="1:2" ht="15.75" customHeight="1" x14ac:dyDescent="0.3">
      <c r="A58" s="2" t="s">
        <v>1730</v>
      </c>
      <c r="B58" s="2" t="s">
        <v>2359</v>
      </c>
    </row>
    <row r="59" spans="1:2" ht="15.75" customHeight="1" x14ac:dyDescent="0.3">
      <c r="A59" s="2" t="s">
        <v>550</v>
      </c>
      <c r="B59" s="2" t="s">
        <v>2359</v>
      </c>
    </row>
    <row r="60" spans="1:2" ht="15.75" customHeight="1" x14ac:dyDescent="0.3">
      <c r="A60" s="2" t="s">
        <v>689</v>
      </c>
      <c r="B60" s="2" t="s">
        <v>2356</v>
      </c>
    </row>
    <row r="61" spans="1:2" ht="15.75" customHeight="1" x14ac:dyDescent="0.3">
      <c r="A61" s="2" t="s">
        <v>1651</v>
      </c>
      <c r="B61" s="2" t="s">
        <v>2357</v>
      </c>
    </row>
    <row r="62" spans="1:2" ht="15.75" customHeight="1" x14ac:dyDescent="0.3">
      <c r="A62" s="2" t="s">
        <v>1090</v>
      </c>
      <c r="B62" s="2" t="s">
        <v>2357</v>
      </c>
    </row>
    <row r="63" spans="1:2" ht="15.75" customHeight="1" x14ac:dyDescent="0.3">
      <c r="A63" s="2" t="s">
        <v>259</v>
      </c>
      <c r="B63" s="2" t="s">
        <v>2357</v>
      </c>
    </row>
    <row r="64" spans="1:2" ht="15.75" customHeight="1" x14ac:dyDescent="0.3">
      <c r="A64" s="2" t="s">
        <v>957</v>
      </c>
      <c r="B64" s="2" t="s">
        <v>2357</v>
      </c>
    </row>
    <row r="65" spans="1:2" ht="15.75" customHeight="1" x14ac:dyDescent="0.3">
      <c r="A65" s="2" t="s">
        <v>2035</v>
      </c>
      <c r="B65" s="2" t="s">
        <v>2357</v>
      </c>
    </row>
    <row r="66" spans="1:2" ht="15.75" customHeight="1" x14ac:dyDescent="0.3">
      <c r="A66" s="2" t="s">
        <v>1759</v>
      </c>
      <c r="B66" s="2" t="s">
        <v>2357</v>
      </c>
    </row>
    <row r="67" spans="1:2" ht="15.75" customHeight="1" x14ac:dyDescent="0.3">
      <c r="A67" s="2" t="s">
        <v>1702</v>
      </c>
      <c r="B67" s="2" t="s">
        <v>2357</v>
      </c>
    </row>
    <row r="68" spans="1:2" ht="15.75" customHeight="1" x14ac:dyDescent="0.3">
      <c r="A68" s="2" t="s">
        <v>2053</v>
      </c>
      <c r="B68" s="2" t="s">
        <v>2357</v>
      </c>
    </row>
    <row r="69" spans="1:2" ht="15.75" customHeight="1" x14ac:dyDescent="0.3">
      <c r="A69" s="2" t="s">
        <v>1324</v>
      </c>
      <c r="B69" s="2" t="s">
        <v>2357</v>
      </c>
    </row>
    <row r="70" spans="1:2" ht="15.75" customHeight="1" x14ac:dyDescent="0.3">
      <c r="A70" s="2" t="s">
        <v>491</v>
      </c>
      <c r="B70" s="2" t="s">
        <v>2356</v>
      </c>
    </row>
    <row r="71" spans="1:2" ht="15.75" customHeight="1" x14ac:dyDescent="0.3">
      <c r="A71" s="2" t="s">
        <v>2220</v>
      </c>
      <c r="B71" s="2" t="s">
        <v>2359</v>
      </c>
    </row>
    <row r="72" spans="1:2" ht="15.75" customHeight="1" x14ac:dyDescent="0.3">
      <c r="A72" s="2" t="s">
        <v>882</v>
      </c>
      <c r="B72" s="2" t="s">
        <v>2357</v>
      </c>
    </row>
    <row r="73" spans="1:2" ht="15.75" customHeight="1" x14ac:dyDescent="0.3">
      <c r="A73" s="2" t="s">
        <v>559</v>
      </c>
      <c r="B73" s="2" t="s">
        <v>2357</v>
      </c>
    </row>
    <row r="74" spans="1:2" ht="15.75" customHeight="1" x14ac:dyDescent="0.3">
      <c r="A74" s="2" t="s">
        <v>1592</v>
      </c>
      <c r="B74" s="2" t="s">
        <v>2357</v>
      </c>
    </row>
    <row r="75" spans="1:2" ht="15.75" customHeight="1" x14ac:dyDescent="0.3">
      <c r="A75" s="2" t="s">
        <v>1197</v>
      </c>
      <c r="B75" s="2" t="s">
        <v>2356</v>
      </c>
    </row>
    <row r="76" spans="1:2" ht="15.75" customHeight="1" x14ac:dyDescent="0.3">
      <c r="A76" s="2" t="s">
        <v>1215</v>
      </c>
      <c r="B76" s="2" t="s">
        <v>2359</v>
      </c>
    </row>
    <row r="77" spans="1:2" ht="15.75" customHeight="1" x14ac:dyDescent="0.3">
      <c r="A77" s="2" t="s">
        <v>1890</v>
      </c>
      <c r="B77" s="2" t="s">
        <v>2357</v>
      </c>
    </row>
    <row r="78" spans="1:2" ht="15.75" customHeight="1" x14ac:dyDescent="0.3">
      <c r="A78" s="2" t="s">
        <v>1363</v>
      </c>
      <c r="B78" s="2" t="s">
        <v>2359</v>
      </c>
    </row>
    <row r="79" spans="1:2" ht="15.75" customHeight="1" x14ac:dyDescent="0.3">
      <c r="A79" s="2" t="s">
        <v>2201</v>
      </c>
      <c r="B79" s="2" t="s">
        <v>2358</v>
      </c>
    </row>
    <row r="80" spans="1:2" ht="15.75" customHeight="1" x14ac:dyDescent="0.3">
      <c r="A80" s="2" t="s">
        <v>1613</v>
      </c>
      <c r="B80" s="2" t="s">
        <v>2357</v>
      </c>
    </row>
    <row r="81" spans="1:2" ht="15.75" customHeight="1" x14ac:dyDescent="0.3">
      <c r="A81" s="2" t="s">
        <v>1923</v>
      </c>
      <c r="B81" s="2" t="s">
        <v>2357</v>
      </c>
    </row>
    <row r="82" spans="1:2" ht="15.75" customHeight="1" x14ac:dyDescent="0.3">
      <c r="A82" s="2" t="s">
        <v>944</v>
      </c>
      <c r="B82" s="2" t="s">
        <v>2357</v>
      </c>
    </row>
    <row r="83" spans="1:2" ht="15.75" customHeight="1" x14ac:dyDescent="0.3">
      <c r="A83" s="2" t="s">
        <v>1099</v>
      </c>
      <c r="B83" s="2" t="s">
        <v>2357</v>
      </c>
    </row>
    <row r="84" spans="1:2" ht="15.75" customHeight="1" x14ac:dyDescent="0.3">
      <c r="A84" s="2" t="s">
        <v>1335</v>
      </c>
      <c r="B84" s="2" t="s">
        <v>2357</v>
      </c>
    </row>
    <row r="85" spans="1:2" ht="15.75" customHeight="1" x14ac:dyDescent="0.3">
      <c r="A85" s="2" t="s">
        <v>686</v>
      </c>
      <c r="B85" s="2" t="s">
        <v>2359</v>
      </c>
    </row>
    <row r="86" spans="1:2" ht="15.75" customHeight="1" x14ac:dyDescent="0.3">
      <c r="A86" s="2" t="s">
        <v>1475</v>
      </c>
      <c r="B86" s="2" t="s">
        <v>2357</v>
      </c>
    </row>
    <row r="87" spans="1:2" ht="15.75" customHeight="1" x14ac:dyDescent="0.3">
      <c r="A87" s="2" t="s">
        <v>903</v>
      </c>
      <c r="B87" s="2" t="s">
        <v>2356</v>
      </c>
    </row>
    <row r="88" spans="1:2" ht="15.75" customHeight="1" x14ac:dyDescent="0.3">
      <c r="A88" s="2" t="s">
        <v>2042</v>
      </c>
      <c r="B88" s="2" t="s">
        <v>2357</v>
      </c>
    </row>
    <row r="89" spans="1:2" ht="15.75" customHeight="1" x14ac:dyDescent="0.3">
      <c r="A89" s="2" t="s">
        <v>563</v>
      </c>
      <c r="B89" s="2" t="s">
        <v>2357</v>
      </c>
    </row>
    <row r="90" spans="1:2" ht="15.75" customHeight="1" x14ac:dyDescent="0.3">
      <c r="A90" s="2" t="s">
        <v>1987</v>
      </c>
      <c r="B90" s="2" t="s">
        <v>2357</v>
      </c>
    </row>
    <row r="91" spans="1:2" ht="15.75" customHeight="1" x14ac:dyDescent="0.3">
      <c r="A91" s="2" t="s">
        <v>637</v>
      </c>
      <c r="B91" s="2" t="s">
        <v>2357</v>
      </c>
    </row>
    <row r="92" spans="1:2" ht="15.75" customHeight="1" x14ac:dyDescent="0.3">
      <c r="A92" s="2" t="s">
        <v>1861</v>
      </c>
      <c r="B92" s="2" t="s">
        <v>2357</v>
      </c>
    </row>
    <row r="93" spans="1:2" ht="15.75" customHeight="1" x14ac:dyDescent="0.3">
      <c r="A93" s="2" t="s">
        <v>1746</v>
      </c>
      <c r="B93" s="2" t="s">
        <v>2357</v>
      </c>
    </row>
    <row r="94" spans="1:2" ht="15.75" customHeight="1" x14ac:dyDescent="0.3">
      <c r="A94" s="2" t="s">
        <v>2219</v>
      </c>
      <c r="B94" s="2" t="s">
        <v>2357</v>
      </c>
    </row>
    <row r="95" spans="1:2" ht="15.75" customHeight="1" x14ac:dyDescent="0.3">
      <c r="A95" s="2" t="s">
        <v>1275</v>
      </c>
      <c r="B95" s="2" t="s">
        <v>2357</v>
      </c>
    </row>
    <row r="96" spans="1:2" ht="15.75" customHeight="1" x14ac:dyDescent="0.3">
      <c r="A96" s="2" t="s">
        <v>1340</v>
      </c>
      <c r="B96" s="2" t="s">
        <v>2359</v>
      </c>
    </row>
    <row r="97" spans="1:2" ht="15.75" customHeight="1" x14ac:dyDescent="0.3">
      <c r="A97" s="2" t="s">
        <v>475</v>
      </c>
      <c r="B97" s="2" t="s">
        <v>2357</v>
      </c>
    </row>
    <row r="98" spans="1:2" ht="15.75" customHeight="1" x14ac:dyDescent="0.3">
      <c r="A98" s="2" t="s">
        <v>1690</v>
      </c>
      <c r="B98" s="2" t="s">
        <v>2356</v>
      </c>
    </row>
    <row r="99" spans="1:2" ht="15.75" customHeight="1" x14ac:dyDescent="0.3">
      <c r="A99" s="2" t="s">
        <v>854</v>
      </c>
      <c r="B99" s="2" t="s">
        <v>2357</v>
      </c>
    </row>
    <row r="100" spans="1:2" ht="15.75" customHeight="1" x14ac:dyDescent="0.3">
      <c r="A100" s="2" t="s">
        <v>1577</v>
      </c>
      <c r="B100" s="2" t="s">
        <v>2357</v>
      </c>
    </row>
    <row r="101" spans="1:2" ht="15.75" customHeight="1" x14ac:dyDescent="0.3">
      <c r="A101" s="2" t="s">
        <v>2262</v>
      </c>
      <c r="B101" s="2" t="s">
        <v>2357</v>
      </c>
    </row>
    <row r="102" spans="1:2" ht="15.75" customHeight="1" x14ac:dyDescent="0.3">
      <c r="A102" s="2" t="s">
        <v>1821</v>
      </c>
      <c r="B102" s="2" t="s">
        <v>2357</v>
      </c>
    </row>
    <row r="103" spans="1:2" ht="15.75" customHeight="1" x14ac:dyDescent="0.3">
      <c r="A103" s="2" t="s">
        <v>1034</v>
      </c>
      <c r="B103" s="2" t="s">
        <v>2357</v>
      </c>
    </row>
    <row r="104" spans="1:2" ht="15.75" customHeight="1" x14ac:dyDescent="0.3">
      <c r="A104" s="2" t="s">
        <v>2046</v>
      </c>
      <c r="B104" s="2" t="s">
        <v>2356</v>
      </c>
    </row>
    <row r="105" spans="1:2" ht="15.75" customHeight="1" x14ac:dyDescent="0.3">
      <c r="A105" s="2" t="s">
        <v>251</v>
      </c>
      <c r="B105" s="2" t="s">
        <v>2356</v>
      </c>
    </row>
    <row r="106" spans="1:2" ht="15.75" customHeight="1" x14ac:dyDescent="0.3">
      <c r="A106" s="2" t="s">
        <v>672</v>
      </c>
      <c r="B106" s="2" t="s">
        <v>2357</v>
      </c>
    </row>
    <row r="107" spans="1:2" ht="15.75" customHeight="1" x14ac:dyDescent="0.3">
      <c r="A107" s="2" t="s">
        <v>2203</v>
      </c>
      <c r="B107" s="2" t="s">
        <v>2357</v>
      </c>
    </row>
    <row r="108" spans="1:2" ht="15.75" customHeight="1" x14ac:dyDescent="0.3">
      <c r="A108" s="2" t="s">
        <v>1185</v>
      </c>
      <c r="B108" s="2" t="s">
        <v>2357</v>
      </c>
    </row>
    <row r="109" spans="1:2" ht="15.75" customHeight="1" x14ac:dyDescent="0.3">
      <c r="A109" s="2" t="s">
        <v>897</v>
      </c>
      <c r="B109" s="2" t="s">
        <v>2357</v>
      </c>
    </row>
    <row r="110" spans="1:2" ht="15.75" customHeight="1" x14ac:dyDescent="0.3">
      <c r="A110" s="2" t="s">
        <v>1545</v>
      </c>
      <c r="B110" s="2" t="s">
        <v>2357</v>
      </c>
    </row>
    <row r="111" spans="1:2" ht="15.75" customHeight="1" x14ac:dyDescent="0.3">
      <c r="A111" s="2" t="s">
        <v>1169</v>
      </c>
      <c r="B111" s="2" t="s">
        <v>2357</v>
      </c>
    </row>
    <row r="112" spans="1:2" ht="15.75" customHeight="1" x14ac:dyDescent="0.3">
      <c r="A112" s="2" t="s">
        <v>409</v>
      </c>
      <c r="B112" s="2" t="s">
        <v>2357</v>
      </c>
    </row>
    <row r="113" spans="1:2" ht="15.75" customHeight="1" x14ac:dyDescent="0.3">
      <c r="A113" s="2" t="s">
        <v>2194</v>
      </c>
      <c r="B113" s="2" t="s">
        <v>2360</v>
      </c>
    </row>
    <row r="114" spans="1:2" ht="15.75" customHeight="1" x14ac:dyDescent="0.3">
      <c r="A114" s="2" t="s">
        <v>2089</v>
      </c>
      <c r="B114" s="2" t="s">
        <v>2357</v>
      </c>
    </row>
    <row r="115" spans="1:2" ht="15.75" customHeight="1" x14ac:dyDescent="0.3">
      <c r="A115" s="2" t="s">
        <v>301</v>
      </c>
      <c r="B115" s="2" t="s">
        <v>2357</v>
      </c>
    </row>
    <row r="116" spans="1:2" ht="15.75" customHeight="1" x14ac:dyDescent="0.3">
      <c r="A116" s="2" t="s">
        <v>1855</v>
      </c>
      <c r="B116" s="2" t="s">
        <v>2357</v>
      </c>
    </row>
    <row r="117" spans="1:2" ht="15.75" customHeight="1" x14ac:dyDescent="0.3">
      <c r="A117" s="2" t="s">
        <v>1699</v>
      </c>
      <c r="B117" s="2" t="s">
        <v>2356</v>
      </c>
    </row>
    <row r="118" spans="1:2" ht="15.75" customHeight="1" x14ac:dyDescent="0.3">
      <c r="A118" s="2" t="s">
        <v>2181</v>
      </c>
      <c r="B118" s="2" t="s">
        <v>2360</v>
      </c>
    </row>
    <row r="119" spans="1:2" ht="15.75" customHeight="1" x14ac:dyDescent="0.3">
      <c r="A119" s="2" t="s">
        <v>1953</v>
      </c>
      <c r="B119" s="2" t="s">
        <v>2357</v>
      </c>
    </row>
    <row r="120" spans="1:2" ht="15.75" customHeight="1" x14ac:dyDescent="0.3">
      <c r="A120" s="2" t="s">
        <v>2188</v>
      </c>
      <c r="B120" s="2" t="s">
        <v>2359</v>
      </c>
    </row>
    <row r="121" spans="1:2" ht="15.75" customHeight="1" x14ac:dyDescent="0.3">
      <c r="A121" s="2" t="s">
        <v>885</v>
      </c>
      <c r="B121" s="2" t="s">
        <v>2357</v>
      </c>
    </row>
    <row r="122" spans="1:2" ht="15.75" customHeight="1" x14ac:dyDescent="0.3">
      <c r="A122" s="2" t="s">
        <v>1921</v>
      </c>
      <c r="B122" s="2" t="s">
        <v>2357</v>
      </c>
    </row>
    <row r="123" spans="1:2" ht="15.75" customHeight="1" x14ac:dyDescent="0.3">
      <c r="A123" s="2" t="s">
        <v>1680</v>
      </c>
      <c r="B123" s="2" t="s">
        <v>2357</v>
      </c>
    </row>
    <row r="124" spans="1:2" ht="15.75" customHeight="1" x14ac:dyDescent="0.3">
      <c r="A124" s="2" t="s">
        <v>2103</v>
      </c>
      <c r="B124" s="2" t="s">
        <v>2357</v>
      </c>
    </row>
    <row r="125" spans="1:2" ht="15.75" customHeight="1" x14ac:dyDescent="0.3">
      <c r="A125" s="2" t="s">
        <v>1077</v>
      </c>
      <c r="B125" s="2" t="s">
        <v>2357</v>
      </c>
    </row>
    <row r="126" spans="1:2" ht="15.75" customHeight="1" x14ac:dyDescent="0.3">
      <c r="A126" s="2" t="s">
        <v>2143</v>
      </c>
      <c r="B126" s="2" t="s">
        <v>2358</v>
      </c>
    </row>
    <row r="127" spans="1:2" ht="15.75" customHeight="1" x14ac:dyDescent="0.3">
      <c r="A127" s="2" t="s">
        <v>1955</v>
      </c>
      <c r="B127" s="2" t="s">
        <v>2357</v>
      </c>
    </row>
    <row r="128" spans="1:2" ht="15.75" customHeight="1" x14ac:dyDescent="0.3">
      <c r="A128" s="2" t="s">
        <v>1605</v>
      </c>
      <c r="B128" s="2" t="s">
        <v>2357</v>
      </c>
    </row>
    <row r="129" spans="1:2" ht="15.75" customHeight="1" x14ac:dyDescent="0.3">
      <c r="A129" s="2" t="s">
        <v>320</v>
      </c>
      <c r="B129" s="2" t="s">
        <v>2357</v>
      </c>
    </row>
    <row r="130" spans="1:2" ht="15.75" customHeight="1" x14ac:dyDescent="0.3">
      <c r="A130" s="2" t="s">
        <v>1054</v>
      </c>
      <c r="B130" s="2" t="s">
        <v>2357</v>
      </c>
    </row>
    <row r="131" spans="1:2" ht="15.75" customHeight="1" x14ac:dyDescent="0.3">
      <c r="A131" s="2" t="s">
        <v>1709</v>
      </c>
      <c r="B131" s="2" t="s">
        <v>2357</v>
      </c>
    </row>
    <row r="132" spans="1:2" ht="15.75" customHeight="1" x14ac:dyDescent="0.3">
      <c r="A132" s="2" t="s">
        <v>413</v>
      </c>
      <c r="B132" s="2" t="s">
        <v>2357</v>
      </c>
    </row>
    <row r="133" spans="1:2" ht="15.75" customHeight="1" x14ac:dyDescent="0.3">
      <c r="A133" s="2" t="s">
        <v>1596</v>
      </c>
      <c r="B133" s="2" t="s">
        <v>2357</v>
      </c>
    </row>
    <row r="134" spans="1:2" ht="15.75" customHeight="1" x14ac:dyDescent="0.3">
      <c r="A134" s="2" t="s">
        <v>1187</v>
      </c>
      <c r="B134" s="2" t="s">
        <v>2357</v>
      </c>
    </row>
    <row r="135" spans="1:2" ht="15.75" customHeight="1" x14ac:dyDescent="0.3">
      <c r="A135" s="2" t="s">
        <v>1954</v>
      </c>
      <c r="B135" s="2" t="s">
        <v>2357</v>
      </c>
    </row>
    <row r="136" spans="1:2" ht="15.75" customHeight="1" x14ac:dyDescent="0.3">
      <c r="A136" s="2" t="s">
        <v>1731</v>
      </c>
      <c r="B136" s="2" t="s">
        <v>2357</v>
      </c>
    </row>
    <row r="137" spans="1:2" ht="15.75" customHeight="1" x14ac:dyDescent="0.3">
      <c r="A137" s="2" t="s">
        <v>1886</v>
      </c>
      <c r="B137" s="2" t="s">
        <v>2357</v>
      </c>
    </row>
    <row r="138" spans="1:2" ht="15.75" customHeight="1" x14ac:dyDescent="0.3">
      <c r="A138" s="2" t="s">
        <v>1585</v>
      </c>
      <c r="B138" s="2" t="s">
        <v>2357</v>
      </c>
    </row>
    <row r="139" spans="1:2" ht="15.75" customHeight="1" x14ac:dyDescent="0.3">
      <c r="A139" s="2" t="s">
        <v>1177</v>
      </c>
      <c r="B139" s="2" t="s">
        <v>2359</v>
      </c>
    </row>
    <row r="140" spans="1:2" ht="15.75" customHeight="1" x14ac:dyDescent="0.3">
      <c r="A140" s="2" t="s">
        <v>1299</v>
      </c>
      <c r="B140" s="2" t="s">
        <v>2357</v>
      </c>
    </row>
    <row r="141" spans="1:2" ht="15.75" customHeight="1" x14ac:dyDescent="0.3">
      <c r="A141" s="2" t="s">
        <v>2279</v>
      </c>
      <c r="B141" s="2" t="s">
        <v>2360</v>
      </c>
    </row>
    <row r="142" spans="1:2" ht="15.75" customHeight="1" x14ac:dyDescent="0.3">
      <c r="A142" s="2" t="s">
        <v>1383</v>
      </c>
      <c r="B142" s="2" t="s">
        <v>2357</v>
      </c>
    </row>
    <row r="143" spans="1:2" ht="15.75" customHeight="1" x14ac:dyDescent="0.3">
      <c r="A143" s="2" t="s">
        <v>2304</v>
      </c>
      <c r="B143" s="2" t="s">
        <v>2357</v>
      </c>
    </row>
    <row r="144" spans="1:2" ht="15.75" customHeight="1" x14ac:dyDescent="0.3">
      <c r="A144" s="2" t="s">
        <v>430</v>
      </c>
      <c r="B144" s="2" t="s">
        <v>2356</v>
      </c>
    </row>
    <row r="145" spans="1:2" ht="15.75" customHeight="1" x14ac:dyDescent="0.3">
      <c r="A145" s="2" t="s">
        <v>600</v>
      </c>
      <c r="B145" s="2" t="s">
        <v>2357</v>
      </c>
    </row>
    <row r="146" spans="1:2" ht="15.75" customHeight="1" x14ac:dyDescent="0.3">
      <c r="A146" s="2" t="s">
        <v>901</v>
      </c>
      <c r="B146" s="2" t="s">
        <v>2357</v>
      </c>
    </row>
    <row r="147" spans="1:2" ht="15.75" customHeight="1" x14ac:dyDescent="0.3">
      <c r="A147" s="2" t="s">
        <v>1867</v>
      </c>
      <c r="B147" s="2" t="s">
        <v>2357</v>
      </c>
    </row>
    <row r="148" spans="1:2" ht="15.75" customHeight="1" x14ac:dyDescent="0.3">
      <c r="A148" s="2" t="s">
        <v>2342</v>
      </c>
      <c r="B148" s="2" t="s">
        <v>2360</v>
      </c>
    </row>
    <row r="149" spans="1:2" ht="15.75" customHeight="1" x14ac:dyDescent="0.3">
      <c r="A149" s="2" t="s">
        <v>988</v>
      </c>
      <c r="B149" s="2" t="s">
        <v>2359</v>
      </c>
    </row>
    <row r="150" spans="1:2" ht="15.75" customHeight="1" x14ac:dyDescent="0.3">
      <c r="A150" s="2" t="s">
        <v>1220</v>
      </c>
      <c r="B150" s="2" t="s">
        <v>2356</v>
      </c>
    </row>
    <row r="151" spans="1:2" ht="15.75" customHeight="1" x14ac:dyDescent="0.3">
      <c r="A151" s="2" t="s">
        <v>2284</v>
      </c>
      <c r="B151" s="2" t="s">
        <v>2357</v>
      </c>
    </row>
    <row r="152" spans="1:2" ht="15.75" customHeight="1" x14ac:dyDescent="0.3">
      <c r="A152" s="2" t="s">
        <v>1368</v>
      </c>
      <c r="B152" s="2" t="s">
        <v>2357</v>
      </c>
    </row>
    <row r="153" spans="1:2" ht="15.75" customHeight="1" x14ac:dyDescent="0.3">
      <c r="A153" s="2" t="s">
        <v>1198</v>
      </c>
      <c r="B153" s="2" t="s">
        <v>2356</v>
      </c>
    </row>
    <row r="154" spans="1:2" ht="15.75" customHeight="1" x14ac:dyDescent="0.3">
      <c r="A154" s="2" t="s">
        <v>1244</v>
      </c>
      <c r="B154" s="2" t="s">
        <v>2357</v>
      </c>
    </row>
    <row r="155" spans="1:2" ht="15.75" customHeight="1" x14ac:dyDescent="0.3">
      <c r="A155" s="2" t="s">
        <v>2323</v>
      </c>
      <c r="B155" s="2" t="s">
        <v>2359</v>
      </c>
    </row>
    <row r="156" spans="1:2" ht="15.75" customHeight="1" x14ac:dyDescent="0.3">
      <c r="A156" s="2" t="s">
        <v>329</v>
      </c>
      <c r="B156" s="2" t="s">
        <v>2357</v>
      </c>
    </row>
    <row r="157" spans="1:2" ht="15.75" customHeight="1" x14ac:dyDescent="0.3">
      <c r="A157" s="2" t="s">
        <v>356</v>
      </c>
      <c r="B157" s="2" t="s">
        <v>2357</v>
      </c>
    </row>
    <row r="158" spans="1:2" ht="15.75" customHeight="1" x14ac:dyDescent="0.3">
      <c r="A158" s="2" t="s">
        <v>1533</v>
      </c>
      <c r="B158" s="2" t="s">
        <v>2357</v>
      </c>
    </row>
    <row r="159" spans="1:2" ht="15.75" customHeight="1" x14ac:dyDescent="0.3">
      <c r="A159" s="2" t="s">
        <v>1678</v>
      </c>
      <c r="B159" s="2" t="s">
        <v>2357</v>
      </c>
    </row>
    <row r="160" spans="1:2" ht="15.75" customHeight="1" x14ac:dyDescent="0.3">
      <c r="A160" s="2" t="s">
        <v>1463</v>
      </c>
      <c r="B160" s="2" t="s">
        <v>2357</v>
      </c>
    </row>
    <row r="161" spans="1:2" ht="15.75" customHeight="1" x14ac:dyDescent="0.3">
      <c r="A161" s="2" t="s">
        <v>1435</v>
      </c>
      <c r="B161" s="2" t="s">
        <v>2357</v>
      </c>
    </row>
    <row r="162" spans="1:2" ht="15.75" customHeight="1" x14ac:dyDescent="0.3">
      <c r="A162" s="2" t="s">
        <v>1768</v>
      </c>
      <c r="B162" s="2" t="s">
        <v>2357</v>
      </c>
    </row>
    <row r="163" spans="1:2" ht="15.75" customHeight="1" x14ac:dyDescent="0.3">
      <c r="A163" s="2" t="s">
        <v>623</v>
      </c>
      <c r="B163" s="2" t="s">
        <v>2357</v>
      </c>
    </row>
    <row r="164" spans="1:2" ht="15.75" customHeight="1" x14ac:dyDescent="0.3">
      <c r="A164" s="2" t="s">
        <v>1413</v>
      </c>
      <c r="B164" s="2" t="s">
        <v>2357</v>
      </c>
    </row>
    <row r="165" spans="1:2" ht="15.75" customHeight="1" x14ac:dyDescent="0.3">
      <c r="A165" s="2" t="s">
        <v>1934</v>
      </c>
      <c r="B165" s="2" t="s">
        <v>2357</v>
      </c>
    </row>
    <row r="166" spans="1:2" ht="15.75" customHeight="1" x14ac:dyDescent="0.3">
      <c r="A166" s="2" t="s">
        <v>1751</v>
      </c>
      <c r="B166" s="2" t="s">
        <v>2357</v>
      </c>
    </row>
    <row r="167" spans="1:2" ht="15.75" customHeight="1" x14ac:dyDescent="0.3">
      <c r="A167" s="2" t="s">
        <v>1105</v>
      </c>
      <c r="B167" s="2" t="s">
        <v>2359</v>
      </c>
    </row>
    <row r="168" spans="1:2" ht="15.75" customHeight="1" x14ac:dyDescent="0.3">
      <c r="A168" s="2" t="s">
        <v>742</v>
      </c>
      <c r="B168" s="2" t="s">
        <v>2357</v>
      </c>
    </row>
    <row r="169" spans="1:2" ht="15.75" customHeight="1" x14ac:dyDescent="0.3">
      <c r="A169" s="2" t="s">
        <v>2335</v>
      </c>
      <c r="B169" s="2" t="s">
        <v>2358</v>
      </c>
    </row>
    <row r="170" spans="1:2" ht="15.75" customHeight="1" x14ac:dyDescent="0.3">
      <c r="A170" s="2" t="s">
        <v>968</v>
      </c>
      <c r="B170" s="2" t="s">
        <v>2357</v>
      </c>
    </row>
    <row r="171" spans="1:2" ht="15.75" customHeight="1" x14ac:dyDescent="0.3">
      <c r="A171" s="2" t="s">
        <v>1010</v>
      </c>
      <c r="B171" s="2" t="s">
        <v>2357</v>
      </c>
    </row>
    <row r="172" spans="1:2" ht="15.75" customHeight="1" x14ac:dyDescent="0.3">
      <c r="A172" s="2" t="s">
        <v>1332</v>
      </c>
      <c r="B172" s="2" t="s">
        <v>2357</v>
      </c>
    </row>
    <row r="173" spans="1:2" ht="15.75" customHeight="1" x14ac:dyDescent="0.3">
      <c r="A173" s="2" t="s">
        <v>1397</v>
      </c>
      <c r="B173" s="2" t="s">
        <v>2357</v>
      </c>
    </row>
    <row r="174" spans="1:2" ht="15.75" customHeight="1" x14ac:dyDescent="0.3">
      <c r="A174" s="2" t="s">
        <v>997</v>
      </c>
      <c r="B174" s="2" t="s">
        <v>2357</v>
      </c>
    </row>
    <row r="175" spans="1:2" ht="15.75" customHeight="1" x14ac:dyDescent="0.3">
      <c r="A175" s="2" t="s">
        <v>1271</v>
      </c>
      <c r="B175" s="2" t="s">
        <v>2357</v>
      </c>
    </row>
    <row r="176" spans="1:2" ht="15.75" customHeight="1" x14ac:dyDescent="0.3">
      <c r="A176" s="2" t="s">
        <v>713</v>
      </c>
      <c r="B176" s="2" t="s">
        <v>2357</v>
      </c>
    </row>
    <row r="177" spans="1:2" ht="15.75" customHeight="1" x14ac:dyDescent="0.3">
      <c r="A177" s="2" t="s">
        <v>2324</v>
      </c>
      <c r="B177" s="2" t="s">
        <v>2357</v>
      </c>
    </row>
    <row r="178" spans="1:2" ht="15.75" customHeight="1" x14ac:dyDescent="0.3">
      <c r="A178" s="2" t="s">
        <v>1603</v>
      </c>
      <c r="B178" s="2" t="s">
        <v>2357</v>
      </c>
    </row>
    <row r="179" spans="1:2" ht="15.75" customHeight="1" x14ac:dyDescent="0.3">
      <c r="A179" s="2" t="s">
        <v>2285</v>
      </c>
      <c r="B179" s="2" t="s">
        <v>2360</v>
      </c>
    </row>
    <row r="180" spans="1:2" ht="15.75" customHeight="1" x14ac:dyDescent="0.3">
      <c r="A180" s="2" t="s">
        <v>132</v>
      </c>
      <c r="B180" s="2" t="s">
        <v>2357</v>
      </c>
    </row>
    <row r="181" spans="1:2" ht="15.75" customHeight="1" x14ac:dyDescent="0.3">
      <c r="A181" s="2" t="s">
        <v>2255</v>
      </c>
      <c r="B181" s="2" t="s">
        <v>2357</v>
      </c>
    </row>
    <row r="182" spans="1:2" ht="15.75" customHeight="1" x14ac:dyDescent="0.3">
      <c r="A182" s="2" t="s">
        <v>97</v>
      </c>
      <c r="B182" s="2" t="s">
        <v>2357</v>
      </c>
    </row>
    <row r="183" spans="1:2" ht="15.75" customHeight="1" x14ac:dyDescent="0.3">
      <c r="A183" s="2" t="s">
        <v>1358</v>
      </c>
      <c r="B183" s="2" t="s">
        <v>2357</v>
      </c>
    </row>
    <row r="184" spans="1:2" ht="15.75" customHeight="1" x14ac:dyDescent="0.3">
      <c r="A184" s="2" t="s">
        <v>2096</v>
      </c>
      <c r="B184" s="2" t="s">
        <v>2357</v>
      </c>
    </row>
    <row r="185" spans="1:2" ht="15.75" customHeight="1" x14ac:dyDescent="0.3">
      <c r="A185" s="2" t="s">
        <v>938</v>
      </c>
      <c r="B185" s="2" t="s">
        <v>2357</v>
      </c>
    </row>
    <row r="186" spans="1:2" ht="15.75" customHeight="1" x14ac:dyDescent="0.3">
      <c r="A186" s="2" t="s">
        <v>1049</v>
      </c>
      <c r="B186" s="2" t="s">
        <v>2357</v>
      </c>
    </row>
    <row r="187" spans="1:2" ht="15.75" customHeight="1" x14ac:dyDescent="0.3">
      <c r="A187" s="2" t="s">
        <v>304</v>
      </c>
      <c r="B187" s="2" t="s">
        <v>2357</v>
      </c>
    </row>
    <row r="188" spans="1:2" ht="15.75" customHeight="1" x14ac:dyDescent="0.3">
      <c r="A188" s="2" t="s">
        <v>1039</v>
      </c>
      <c r="B188" s="2" t="s">
        <v>2357</v>
      </c>
    </row>
    <row r="189" spans="1:2" ht="15.75" customHeight="1" x14ac:dyDescent="0.3">
      <c r="A189" s="2" t="s">
        <v>1762</v>
      </c>
      <c r="B189" s="2" t="s">
        <v>2359</v>
      </c>
    </row>
    <row r="190" spans="1:2" ht="15.75" customHeight="1" x14ac:dyDescent="0.3">
      <c r="A190" s="2" t="s">
        <v>134</v>
      </c>
      <c r="B190" s="2" t="s">
        <v>2357</v>
      </c>
    </row>
    <row r="191" spans="1:2" ht="15.75" customHeight="1" x14ac:dyDescent="0.3">
      <c r="A191" s="2" t="s">
        <v>1874</v>
      </c>
      <c r="B191" s="2" t="s">
        <v>2359</v>
      </c>
    </row>
    <row r="192" spans="1:2" ht="15.75" customHeight="1" x14ac:dyDescent="0.3">
      <c r="A192" s="2" t="s">
        <v>665</v>
      </c>
      <c r="B192" s="2" t="s">
        <v>2357</v>
      </c>
    </row>
    <row r="193" spans="1:2" ht="15.75" customHeight="1" x14ac:dyDescent="0.3">
      <c r="A193" s="2" t="s">
        <v>2340</v>
      </c>
      <c r="B193" s="2" t="s">
        <v>2357</v>
      </c>
    </row>
    <row r="194" spans="1:2" ht="15.75" customHeight="1" x14ac:dyDescent="0.3">
      <c r="A194" s="2" t="s">
        <v>223</v>
      </c>
      <c r="B194" s="2" t="s">
        <v>2357</v>
      </c>
    </row>
    <row r="195" spans="1:2" ht="15.75" customHeight="1" x14ac:dyDescent="0.3">
      <c r="A195" s="2" t="s">
        <v>1344</v>
      </c>
      <c r="B195" s="2" t="s">
        <v>2357</v>
      </c>
    </row>
    <row r="196" spans="1:2" ht="15.75" customHeight="1" x14ac:dyDescent="0.3">
      <c r="A196" s="2" t="s">
        <v>1667</v>
      </c>
      <c r="B196" s="2" t="s">
        <v>2357</v>
      </c>
    </row>
    <row r="197" spans="1:2" ht="15.75" customHeight="1" x14ac:dyDescent="0.3">
      <c r="A197" s="2" t="s">
        <v>1392</v>
      </c>
      <c r="B197" s="2" t="s">
        <v>2357</v>
      </c>
    </row>
    <row r="198" spans="1:2" ht="15.75" customHeight="1" x14ac:dyDescent="0.3">
      <c r="A198" s="2" t="s">
        <v>266</v>
      </c>
      <c r="B198" s="2" t="s">
        <v>2356</v>
      </c>
    </row>
    <row r="199" spans="1:2" ht="15.75" customHeight="1" x14ac:dyDescent="0.3">
      <c r="A199" s="2" t="s">
        <v>280</v>
      </c>
      <c r="B199" s="2" t="s">
        <v>2357</v>
      </c>
    </row>
    <row r="200" spans="1:2" ht="15.75" customHeight="1" x14ac:dyDescent="0.3">
      <c r="A200" s="2" t="s">
        <v>995</v>
      </c>
      <c r="B200" s="2" t="s">
        <v>2357</v>
      </c>
    </row>
    <row r="201" spans="1:2" ht="15.75" customHeight="1" x14ac:dyDescent="0.3">
      <c r="A201" s="2" t="s">
        <v>288</v>
      </c>
      <c r="B201" s="2" t="s">
        <v>2357</v>
      </c>
    </row>
    <row r="202" spans="1:2" ht="15.75" customHeight="1" x14ac:dyDescent="0.3">
      <c r="A202" s="2" t="s">
        <v>2008</v>
      </c>
      <c r="B202" s="2" t="s">
        <v>2357</v>
      </c>
    </row>
    <row r="203" spans="1:2" ht="15.75" customHeight="1" x14ac:dyDescent="0.3">
      <c r="A203" s="2" t="s">
        <v>1506</v>
      </c>
      <c r="B203" s="2" t="s">
        <v>2357</v>
      </c>
    </row>
    <row r="204" spans="1:2" ht="15.75" customHeight="1" x14ac:dyDescent="0.3">
      <c r="A204" s="2" t="s">
        <v>1999</v>
      </c>
      <c r="B204" s="2" t="s">
        <v>2357</v>
      </c>
    </row>
    <row r="205" spans="1:2" ht="15.75" customHeight="1" x14ac:dyDescent="0.3">
      <c r="A205" s="2" t="s">
        <v>1062</v>
      </c>
      <c r="B205" s="2" t="s">
        <v>2357</v>
      </c>
    </row>
    <row r="206" spans="1:2" ht="15.75" customHeight="1" x14ac:dyDescent="0.3">
      <c r="A206" s="2" t="s">
        <v>1995</v>
      </c>
      <c r="B206" s="2" t="s">
        <v>2356</v>
      </c>
    </row>
    <row r="207" spans="1:2" ht="15.75" customHeight="1" x14ac:dyDescent="0.3">
      <c r="A207" s="2" t="s">
        <v>1112</v>
      </c>
      <c r="B207" s="2" t="s">
        <v>2359</v>
      </c>
    </row>
    <row r="208" spans="1:2" ht="15.75" customHeight="1" x14ac:dyDescent="0.3">
      <c r="A208" s="2" t="s">
        <v>989</v>
      </c>
      <c r="B208" s="2" t="s">
        <v>2357</v>
      </c>
    </row>
    <row r="209" spans="1:2" ht="15.75" customHeight="1" x14ac:dyDescent="0.3">
      <c r="A209" s="2" t="s">
        <v>1322</v>
      </c>
      <c r="B209" s="2" t="s">
        <v>2357</v>
      </c>
    </row>
    <row r="210" spans="1:2" ht="15.75" customHeight="1" x14ac:dyDescent="0.3">
      <c r="A210" s="2" t="s">
        <v>1658</v>
      </c>
      <c r="B210" s="2" t="s">
        <v>2356</v>
      </c>
    </row>
    <row r="211" spans="1:2" ht="15.75" customHeight="1" x14ac:dyDescent="0.3">
      <c r="A211" s="2" t="s">
        <v>1575</v>
      </c>
      <c r="B211" s="2" t="s">
        <v>2357</v>
      </c>
    </row>
    <row r="212" spans="1:2" ht="15.75" customHeight="1" x14ac:dyDescent="0.3">
      <c r="A212" s="2" t="s">
        <v>1329</v>
      </c>
      <c r="B212" s="2" t="s">
        <v>2357</v>
      </c>
    </row>
    <row r="213" spans="1:2" ht="15.75" customHeight="1" x14ac:dyDescent="0.3">
      <c r="A213" s="2" t="s">
        <v>931</v>
      </c>
      <c r="B213" s="2" t="s">
        <v>2356</v>
      </c>
    </row>
    <row r="214" spans="1:2" ht="15.75" customHeight="1" x14ac:dyDescent="0.3">
      <c r="A214" s="2" t="s">
        <v>657</v>
      </c>
      <c r="B214" s="2" t="s">
        <v>2357</v>
      </c>
    </row>
    <row r="215" spans="1:2" ht="15.75" customHeight="1" x14ac:dyDescent="0.3">
      <c r="A215" s="2" t="s">
        <v>845</v>
      </c>
      <c r="B215" s="2" t="s">
        <v>2357</v>
      </c>
    </row>
    <row r="216" spans="1:2" ht="15.75" customHeight="1" x14ac:dyDescent="0.3">
      <c r="A216" s="2" t="s">
        <v>313</v>
      </c>
      <c r="B216" s="2" t="s">
        <v>2357</v>
      </c>
    </row>
    <row r="217" spans="1:2" ht="15.75" customHeight="1" x14ac:dyDescent="0.3">
      <c r="A217" s="2" t="s">
        <v>1370</v>
      </c>
      <c r="B217" s="2" t="s">
        <v>2357</v>
      </c>
    </row>
    <row r="218" spans="1:2" ht="15.75" customHeight="1" x14ac:dyDescent="0.3">
      <c r="A218" s="2" t="s">
        <v>1240</v>
      </c>
      <c r="B218" s="2" t="s">
        <v>2357</v>
      </c>
    </row>
    <row r="219" spans="1:2" ht="15.75" customHeight="1" x14ac:dyDescent="0.3">
      <c r="A219" s="2" t="s">
        <v>166</v>
      </c>
      <c r="B219" s="2" t="s">
        <v>2359</v>
      </c>
    </row>
    <row r="220" spans="1:2" ht="15.75" customHeight="1" x14ac:dyDescent="0.3">
      <c r="A220" s="2" t="s">
        <v>432</v>
      </c>
      <c r="B220" s="2" t="s">
        <v>2356</v>
      </c>
    </row>
    <row r="221" spans="1:2" ht="15.75" customHeight="1" x14ac:dyDescent="0.3">
      <c r="A221" s="2" t="s">
        <v>677</v>
      </c>
      <c r="B221" s="2" t="s">
        <v>2357</v>
      </c>
    </row>
    <row r="222" spans="1:2" ht="15.75" customHeight="1" x14ac:dyDescent="0.3">
      <c r="A222" s="2" t="s">
        <v>934</v>
      </c>
      <c r="B222" s="2" t="s">
        <v>2357</v>
      </c>
    </row>
    <row r="223" spans="1:2" ht="15.75" customHeight="1" x14ac:dyDescent="0.3">
      <c r="A223" s="2" t="s">
        <v>1326</v>
      </c>
      <c r="B223" s="2" t="s">
        <v>2357</v>
      </c>
    </row>
    <row r="224" spans="1:2" ht="15.75" customHeight="1" x14ac:dyDescent="0.3">
      <c r="A224" s="2" t="s">
        <v>917</v>
      </c>
      <c r="B224" s="2" t="s">
        <v>2357</v>
      </c>
    </row>
    <row r="225" spans="1:2" ht="15.75" customHeight="1" x14ac:dyDescent="0.3">
      <c r="A225" s="2" t="s">
        <v>1124</v>
      </c>
      <c r="B225" s="2" t="s">
        <v>2357</v>
      </c>
    </row>
    <row r="226" spans="1:2" ht="15.75" customHeight="1" x14ac:dyDescent="0.3">
      <c r="A226" s="2" t="s">
        <v>454</v>
      </c>
      <c r="B226" s="2" t="s">
        <v>2357</v>
      </c>
    </row>
    <row r="227" spans="1:2" ht="15.75" customHeight="1" x14ac:dyDescent="0.3">
      <c r="A227" s="2" t="s">
        <v>1004</v>
      </c>
      <c r="B227" s="2" t="s">
        <v>2357</v>
      </c>
    </row>
    <row r="228" spans="1:2" ht="15.75" customHeight="1" x14ac:dyDescent="0.3">
      <c r="A228" s="2" t="s">
        <v>1512</v>
      </c>
      <c r="B228" s="2" t="s">
        <v>2357</v>
      </c>
    </row>
    <row r="229" spans="1:2" ht="15.75" customHeight="1" x14ac:dyDescent="0.3">
      <c r="A229" s="2" t="s">
        <v>433</v>
      </c>
      <c r="B229" s="2" t="s">
        <v>2356</v>
      </c>
    </row>
    <row r="230" spans="1:2" ht="15.75" customHeight="1" x14ac:dyDescent="0.3">
      <c r="A230" s="2" t="s">
        <v>352</v>
      </c>
      <c r="B230" s="2" t="s">
        <v>2357</v>
      </c>
    </row>
    <row r="231" spans="1:2" ht="15.75" customHeight="1" x14ac:dyDescent="0.3">
      <c r="A231" s="2" t="s">
        <v>415</v>
      </c>
      <c r="B231" s="2" t="s">
        <v>2357</v>
      </c>
    </row>
    <row r="232" spans="1:2" ht="15.75" customHeight="1" x14ac:dyDescent="0.3">
      <c r="A232" s="2" t="s">
        <v>1301</v>
      </c>
      <c r="B232" s="2" t="s">
        <v>2357</v>
      </c>
    </row>
    <row r="233" spans="1:2" ht="15.75" customHeight="1" x14ac:dyDescent="0.3">
      <c r="A233" s="2" t="s">
        <v>1353</v>
      </c>
      <c r="B233" s="2" t="s">
        <v>2357</v>
      </c>
    </row>
    <row r="234" spans="1:2" ht="15.75" customHeight="1" x14ac:dyDescent="0.3">
      <c r="A234" s="2" t="s">
        <v>912</v>
      </c>
      <c r="B234" s="2" t="s">
        <v>2357</v>
      </c>
    </row>
    <row r="235" spans="1:2" ht="15.75" customHeight="1" x14ac:dyDescent="0.3">
      <c r="A235" s="2" t="s">
        <v>840</v>
      </c>
      <c r="B235" s="2" t="s">
        <v>2359</v>
      </c>
    </row>
    <row r="236" spans="1:2" ht="15.75" customHeight="1" x14ac:dyDescent="0.3">
      <c r="A236" s="2" t="s">
        <v>1203</v>
      </c>
      <c r="B236" s="2" t="s">
        <v>2357</v>
      </c>
    </row>
    <row r="237" spans="1:2" ht="15.75" customHeight="1" x14ac:dyDescent="0.3">
      <c r="A237" s="2" t="s">
        <v>2298</v>
      </c>
      <c r="B237" s="2" t="s">
        <v>2357</v>
      </c>
    </row>
    <row r="238" spans="1:2" ht="15.75" customHeight="1" x14ac:dyDescent="0.3">
      <c r="A238" s="2" t="s">
        <v>276</v>
      </c>
      <c r="B238" s="2" t="s">
        <v>2357</v>
      </c>
    </row>
    <row r="239" spans="1:2" ht="15.75" customHeight="1" x14ac:dyDescent="0.3">
      <c r="A239" s="2" t="s">
        <v>480</v>
      </c>
      <c r="B239" s="2" t="s">
        <v>2357</v>
      </c>
    </row>
    <row r="240" spans="1:2" ht="15.75" customHeight="1" x14ac:dyDescent="0.3">
      <c r="A240" s="2" t="s">
        <v>111</v>
      </c>
      <c r="B240" s="2" t="s">
        <v>2357</v>
      </c>
    </row>
    <row r="241" spans="1:2" ht="15.75" customHeight="1" x14ac:dyDescent="0.3">
      <c r="A241" s="2" t="s">
        <v>1355</v>
      </c>
      <c r="B241" s="2" t="s">
        <v>2357</v>
      </c>
    </row>
    <row r="242" spans="1:2" ht="15.75" customHeight="1" x14ac:dyDescent="0.3">
      <c r="A242" s="2" t="s">
        <v>1860</v>
      </c>
      <c r="B242" s="2" t="s">
        <v>2357</v>
      </c>
    </row>
    <row r="243" spans="1:2" ht="15.75" customHeight="1" x14ac:dyDescent="0.3">
      <c r="A243" s="2" t="s">
        <v>1848</v>
      </c>
      <c r="B243" s="2" t="s">
        <v>2357</v>
      </c>
    </row>
    <row r="244" spans="1:2" ht="15.75" customHeight="1" x14ac:dyDescent="0.3">
      <c r="A244" s="2" t="s">
        <v>2316</v>
      </c>
      <c r="B244" s="2" t="s">
        <v>2357</v>
      </c>
    </row>
    <row r="245" spans="1:2" ht="15.75" customHeight="1" x14ac:dyDescent="0.3">
      <c r="A245" s="2" t="s">
        <v>1137</v>
      </c>
      <c r="B245" s="2" t="s">
        <v>2359</v>
      </c>
    </row>
    <row r="246" spans="1:2" ht="15.75" customHeight="1" x14ac:dyDescent="0.3">
      <c r="A246" s="2" t="s">
        <v>2215</v>
      </c>
      <c r="B246" s="2" t="s">
        <v>2357</v>
      </c>
    </row>
    <row r="247" spans="1:2" ht="15.75" customHeight="1" x14ac:dyDescent="0.3">
      <c r="A247" s="2" t="s">
        <v>2202</v>
      </c>
      <c r="B247" s="2" t="s">
        <v>2357</v>
      </c>
    </row>
    <row r="248" spans="1:2" ht="15.75" customHeight="1" x14ac:dyDescent="0.3">
      <c r="A248" s="2" t="s">
        <v>1733</v>
      </c>
      <c r="B248" s="2" t="s">
        <v>2357</v>
      </c>
    </row>
    <row r="249" spans="1:2" ht="15.75" customHeight="1" x14ac:dyDescent="0.3">
      <c r="A249" s="2" t="s">
        <v>1165</v>
      </c>
      <c r="B249" s="2" t="s">
        <v>2357</v>
      </c>
    </row>
    <row r="250" spans="1:2" ht="15.75" customHeight="1" x14ac:dyDescent="0.3">
      <c r="A250" s="2" t="s">
        <v>662</v>
      </c>
      <c r="B250" s="2" t="s">
        <v>2357</v>
      </c>
    </row>
    <row r="251" spans="1:2" ht="15.75" customHeight="1" x14ac:dyDescent="0.3">
      <c r="A251" s="2" t="s">
        <v>1554</v>
      </c>
      <c r="B251" s="2" t="s">
        <v>2356</v>
      </c>
    </row>
    <row r="252" spans="1:2" ht="15.75" customHeight="1" x14ac:dyDescent="0.3">
      <c r="A252" s="2" t="s">
        <v>1460</v>
      </c>
      <c r="B252" s="2" t="s">
        <v>2357</v>
      </c>
    </row>
    <row r="253" spans="1:2" ht="15.75" customHeight="1" x14ac:dyDescent="0.3">
      <c r="A253" s="2" t="s">
        <v>1809</v>
      </c>
      <c r="B253" s="2" t="s">
        <v>2356</v>
      </c>
    </row>
    <row r="254" spans="1:2" ht="15.75" customHeight="1" x14ac:dyDescent="0.3">
      <c r="A254" s="2" t="s">
        <v>1798</v>
      </c>
      <c r="B254" s="2" t="s">
        <v>2357</v>
      </c>
    </row>
    <row r="255" spans="1:2" ht="15.75" customHeight="1" x14ac:dyDescent="0.3">
      <c r="A255" s="2" t="s">
        <v>1094</v>
      </c>
      <c r="B255" s="2" t="s">
        <v>2357</v>
      </c>
    </row>
    <row r="256" spans="1:2" ht="15.75" customHeight="1" x14ac:dyDescent="0.3">
      <c r="A256" s="2" t="s">
        <v>2200</v>
      </c>
      <c r="B256" s="2" t="s">
        <v>2358</v>
      </c>
    </row>
    <row r="257" spans="1:2" ht="15.75" customHeight="1" x14ac:dyDescent="0.3">
      <c r="A257" s="2" t="s">
        <v>1018</v>
      </c>
      <c r="B257" s="2" t="s">
        <v>2357</v>
      </c>
    </row>
    <row r="258" spans="1:2" ht="15.75" customHeight="1" x14ac:dyDescent="0.3">
      <c r="A258" s="2" t="s">
        <v>1492</v>
      </c>
      <c r="B258" s="2" t="s">
        <v>2357</v>
      </c>
    </row>
    <row r="259" spans="1:2" ht="15.75" customHeight="1" x14ac:dyDescent="0.3">
      <c r="A259" s="2" t="s">
        <v>1629</v>
      </c>
      <c r="B259" s="2" t="s">
        <v>2357</v>
      </c>
    </row>
    <row r="260" spans="1:2" ht="15.75" customHeight="1" x14ac:dyDescent="0.3">
      <c r="A260" s="2" t="s">
        <v>1714</v>
      </c>
      <c r="B260" s="2" t="s">
        <v>2357</v>
      </c>
    </row>
    <row r="261" spans="1:2" ht="15.75" customHeight="1" x14ac:dyDescent="0.3">
      <c r="A261" s="2" t="s">
        <v>1283</v>
      </c>
      <c r="B261" s="2" t="s">
        <v>2357</v>
      </c>
    </row>
    <row r="262" spans="1:2" ht="15.75" customHeight="1" x14ac:dyDescent="0.3">
      <c r="A262" s="2" t="s">
        <v>746</v>
      </c>
      <c r="B262" s="2" t="s">
        <v>2357</v>
      </c>
    </row>
    <row r="263" spans="1:2" ht="15.75" customHeight="1" x14ac:dyDescent="0.3">
      <c r="A263" s="2" t="s">
        <v>909</v>
      </c>
      <c r="B263" s="2" t="s">
        <v>2357</v>
      </c>
    </row>
    <row r="264" spans="1:2" ht="15.75" customHeight="1" x14ac:dyDescent="0.3">
      <c r="A264" s="2" t="s">
        <v>2023</v>
      </c>
      <c r="B264" s="2" t="s">
        <v>2356</v>
      </c>
    </row>
    <row r="265" spans="1:2" ht="15.75" customHeight="1" x14ac:dyDescent="0.3">
      <c r="A265" s="2" t="s">
        <v>1108</v>
      </c>
      <c r="B265" s="2" t="s">
        <v>2357</v>
      </c>
    </row>
    <row r="266" spans="1:2" ht="15.75" customHeight="1" x14ac:dyDescent="0.3">
      <c r="A266" s="2" t="s">
        <v>1388</v>
      </c>
      <c r="B266" s="2" t="s">
        <v>2357</v>
      </c>
    </row>
    <row r="267" spans="1:2" ht="15.75" customHeight="1" x14ac:dyDescent="0.3">
      <c r="A267" s="2" t="s">
        <v>2308</v>
      </c>
      <c r="B267" s="2" t="s">
        <v>2358</v>
      </c>
    </row>
    <row r="268" spans="1:2" ht="15.75" customHeight="1" x14ac:dyDescent="0.3">
      <c r="A268" s="2" t="s">
        <v>1737</v>
      </c>
      <c r="B268" s="2" t="s">
        <v>2357</v>
      </c>
    </row>
    <row r="269" spans="1:2" ht="15.75" customHeight="1" x14ac:dyDescent="0.3">
      <c r="A269" s="2" t="s">
        <v>1997</v>
      </c>
      <c r="B269" s="2" t="s">
        <v>2357</v>
      </c>
    </row>
    <row r="270" spans="1:2" ht="15.75" customHeight="1" x14ac:dyDescent="0.3">
      <c r="A270" s="2" t="s">
        <v>380</v>
      </c>
      <c r="B270" s="2" t="s">
        <v>2356</v>
      </c>
    </row>
    <row r="271" spans="1:2" ht="15.75" customHeight="1" x14ac:dyDescent="0.3">
      <c r="A271" s="2" t="s">
        <v>2020</v>
      </c>
      <c r="B271" s="2" t="s">
        <v>2357</v>
      </c>
    </row>
    <row r="272" spans="1:2" ht="15.75" customHeight="1" x14ac:dyDescent="0.3">
      <c r="A272" s="2" t="s">
        <v>2222</v>
      </c>
      <c r="B272" s="2" t="s">
        <v>2360</v>
      </c>
    </row>
    <row r="273" spans="1:2" ht="15.75" customHeight="1" x14ac:dyDescent="0.3">
      <c r="A273" s="2" t="s">
        <v>372</v>
      </c>
      <c r="B273" s="2" t="s">
        <v>2357</v>
      </c>
    </row>
    <row r="274" spans="1:2" ht="15.75" customHeight="1" x14ac:dyDescent="0.3">
      <c r="A274" s="2" t="s">
        <v>704</v>
      </c>
      <c r="B274" s="2" t="s">
        <v>2357</v>
      </c>
    </row>
    <row r="275" spans="1:2" ht="15.75" customHeight="1" x14ac:dyDescent="0.3">
      <c r="A275" s="2" t="s">
        <v>2155</v>
      </c>
      <c r="B275" s="2" t="s">
        <v>2360</v>
      </c>
    </row>
    <row r="276" spans="1:2" ht="15.75" customHeight="1" x14ac:dyDescent="0.3">
      <c r="A276" s="2" t="s">
        <v>1347</v>
      </c>
      <c r="B276" s="2" t="s">
        <v>2356</v>
      </c>
    </row>
    <row r="277" spans="1:2" ht="15.75" customHeight="1" x14ac:dyDescent="0.3">
      <c r="A277" s="2" t="s">
        <v>1183</v>
      </c>
      <c r="B277" s="2" t="s">
        <v>2357</v>
      </c>
    </row>
    <row r="278" spans="1:2" ht="15.75" customHeight="1" x14ac:dyDescent="0.3">
      <c r="A278" s="2" t="s">
        <v>447</v>
      </c>
      <c r="B278" s="2" t="s">
        <v>2357</v>
      </c>
    </row>
    <row r="279" spans="1:2" ht="15.75" customHeight="1" x14ac:dyDescent="0.3">
      <c r="A279" s="2" t="s">
        <v>407</v>
      </c>
      <c r="B279" s="2" t="s">
        <v>2357</v>
      </c>
    </row>
    <row r="280" spans="1:2" ht="15.75" customHeight="1" x14ac:dyDescent="0.3">
      <c r="A280" s="2" t="s">
        <v>2006</v>
      </c>
      <c r="B280" s="2" t="s">
        <v>2357</v>
      </c>
    </row>
    <row r="281" spans="1:2" ht="15.75" customHeight="1" x14ac:dyDescent="0.3">
      <c r="A281" s="2" t="s">
        <v>1517</v>
      </c>
      <c r="B281" s="2" t="s">
        <v>2357</v>
      </c>
    </row>
    <row r="282" spans="1:2" ht="15.75" customHeight="1" x14ac:dyDescent="0.3">
      <c r="A282" s="2" t="s">
        <v>1032</v>
      </c>
      <c r="B282" s="2" t="s">
        <v>2357</v>
      </c>
    </row>
    <row r="283" spans="1:2" ht="15.75" customHeight="1" x14ac:dyDescent="0.3">
      <c r="A283" s="2" t="s">
        <v>2026</v>
      </c>
      <c r="B283" s="2" t="s">
        <v>2357</v>
      </c>
    </row>
    <row r="284" spans="1:2" ht="15.75" customHeight="1" x14ac:dyDescent="0.3">
      <c r="A284" s="2" t="s">
        <v>1284</v>
      </c>
      <c r="B284" s="2" t="s">
        <v>2357</v>
      </c>
    </row>
    <row r="285" spans="1:2" ht="15.75" customHeight="1" x14ac:dyDescent="0.3">
      <c r="A285" s="2" t="s">
        <v>2011</v>
      </c>
      <c r="B285" s="2" t="s">
        <v>2356</v>
      </c>
    </row>
    <row r="286" spans="1:2" ht="15.75" customHeight="1" x14ac:dyDescent="0.3">
      <c r="A286" s="2" t="s">
        <v>2132</v>
      </c>
      <c r="B286" s="2" t="s">
        <v>2357</v>
      </c>
    </row>
    <row r="287" spans="1:2" ht="15.75" customHeight="1" x14ac:dyDescent="0.3">
      <c r="A287" s="2" t="s">
        <v>345</v>
      </c>
      <c r="B287" s="2" t="s">
        <v>2357</v>
      </c>
    </row>
    <row r="288" spans="1:2" ht="15.75" customHeight="1" x14ac:dyDescent="0.3">
      <c r="A288" s="2" t="s">
        <v>1257</v>
      </c>
      <c r="B288" s="2" t="s">
        <v>2357</v>
      </c>
    </row>
    <row r="289" spans="1:2" ht="15.75" customHeight="1" x14ac:dyDescent="0.3">
      <c r="A289" s="2" t="s">
        <v>1893</v>
      </c>
      <c r="B289" s="2" t="s">
        <v>2357</v>
      </c>
    </row>
    <row r="290" spans="1:2" ht="15.75" customHeight="1" x14ac:dyDescent="0.3">
      <c r="A290" s="2" t="s">
        <v>807</v>
      </c>
      <c r="B290" s="2" t="s">
        <v>2357</v>
      </c>
    </row>
    <row r="291" spans="1:2" ht="15.75" customHeight="1" x14ac:dyDescent="0.3">
      <c r="A291" s="2" t="s">
        <v>1822</v>
      </c>
      <c r="B291" s="2" t="s">
        <v>2356</v>
      </c>
    </row>
    <row r="292" spans="1:2" ht="15.75" customHeight="1" x14ac:dyDescent="0.3">
      <c r="A292" s="2" t="s">
        <v>1162</v>
      </c>
      <c r="B292" s="2" t="s">
        <v>2359</v>
      </c>
    </row>
    <row r="293" spans="1:2" ht="15.75" customHeight="1" x14ac:dyDescent="0.3">
      <c r="A293" s="2" t="s">
        <v>1924</v>
      </c>
      <c r="B293" s="2" t="s">
        <v>2357</v>
      </c>
    </row>
    <row r="294" spans="1:2" ht="15.75" customHeight="1" x14ac:dyDescent="0.3">
      <c r="A294" s="2" t="s">
        <v>2079</v>
      </c>
      <c r="B294" s="2" t="s">
        <v>2357</v>
      </c>
    </row>
    <row r="295" spans="1:2" ht="15.75" customHeight="1" x14ac:dyDescent="0.3">
      <c r="A295" s="2" t="s">
        <v>2263</v>
      </c>
      <c r="B295" s="2" t="s">
        <v>2357</v>
      </c>
    </row>
    <row r="296" spans="1:2" ht="15.75" customHeight="1" x14ac:dyDescent="0.3">
      <c r="A296" s="2" t="s">
        <v>2113</v>
      </c>
      <c r="B296" s="2" t="s">
        <v>2357</v>
      </c>
    </row>
    <row r="297" spans="1:2" ht="15.75" customHeight="1" x14ac:dyDescent="0.3">
      <c r="A297" s="2" t="s">
        <v>1464</v>
      </c>
      <c r="B297" s="2" t="s">
        <v>2357</v>
      </c>
    </row>
    <row r="298" spans="1:2" ht="15.75" customHeight="1" x14ac:dyDescent="0.3">
      <c r="A298" s="2" t="s">
        <v>604</v>
      </c>
      <c r="B298" s="2" t="s">
        <v>2357</v>
      </c>
    </row>
    <row r="299" spans="1:2" ht="15.75" customHeight="1" x14ac:dyDescent="0.3">
      <c r="A299" s="2" t="s">
        <v>2012</v>
      </c>
      <c r="B299" s="2" t="s">
        <v>2357</v>
      </c>
    </row>
    <row r="300" spans="1:2" ht="15.75" customHeight="1" x14ac:dyDescent="0.3">
      <c r="A300" s="2" t="s">
        <v>2341</v>
      </c>
      <c r="B300" s="2" t="s">
        <v>2357</v>
      </c>
    </row>
    <row r="301" spans="1:2" ht="15.75" customHeight="1" x14ac:dyDescent="0.3">
      <c r="A301" s="2" t="s">
        <v>818</v>
      </c>
      <c r="B301" s="2" t="s">
        <v>2357</v>
      </c>
    </row>
    <row r="302" spans="1:2" ht="15.75" customHeight="1" x14ac:dyDescent="0.3">
      <c r="A302" s="2" t="s">
        <v>1929</v>
      </c>
      <c r="B302" s="2" t="s">
        <v>2357</v>
      </c>
    </row>
    <row r="303" spans="1:2" ht="15.75" customHeight="1" x14ac:dyDescent="0.3">
      <c r="A303" s="2" t="s">
        <v>1276</v>
      </c>
      <c r="B303" s="2" t="s">
        <v>2357</v>
      </c>
    </row>
    <row r="304" spans="1:2" ht="15.75" customHeight="1" x14ac:dyDescent="0.3">
      <c r="A304" s="2" t="s">
        <v>2339</v>
      </c>
      <c r="B304" s="2" t="s">
        <v>2357</v>
      </c>
    </row>
    <row r="305" spans="1:2" ht="15.75" customHeight="1" x14ac:dyDescent="0.3">
      <c r="A305" s="2" t="s">
        <v>2343</v>
      </c>
      <c r="B305" s="2" t="s">
        <v>2357</v>
      </c>
    </row>
    <row r="306" spans="1:2" ht="15.75" customHeight="1" x14ac:dyDescent="0.3">
      <c r="A306" s="2" t="s">
        <v>388</v>
      </c>
      <c r="B306" s="2" t="s">
        <v>2357</v>
      </c>
    </row>
    <row r="307" spans="1:2" ht="15.75" customHeight="1" x14ac:dyDescent="0.3">
      <c r="A307" s="2" t="s">
        <v>1403</v>
      </c>
      <c r="B307" s="2" t="s">
        <v>2357</v>
      </c>
    </row>
    <row r="308" spans="1:2" ht="15.75" customHeight="1" x14ac:dyDescent="0.3">
      <c r="A308" s="2" t="s">
        <v>417</v>
      </c>
      <c r="B308" s="2" t="s">
        <v>2357</v>
      </c>
    </row>
    <row r="309" spans="1:2" ht="15.75" customHeight="1" x14ac:dyDescent="0.3">
      <c r="A309" s="2" t="s">
        <v>1957</v>
      </c>
      <c r="B309" s="2" t="s">
        <v>2356</v>
      </c>
    </row>
    <row r="310" spans="1:2" ht="15.75" customHeight="1" x14ac:dyDescent="0.3">
      <c r="A310" s="2" t="s">
        <v>1664</v>
      </c>
      <c r="B310" s="2" t="s">
        <v>2357</v>
      </c>
    </row>
    <row r="311" spans="1:2" ht="15.75" customHeight="1" x14ac:dyDescent="0.3">
      <c r="A311" s="2" t="s">
        <v>1878</v>
      </c>
      <c r="B311" s="2" t="s">
        <v>2357</v>
      </c>
    </row>
    <row r="312" spans="1:2" ht="15.75" customHeight="1" x14ac:dyDescent="0.3">
      <c r="A312" s="2" t="s">
        <v>1132</v>
      </c>
      <c r="B312" s="2" t="s">
        <v>2357</v>
      </c>
    </row>
    <row r="313" spans="1:2" ht="15.75" customHeight="1" x14ac:dyDescent="0.3">
      <c r="A313" s="2" t="s">
        <v>1969</v>
      </c>
      <c r="B313" s="2" t="s">
        <v>2356</v>
      </c>
    </row>
    <row r="314" spans="1:2" ht="15.75" customHeight="1" x14ac:dyDescent="0.3">
      <c r="A314" s="2" t="s">
        <v>1261</v>
      </c>
      <c r="B314" s="2" t="s">
        <v>2356</v>
      </c>
    </row>
    <row r="315" spans="1:2" ht="15.75" customHeight="1" x14ac:dyDescent="0.3">
      <c r="A315" s="2" t="s">
        <v>1802</v>
      </c>
      <c r="B315" s="2" t="s">
        <v>2357</v>
      </c>
    </row>
    <row r="316" spans="1:2" ht="15.75" customHeight="1" x14ac:dyDescent="0.3">
      <c r="A316" s="2" t="s">
        <v>723</v>
      </c>
      <c r="B316" s="2" t="s">
        <v>2356</v>
      </c>
    </row>
    <row r="317" spans="1:2" ht="15.75" customHeight="1" x14ac:dyDescent="0.3">
      <c r="A317" s="2" t="s">
        <v>880</v>
      </c>
      <c r="B317" s="2" t="s">
        <v>2357</v>
      </c>
    </row>
    <row r="318" spans="1:2" ht="15.75" customHeight="1" x14ac:dyDescent="0.3">
      <c r="A318" s="2" t="s">
        <v>1705</v>
      </c>
      <c r="B318" s="2" t="s">
        <v>2357</v>
      </c>
    </row>
    <row r="319" spans="1:2" ht="15.75" customHeight="1" x14ac:dyDescent="0.3">
      <c r="A319" s="2" t="s">
        <v>1824</v>
      </c>
      <c r="B319" s="2" t="s">
        <v>2357</v>
      </c>
    </row>
    <row r="320" spans="1:2" ht="15.75" customHeight="1" x14ac:dyDescent="0.3">
      <c r="A320" s="2" t="s">
        <v>1716</v>
      </c>
      <c r="B320" s="2" t="s">
        <v>2356</v>
      </c>
    </row>
    <row r="321" spans="1:2" ht="15.75" customHeight="1" x14ac:dyDescent="0.3">
      <c r="A321" s="2" t="s">
        <v>800</v>
      </c>
      <c r="B321" s="2" t="s">
        <v>2357</v>
      </c>
    </row>
    <row r="322" spans="1:2" ht="15.75" customHeight="1" x14ac:dyDescent="0.3">
      <c r="A322" s="2" t="s">
        <v>1990</v>
      </c>
      <c r="B322" s="2" t="s">
        <v>2356</v>
      </c>
    </row>
    <row r="323" spans="1:2" ht="15.75" customHeight="1" x14ac:dyDescent="0.3">
      <c r="A323" s="2" t="s">
        <v>2278</v>
      </c>
      <c r="B323" s="2" t="s">
        <v>2359</v>
      </c>
    </row>
    <row r="324" spans="1:2" ht="15.75" customHeight="1" x14ac:dyDescent="0.3">
      <c r="A324" s="2" t="s">
        <v>1399</v>
      </c>
      <c r="B324" s="2" t="s">
        <v>2357</v>
      </c>
    </row>
    <row r="325" spans="1:2" ht="15.75" customHeight="1" x14ac:dyDescent="0.3">
      <c r="A325" s="2" t="s">
        <v>2052</v>
      </c>
      <c r="B325" s="2" t="s">
        <v>2357</v>
      </c>
    </row>
    <row r="326" spans="1:2" ht="15.75" customHeight="1" x14ac:dyDescent="0.3">
      <c r="A326" s="2" t="s">
        <v>1587</v>
      </c>
      <c r="B326" s="2" t="s">
        <v>2357</v>
      </c>
    </row>
    <row r="327" spans="1:2" ht="15.75" customHeight="1" x14ac:dyDescent="0.3">
      <c r="A327" s="2" t="s">
        <v>42</v>
      </c>
      <c r="B327" s="2" t="s">
        <v>2357</v>
      </c>
    </row>
    <row r="328" spans="1:2" ht="15.75" customHeight="1" x14ac:dyDescent="0.3">
      <c r="A328" s="2" t="s">
        <v>1294</v>
      </c>
      <c r="B328" s="2" t="s">
        <v>2356</v>
      </c>
    </row>
    <row r="329" spans="1:2" ht="15.75" customHeight="1" x14ac:dyDescent="0.3">
      <c r="A329" s="2" t="s">
        <v>471</v>
      </c>
      <c r="B329" s="2" t="s">
        <v>2357</v>
      </c>
    </row>
    <row r="330" spans="1:2" ht="15.75" customHeight="1" x14ac:dyDescent="0.3">
      <c r="A330" s="2" t="s">
        <v>1634</v>
      </c>
      <c r="B330" s="2" t="s">
        <v>2356</v>
      </c>
    </row>
    <row r="331" spans="1:2" ht="15.75" customHeight="1" x14ac:dyDescent="0.3">
      <c r="A331" s="2" t="s">
        <v>710</v>
      </c>
      <c r="B331" s="2" t="s">
        <v>2357</v>
      </c>
    </row>
    <row r="332" spans="1:2" ht="15.75" customHeight="1" x14ac:dyDescent="0.3">
      <c r="A332" s="2" t="s">
        <v>951</v>
      </c>
      <c r="B332" s="2" t="s">
        <v>2357</v>
      </c>
    </row>
    <row r="333" spans="1:2" ht="15.75" customHeight="1" x14ac:dyDescent="0.3">
      <c r="A333" s="2" t="s">
        <v>2305</v>
      </c>
      <c r="B333" s="2" t="s">
        <v>2357</v>
      </c>
    </row>
    <row r="334" spans="1:2" ht="15.75" customHeight="1" x14ac:dyDescent="0.3">
      <c r="A334" s="2" t="s">
        <v>2115</v>
      </c>
      <c r="B334" s="2" t="s">
        <v>2357</v>
      </c>
    </row>
    <row r="335" spans="1:2" ht="15.75" customHeight="1" x14ac:dyDescent="0.3">
      <c r="A335" s="2" t="s">
        <v>573</v>
      </c>
      <c r="B335" s="2" t="s">
        <v>2359</v>
      </c>
    </row>
    <row r="336" spans="1:2" ht="15.75" customHeight="1" x14ac:dyDescent="0.3">
      <c r="A336" s="2" t="s">
        <v>1915</v>
      </c>
      <c r="B336" s="2" t="s">
        <v>2357</v>
      </c>
    </row>
    <row r="337" spans="1:2" ht="15.75" customHeight="1" x14ac:dyDescent="0.3">
      <c r="A337" s="2" t="s">
        <v>315</v>
      </c>
      <c r="B337" s="2" t="s">
        <v>2357</v>
      </c>
    </row>
    <row r="338" spans="1:2" ht="15.75" customHeight="1" x14ac:dyDescent="0.3">
      <c r="A338" s="2" t="s">
        <v>1042</v>
      </c>
      <c r="B338" s="2" t="s">
        <v>2357</v>
      </c>
    </row>
    <row r="339" spans="1:2" ht="15.75" customHeight="1" x14ac:dyDescent="0.3">
      <c r="A339" s="2" t="s">
        <v>2131</v>
      </c>
      <c r="B339" s="2" t="s">
        <v>2357</v>
      </c>
    </row>
    <row r="340" spans="1:2" ht="15.75" customHeight="1" x14ac:dyDescent="0.3">
      <c r="A340" s="2" t="s">
        <v>2182</v>
      </c>
      <c r="B340" s="2" t="s">
        <v>2357</v>
      </c>
    </row>
    <row r="341" spans="1:2" ht="15.75" customHeight="1" x14ac:dyDescent="0.3">
      <c r="A341" s="2" t="s">
        <v>1994</v>
      </c>
      <c r="B341" s="2" t="s">
        <v>2357</v>
      </c>
    </row>
    <row r="342" spans="1:2" ht="15.75" customHeight="1" x14ac:dyDescent="0.3">
      <c r="A342" s="2" t="s">
        <v>1430</v>
      </c>
      <c r="B342" s="2" t="s">
        <v>2357</v>
      </c>
    </row>
    <row r="343" spans="1:2" ht="15.75" customHeight="1" x14ac:dyDescent="0.3">
      <c r="A343" s="2" t="s">
        <v>1914</v>
      </c>
      <c r="B343" s="2" t="s">
        <v>2357</v>
      </c>
    </row>
    <row r="344" spans="1:2" ht="15.75" customHeight="1" x14ac:dyDescent="0.3">
      <c r="A344" s="2" t="s">
        <v>1727</v>
      </c>
      <c r="B344" s="2" t="s">
        <v>2357</v>
      </c>
    </row>
    <row r="345" spans="1:2" ht="15.75" customHeight="1" x14ac:dyDescent="0.3">
      <c r="A345" s="2" t="s">
        <v>1950</v>
      </c>
      <c r="B345" s="2" t="s">
        <v>2356</v>
      </c>
    </row>
    <row r="346" spans="1:2" ht="15.75" customHeight="1" x14ac:dyDescent="0.3">
      <c r="A346" s="2" t="s">
        <v>2217</v>
      </c>
      <c r="B346" s="2" t="s">
        <v>2360</v>
      </c>
    </row>
    <row r="347" spans="1:2" ht="15.75" customHeight="1" x14ac:dyDescent="0.3">
      <c r="A347" s="2" t="s">
        <v>639</v>
      </c>
      <c r="B347" s="2" t="s">
        <v>2357</v>
      </c>
    </row>
    <row r="348" spans="1:2" ht="15.75" customHeight="1" x14ac:dyDescent="0.3">
      <c r="A348" s="2" t="s">
        <v>2240</v>
      </c>
      <c r="B348" s="2" t="s">
        <v>2360</v>
      </c>
    </row>
    <row r="349" spans="1:2" ht="15.75" customHeight="1" x14ac:dyDescent="0.3">
      <c r="A349" s="2" t="s">
        <v>1774</v>
      </c>
      <c r="B349" s="2" t="s">
        <v>2359</v>
      </c>
    </row>
    <row r="350" spans="1:2" ht="15.75" customHeight="1" x14ac:dyDescent="0.3">
      <c r="A350" s="2" t="s">
        <v>1443</v>
      </c>
      <c r="B350" s="2" t="s">
        <v>2357</v>
      </c>
    </row>
    <row r="351" spans="1:2" ht="15.75" customHeight="1" x14ac:dyDescent="0.3">
      <c r="A351" s="2" t="s">
        <v>1660</v>
      </c>
      <c r="B351" s="2" t="s">
        <v>2357</v>
      </c>
    </row>
    <row r="352" spans="1:2" ht="15.75" customHeight="1" x14ac:dyDescent="0.3">
      <c r="A352" s="2" t="s">
        <v>1621</v>
      </c>
      <c r="B352" s="2" t="s">
        <v>2357</v>
      </c>
    </row>
    <row r="353" spans="1:2" ht="15.75" customHeight="1" x14ac:dyDescent="0.3">
      <c r="A353" s="2" t="s">
        <v>828</v>
      </c>
      <c r="B353" s="2" t="s">
        <v>2356</v>
      </c>
    </row>
    <row r="354" spans="1:2" ht="15.75" customHeight="1" x14ac:dyDescent="0.3">
      <c r="A354" s="2" t="s">
        <v>1212</v>
      </c>
      <c r="B354" s="2" t="s">
        <v>2357</v>
      </c>
    </row>
    <row r="355" spans="1:2" ht="15.75" customHeight="1" x14ac:dyDescent="0.3">
      <c r="A355" s="2" t="s">
        <v>1486</v>
      </c>
      <c r="B355" s="2" t="s">
        <v>2359</v>
      </c>
    </row>
    <row r="356" spans="1:2" ht="15.75" customHeight="1" x14ac:dyDescent="0.3">
      <c r="A356" s="2" t="s">
        <v>822</v>
      </c>
      <c r="B356" s="2" t="s">
        <v>2357</v>
      </c>
    </row>
    <row r="357" spans="1:2" ht="15.75" customHeight="1" x14ac:dyDescent="0.3">
      <c r="A357" s="2" t="s">
        <v>2178</v>
      </c>
      <c r="B357" s="2" t="s">
        <v>2358</v>
      </c>
    </row>
    <row r="358" spans="1:2" ht="15.75" customHeight="1" x14ac:dyDescent="0.3">
      <c r="A358" s="2" t="s">
        <v>2207</v>
      </c>
      <c r="B358" s="2" t="s">
        <v>2357</v>
      </c>
    </row>
    <row r="359" spans="1:2" ht="15.75" customHeight="1" x14ac:dyDescent="0.3">
      <c r="A359" s="2" t="s">
        <v>620</v>
      </c>
      <c r="B359" s="2" t="s">
        <v>2357</v>
      </c>
    </row>
    <row r="360" spans="1:2" ht="15.75" customHeight="1" x14ac:dyDescent="0.3">
      <c r="A360" s="2" t="s">
        <v>2145</v>
      </c>
      <c r="B360" s="2" t="s">
        <v>2358</v>
      </c>
    </row>
    <row r="361" spans="1:2" ht="15.75" customHeight="1" x14ac:dyDescent="0.3">
      <c r="A361" s="2" t="s">
        <v>2101</v>
      </c>
      <c r="B361" s="2" t="s">
        <v>2357</v>
      </c>
    </row>
    <row r="362" spans="1:2" ht="15.75" customHeight="1" x14ac:dyDescent="0.3">
      <c r="A362" s="2" t="s">
        <v>852</v>
      </c>
      <c r="B362" s="2" t="s">
        <v>2357</v>
      </c>
    </row>
    <row r="363" spans="1:2" ht="15.75" customHeight="1" x14ac:dyDescent="0.3">
      <c r="A363" s="2" t="s">
        <v>973</v>
      </c>
      <c r="B363" s="2" t="s">
        <v>2357</v>
      </c>
    </row>
    <row r="364" spans="1:2" ht="15.75" customHeight="1" x14ac:dyDescent="0.3">
      <c r="A364" s="2" t="s">
        <v>1431</v>
      </c>
      <c r="B364" s="2" t="s">
        <v>2357</v>
      </c>
    </row>
    <row r="365" spans="1:2" ht="15.75" customHeight="1" x14ac:dyDescent="0.3">
      <c r="A365" s="2" t="s">
        <v>1562</v>
      </c>
      <c r="B365" s="2" t="s">
        <v>2357</v>
      </c>
    </row>
    <row r="366" spans="1:2" ht="15.75" customHeight="1" x14ac:dyDescent="0.3">
      <c r="A366" s="2" t="s">
        <v>718</v>
      </c>
      <c r="B366" s="2" t="s">
        <v>2359</v>
      </c>
    </row>
    <row r="367" spans="1:2" ht="15.75" customHeight="1" x14ac:dyDescent="0.3">
      <c r="A367" s="2" t="s">
        <v>611</v>
      </c>
      <c r="B367" s="2" t="s">
        <v>2357</v>
      </c>
    </row>
    <row r="368" spans="1:2" ht="15.75" customHeight="1" x14ac:dyDescent="0.3">
      <c r="A368" s="2" t="s">
        <v>2242</v>
      </c>
      <c r="B368" s="2" t="s">
        <v>2356</v>
      </c>
    </row>
    <row r="369" spans="1:2" ht="15.75" customHeight="1" x14ac:dyDescent="0.3">
      <c r="A369" s="2" t="s">
        <v>1619</v>
      </c>
      <c r="B369" s="2" t="s">
        <v>2357</v>
      </c>
    </row>
    <row r="370" spans="1:2" ht="15.75" customHeight="1" x14ac:dyDescent="0.3">
      <c r="A370" s="2" t="s">
        <v>171</v>
      </c>
      <c r="B370" s="2" t="s">
        <v>2357</v>
      </c>
    </row>
    <row r="371" spans="1:2" ht="15.75" customHeight="1" x14ac:dyDescent="0.3">
      <c r="A371" s="2" t="s">
        <v>1978</v>
      </c>
      <c r="B371" s="2" t="s">
        <v>2356</v>
      </c>
    </row>
    <row r="372" spans="1:2" ht="15.75" customHeight="1" x14ac:dyDescent="0.3">
      <c r="A372" s="2" t="s">
        <v>1006</v>
      </c>
      <c r="B372" s="2" t="s">
        <v>2357</v>
      </c>
    </row>
    <row r="373" spans="1:2" ht="15.75" customHeight="1" x14ac:dyDescent="0.3">
      <c r="A373" s="2" t="s">
        <v>817</v>
      </c>
      <c r="B373" s="2" t="s">
        <v>2357</v>
      </c>
    </row>
    <row r="374" spans="1:2" ht="15.75" customHeight="1" x14ac:dyDescent="0.3">
      <c r="A374" s="2" t="s">
        <v>2165</v>
      </c>
      <c r="B374" s="2" t="s">
        <v>2360</v>
      </c>
    </row>
    <row r="375" spans="1:2" ht="15.75" customHeight="1" x14ac:dyDescent="0.3">
      <c r="A375" s="2" t="s">
        <v>1494</v>
      </c>
      <c r="B375" s="2" t="s">
        <v>2357</v>
      </c>
    </row>
    <row r="376" spans="1:2" ht="15.75" customHeight="1" x14ac:dyDescent="0.3">
      <c r="A376" s="2" t="s">
        <v>1172</v>
      </c>
      <c r="B376" s="2" t="s">
        <v>2357</v>
      </c>
    </row>
    <row r="377" spans="1:2" ht="15.75" customHeight="1" x14ac:dyDescent="0.3">
      <c r="A377" s="2" t="s">
        <v>648</v>
      </c>
      <c r="B377" s="2" t="s">
        <v>2357</v>
      </c>
    </row>
    <row r="378" spans="1:2" ht="15.75" customHeight="1" x14ac:dyDescent="0.3">
      <c r="A378" s="2" t="s">
        <v>2186</v>
      </c>
      <c r="B378" s="2" t="s">
        <v>2358</v>
      </c>
    </row>
    <row r="379" spans="1:2" ht="15.75" customHeight="1" x14ac:dyDescent="0.3">
      <c r="A379" s="2" t="s">
        <v>312</v>
      </c>
      <c r="B379" s="2" t="s">
        <v>2356</v>
      </c>
    </row>
    <row r="380" spans="1:2" ht="15.75" customHeight="1" x14ac:dyDescent="0.3">
      <c r="A380" s="2" t="s">
        <v>659</v>
      </c>
      <c r="B380" s="2" t="s">
        <v>2357</v>
      </c>
    </row>
    <row r="381" spans="1:2" ht="15.75" customHeight="1" x14ac:dyDescent="0.3">
      <c r="A381" s="2" t="s">
        <v>617</v>
      </c>
      <c r="B381" s="2" t="s">
        <v>2357</v>
      </c>
    </row>
    <row r="382" spans="1:2" ht="15.75" customHeight="1" x14ac:dyDescent="0.3">
      <c r="A382" s="2" t="s">
        <v>2109</v>
      </c>
      <c r="B382" s="2" t="s">
        <v>2356</v>
      </c>
    </row>
    <row r="383" spans="1:2" ht="15.75" customHeight="1" x14ac:dyDescent="0.3">
      <c r="A383" s="2" t="s">
        <v>1882</v>
      </c>
      <c r="B383" s="2" t="s">
        <v>2359</v>
      </c>
    </row>
    <row r="384" spans="1:2" ht="15.75" customHeight="1" x14ac:dyDescent="0.3">
      <c r="A384" s="2" t="s">
        <v>392</v>
      </c>
      <c r="B384" s="2" t="s">
        <v>2356</v>
      </c>
    </row>
    <row r="385" spans="1:2" ht="15.75" customHeight="1" x14ac:dyDescent="0.3">
      <c r="A385" s="2" t="s">
        <v>1642</v>
      </c>
      <c r="B385" s="2" t="s">
        <v>2356</v>
      </c>
    </row>
    <row r="386" spans="1:2" ht="15.75" customHeight="1" x14ac:dyDescent="0.3">
      <c r="A386" s="2" t="s">
        <v>1640</v>
      </c>
      <c r="B386" s="2" t="s">
        <v>2357</v>
      </c>
    </row>
    <row r="387" spans="1:2" ht="15.75" customHeight="1" x14ac:dyDescent="0.3">
      <c r="A387" s="2" t="s">
        <v>736</v>
      </c>
      <c r="B387" s="2" t="s">
        <v>2357</v>
      </c>
    </row>
    <row r="388" spans="1:2" ht="15.75" customHeight="1" x14ac:dyDescent="0.3">
      <c r="A388" s="2" t="s">
        <v>1939</v>
      </c>
      <c r="B388" s="2" t="s">
        <v>2357</v>
      </c>
    </row>
    <row r="389" spans="1:2" ht="15.75" customHeight="1" x14ac:dyDescent="0.3">
      <c r="A389" s="2" t="s">
        <v>1566</v>
      </c>
      <c r="B389" s="2" t="s">
        <v>2357</v>
      </c>
    </row>
    <row r="390" spans="1:2" ht="15.75" customHeight="1" x14ac:dyDescent="0.3">
      <c r="A390" s="2" t="s">
        <v>2329</v>
      </c>
      <c r="B390" s="2" t="s">
        <v>2357</v>
      </c>
    </row>
    <row r="391" spans="1:2" ht="15.75" customHeight="1" x14ac:dyDescent="0.3">
      <c r="A391" s="2" t="s">
        <v>137</v>
      </c>
      <c r="B391" s="2" t="s">
        <v>2356</v>
      </c>
    </row>
    <row r="392" spans="1:2" ht="15.75" customHeight="1" x14ac:dyDescent="0.3">
      <c r="A392" s="2" t="s">
        <v>531</v>
      </c>
      <c r="B392" s="2" t="s">
        <v>2357</v>
      </c>
    </row>
    <row r="393" spans="1:2" ht="15.75" customHeight="1" x14ac:dyDescent="0.3">
      <c r="A393" s="2" t="s">
        <v>2266</v>
      </c>
      <c r="B393" s="2" t="s">
        <v>2357</v>
      </c>
    </row>
    <row r="394" spans="1:2" ht="15.75" customHeight="1" x14ac:dyDescent="0.3">
      <c r="A394" s="2" t="s">
        <v>963</v>
      </c>
      <c r="B394" s="2" t="s">
        <v>2356</v>
      </c>
    </row>
    <row r="395" spans="1:2" ht="15.75" customHeight="1" x14ac:dyDescent="0.3">
      <c r="A395" s="2" t="s">
        <v>658</v>
      </c>
      <c r="B395" s="2" t="s">
        <v>2356</v>
      </c>
    </row>
    <row r="396" spans="1:2" ht="15.75" customHeight="1" x14ac:dyDescent="0.3">
      <c r="A396" s="2" t="s">
        <v>970</v>
      </c>
      <c r="B396" s="2" t="s">
        <v>2357</v>
      </c>
    </row>
    <row r="397" spans="1:2" ht="15.75" customHeight="1" x14ac:dyDescent="0.3">
      <c r="A397" s="2" t="s">
        <v>1611</v>
      </c>
      <c r="B397" s="2" t="s">
        <v>2357</v>
      </c>
    </row>
    <row r="398" spans="1:2" ht="15.75" customHeight="1" x14ac:dyDescent="0.3">
      <c r="A398" s="2" t="s">
        <v>660</v>
      </c>
      <c r="B398" s="2" t="s">
        <v>2357</v>
      </c>
    </row>
    <row r="399" spans="1:2" ht="15.75" customHeight="1" x14ac:dyDescent="0.3">
      <c r="A399" s="2" t="s">
        <v>1333</v>
      </c>
      <c r="B399" s="2" t="s">
        <v>2357</v>
      </c>
    </row>
    <row r="400" spans="1:2" ht="15.75" customHeight="1" x14ac:dyDescent="0.3">
      <c r="A400" s="2" t="s">
        <v>2099</v>
      </c>
      <c r="B400" s="2" t="s">
        <v>2357</v>
      </c>
    </row>
    <row r="401" spans="1:2" ht="15.75" customHeight="1" x14ac:dyDescent="0.3">
      <c r="A401" s="2" t="s">
        <v>823</v>
      </c>
      <c r="B401" s="2" t="s">
        <v>2357</v>
      </c>
    </row>
    <row r="402" spans="1:2" ht="15.75" customHeight="1" x14ac:dyDescent="0.3">
      <c r="A402" s="2" t="s">
        <v>2238</v>
      </c>
      <c r="B402" s="2" t="s">
        <v>2360</v>
      </c>
    </row>
    <row r="403" spans="1:2" ht="15.75" customHeight="1" x14ac:dyDescent="0.3">
      <c r="A403" s="2" t="s">
        <v>670</v>
      </c>
      <c r="B403" s="2" t="s">
        <v>2356</v>
      </c>
    </row>
    <row r="404" spans="1:2" ht="15.75" customHeight="1" x14ac:dyDescent="0.3">
      <c r="A404" s="2" t="s">
        <v>114</v>
      </c>
      <c r="B404" s="2" t="s">
        <v>2357</v>
      </c>
    </row>
    <row r="405" spans="1:2" ht="15.75" customHeight="1" x14ac:dyDescent="0.3">
      <c r="A405" s="2" t="s">
        <v>692</v>
      </c>
      <c r="B405" s="2" t="s">
        <v>2356</v>
      </c>
    </row>
    <row r="406" spans="1:2" ht="15.75" customHeight="1" x14ac:dyDescent="0.3">
      <c r="A406" s="2" t="s">
        <v>1247</v>
      </c>
      <c r="B406" s="2" t="s">
        <v>2357</v>
      </c>
    </row>
    <row r="407" spans="1:2" ht="15.75" customHeight="1" x14ac:dyDescent="0.3">
      <c r="A407" s="2" t="s">
        <v>911</v>
      </c>
      <c r="B407" s="2" t="s">
        <v>2357</v>
      </c>
    </row>
    <row r="408" spans="1:2" ht="15.75" customHeight="1" x14ac:dyDescent="0.3">
      <c r="A408" s="2" t="s">
        <v>1525</v>
      </c>
      <c r="B408" s="2" t="s">
        <v>2357</v>
      </c>
    </row>
    <row r="409" spans="1:2" ht="15.75" customHeight="1" x14ac:dyDescent="0.3">
      <c r="A409" s="2" t="s">
        <v>2161</v>
      </c>
      <c r="B409" s="2" t="s">
        <v>2360</v>
      </c>
    </row>
    <row r="410" spans="1:2" ht="15.75" customHeight="1" x14ac:dyDescent="0.3">
      <c r="A410" s="2" t="s">
        <v>629</v>
      </c>
      <c r="B410" s="2" t="s">
        <v>2357</v>
      </c>
    </row>
    <row r="411" spans="1:2" ht="15.75" customHeight="1" x14ac:dyDescent="0.3">
      <c r="A411" s="2" t="s">
        <v>1000</v>
      </c>
      <c r="B411" s="2" t="s">
        <v>2357</v>
      </c>
    </row>
    <row r="412" spans="1:2" ht="15.75" customHeight="1" x14ac:dyDescent="0.3">
      <c r="A412" s="2" t="s">
        <v>39</v>
      </c>
      <c r="B412" s="2" t="s">
        <v>2357</v>
      </c>
    </row>
    <row r="413" spans="1:2" ht="15.75" customHeight="1" x14ac:dyDescent="0.3">
      <c r="A413" s="2" t="s">
        <v>1362</v>
      </c>
      <c r="B413" s="2" t="s">
        <v>2357</v>
      </c>
    </row>
    <row r="414" spans="1:2" ht="15.75" customHeight="1" x14ac:dyDescent="0.3">
      <c r="A414" s="2" t="s">
        <v>929</v>
      </c>
      <c r="B414" s="2" t="s">
        <v>2357</v>
      </c>
    </row>
    <row r="415" spans="1:2" ht="15.75" customHeight="1" x14ac:dyDescent="0.3">
      <c r="A415" s="2" t="s">
        <v>1394</v>
      </c>
      <c r="B415" s="2" t="s">
        <v>2356</v>
      </c>
    </row>
    <row r="416" spans="1:2" ht="15.75" customHeight="1" x14ac:dyDescent="0.3">
      <c r="A416" s="2" t="s">
        <v>1801</v>
      </c>
      <c r="B416" s="2" t="s">
        <v>2357</v>
      </c>
    </row>
    <row r="417" spans="1:2" ht="15.75" customHeight="1" x14ac:dyDescent="0.3">
      <c r="A417" s="2" t="s">
        <v>2036</v>
      </c>
      <c r="B417" s="2" t="s">
        <v>2357</v>
      </c>
    </row>
    <row r="418" spans="1:2" ht="15.75" customHeight="1" x14ac:dyDescent="0.3">
      <c r="A418" s="2" t="s">
        <v>1677</v>
      </c>
      <c r="B418" s="2" t="s">
        <v>2357</v>
      </c>
    </row>
    <row r="419" spans="1:2" ht="15.75" customHeight="1" x14ac:dyDescent="0.3">
      <c r="A419" s="2" t="s">
        <v>2076</v>
      </c>
      <c r="B419" s="2" t="s">
        <v>2357</v>
      </c>
    </row>
    <row r="420" spans="1:2" ht="15.75" customHeight="1" x14ac:dyDescent="0.3">
      <c r="A420" s="2" t="s">
        <v>1043</v>
      </c>
      <c r="B420" s="2" t="s">
        <v>2357</v>
      </c>
    </row>
    <row r="421" spans="1:2" ht="15.75" customHeight="1" x14ac:dyDescent="0.3">
      <c r="A421" s="2" t="s">
        <v>1245</v>
      </c>
      <c r="B421" s="2" t="s">
        <v>2356</v>
      </c>
    </row>
    <row r="422" spans="1:2" ht="15.75" customHeight="1" x14ac:dyDescent="0.3">
      <c r="A422" s="2" t="s">
        <v>977</v>
      </c>
      <c r="B422" s="2" t="s">
        <v>2356</v>
      </c>
    </row>
    <row r="423" spans="1:2" ht="15.75" customHeight="1" x14ac:dyDescent="0.3">
      <c r="A423" s="2" t="s">
        <v>286</v>
      </c>
      <c r="B423" s="2" t="s">
        <v>2357</v>
      </c>
    </row>
    <row r="424" spans="1:2" ht="15.75" customHeight="1" x14ac:dyDescent="0.3">
      <c r="A424" s="2" t="s">
        <v>1710</v>
      </c>
      <c r="B424" s="2" t="s">
        <v>2357</v>
      </c>
    </row>
    <row r="425" spans="1:2" ht="15.75" customHeight="1" x14ac:dyDescent="0.3">
      <c r="A425" s="2" t="s">
        <v>1983</v>
      </c>
      <c r="B425" s="2" t="s">
        <v>2357</v>
      </c>
    </row>
    <row r="426" spans="1:2" ht="15.75" customHeight="1" x14ac:dyDescent="0.3">
      <c r="A426" s="2" t="s">
        <v>1925</v>
      </c>
      <c r="B426" s="2" t="s">
        <v>2356</v>
      </c>
    </row>
    <row r="427" spans="1:2" ht="15.75" customHeight="1" x14ac:dyDescent="0.3">
      <c r="A427" s="2" t="s">
        <v>1850</v>
      </c>
      <c r="B427" s="2" t="s">
        <v>2357</v>
      </c>
    </row>
    <row r="428" spans="1:2" ht="15.75" customHeight="1" x14ac:dyDescent="0.3">
      <c r="A428" s="2" t="s">
        <v>1175</v>
      </c>
      <c r="B428" s="2" t="s">
        <v>2357</v>
      </c>
    </row>
    <row r="429" spans="1:2" ht="15.75" customHeight="1" x14ac:dyDescent="0.3">
      <c r="A429" s="2" t="s">
        <v>612</v>
      </c>
      <c r="B429" s="2" t="s">
        <v>2357</v>
      </c>
    </row>
    <row r="430" spans="1:2" ht="15.75" customHeight="1" x14ac:dyDescent="0.3">
      <c r="A430" s="2" t="s">
        <v>2043</v>
      </c>
      <c r="B430" s="2" t="s">
        <v>2357</v>
      </c>
    </row>
    <row r="431" spans="1:2" ht="15.75" customHeight="1" x14ac:dyDescent="0.3">
      <c r="A431" s="2" t="s">
        <v>945</v>
      </c>
      <c r="B431" s="2" t="s">
        <v>2356</v>
      </c>
    </row>
    <row r="432" spans="1:2" ht="15.75" customHeight="1" x14ac:dyDescent="0.3">
      <c r="A432" s="2" t="s">
        <v>769</v>
      </c>
      <c r="B432" s="2" t="s">
        <v>2356</v>
      </c>
    </row>
    <row r="433" spans="1:2" ht="15.75" customHeight="1" x14ac:dyDescent="0.3">
      <c r="A433" s="2" t="s">
        <v>1186</v>
      </c>
      <c r="B433" s="2" t="s">
        <v>2357</v>
      </c>
    </row>
    <row r="434" spans="1:2" ht="15.75" customHeight="1" x14ac:dyDescent="0.3">
      <c r="A434" s="2" t="s">
        <v>212</v>
      </c>
      <c r="B434" s="2" t="s">
        <v>2357</v>
      </c>
    </row>
    <row r="435" spans="1:2" ht="15.75" customHeight="1" x14ac:dyDescent="0.3">
      <c r="A435" s="2" t="s">
        <v>872</v>
      </c>
      <c r="B435" s="2" t="s">
        <v>2359</v>
      </c>
    </row>
    <row r="436" spans="1:2" ht="15.75" customHeight="1" x14ac:dyDescent="0.3">
      <c r="A436" s="2" t="s">
        <v>1243</v>
      </c>
      <c r="B436" s="2" t="s">
        <v>2357</v>
      </c>
    </row>
    <row r="437" spans="1:2" ht="15.75" customHeight="1" x14ac:dyDescent="0.3">
      <c r="A437" s="2" t="s">
        <v>1433</v>
      </c>
      <c r="B437" s="2" t="s">
        <v>2356</v>
      </c>
    </row>
    <row r="438" spans="1:2" ht="15.75" customHeight="1" x14ac:dyDescent="0.3">
      <c r="A438" s="2" t="s">
        <v>1536</v>
      </c>
      <c r="B438" s="2" t="s">
        <v>2357</v>
      </c>
    </row>
    <row r="439" spans="1:2" ht="15.75" customHeight="1" x14ac:dyDescent="0.3">
      <c r="A439" s="2" t="s">
        <v>574</v>
      </c>
      <c r="B439" s="2" t="s">
        <v>2357</v>
      </c>
    </row>
    <row r="440" spans="1:2" ht="15.75" customHeight="1" x14ac:dyDescent="0.3">
      <c r="A440" s="2" t="s">
        <v>766</v>
      </c>
      <c r="B440" s="2" t="s">
        <v>2356</v>
      </c>
    </row>
    <row r="441" spans="1:2" ht="15.75" customHeight="1" x14ac:dyDescent="0.3">
      <c r="A441" s="2" t="s">
        <v>1811</v>
      </c>
      <c r="B441" s="2" t="s">
        <v>2357</v>
      </c>
    </row>
    <row r="442" spans="1:2" ht="15.75" customHeight="1" x14ac:dyDescent="0.3">
      <c r="A442" s="2" t="s">
        <v>1295</v>
      </c>
      <c r="B442" s="2" t="s">
        <v>2359</v>
      </c>
    </row>
    <row r="443" spans="1:2" ht="15.75" customHeight="1" x14ac:dyDescent="0.3">
      <c r="A443" s="2" t="s">
        <v>915</v>
      </c>
      <c r="B443" s="2" t="s">
        <v>2357</v>
      </c>
    </row>
    <row r="444" spans="1:2" ht="15.75" customHeight="1" x14ac:dyDescent="0.3">
      <c r="A444" s="2" t="s">
        <v>1204</v>
      </c>
      <c r="B444" s="2" t="s">
        <v>2357</v>
      </c>
    </row>
    <row r="445" spans="1:2" ht="15.75" customHeight="1" x14ac:dyDescent="0.3">
      <c r="A445" s="2" t="s">
        <v>645</v>
      </c>
      <c r="B445" s="2" t="s">
        <v>2357</v>
      </c>
    </row>
    <row r="446" spans="1:2" ht="15.75" customHeight="1" x14ac:dyDescent="0.3">
      <c r="A446" s="2" t="s">
        <v>953</v>
      </c>
      <c r="B446" s="2" t="s">
        <v>2357</v>
      </c>
    </row>
    <row r="447" spans="1:2" ht="15.75" customHeight="1" x14ac:dyDescent="0.3">
      <c r="A447" s="2" t="s">
        <v>1941</v>
      </c>
      <c r="B447" s="2" t="s">
        <v>2357</v>
      </c>
    </row>
    <row r="448" spans="1:2" ht="15.75" customHeight="1" x14ac:dyDescent="0.3">
      <c r="A448" s="2" t="s">
        <v>2345</v>
      </c>
      <c r="B448" s="2" t="s">
        <v>2360</v>
      </c>
    </row>
    <row r="449" spans="1:2" ht="15.75" customHeight="1" x14ac:dyDescent="0.3">
      <c r="A449" s="2" t="s">
        <v>1964</v>
      </c>
      <c r="B449" s="2" t="s">
        <v>2357</v>
      </c>
    </row>
    <row r="450" spans="1:2" ht="15.75" customHeight="1" x14ac:dyDescent="0.3">
      <c r="A450" s="2" t="s">
        <v>1222</v>
      </c>
      <c r="B450" s="2" t="s">
        <v>2357</v>
      </c>
    </row>
    <row r="451" spans="1:2" ht="15.75" customHeight="1" x14ac:dyDescent="0.3">
      <c r="A451" s="2" t="s">
        <v>1232</v>
      </c>
      <c r="B451" s="2" t="s">
        <v>2357</v>
      </c>
    </row>
    <row r="452" spans="1:2" ht="15.75" customHeight="1" x14ac:dyDescent="0.3">
      <c r="A452" s="2" t="s">
        <v>691</v>
      </c>
      <c r="B452" s="2" t="s">
        <v>2357</v>
      </c>
    </row>
    <row r="453" spans="1:2" ht="15.75" customHeight="1" x14ac:dyDescent="0.3">
      <c r="A453" s="2" t="s">
        <v>147</v>
      </c>
      <c r="B453" s="2" t="s">
        <v>2356</v>
      </c>
    </row>
    <row r="454" spans="1:2" ht="15.75" customHeight="1" x14ac:dyDescent="0.3">
      <c r="A454" s="2" t="s">
        <v>580</v>
      </c>
      <c r="B454" s="2" t="s">
        <v>2357</v>
      </c>
    </row>
    <row r="455" spans="1:2" ht="15.75" customHeight="1" x14ac:dyDescent="0.3">
      <c r="A455" s="2" t="s">
        <v>2135</v>
      </c>
      <c r="B455" s="2" t="s">
        <v>2357</v>
      </c>
    </row>
    <row r="456" spans="1:2" ht="15.75" customHeight="1" x14ac:dyDescent="0.3">
      <c r="A456" s="2" t="s">
        <v>327</v>
      </c>
      <c r="B456" s="2" t="s">
        <v>2359</v>
      </c>
    </row>
    <row r="457" spans="1:2" ht="15.75" customHeight="1" x14ac:dyDescent="0.3">
      <c r="A457" s="2" t="s">
        <v>1632</v>
      </c>
      <c r="B457" s="2" t="s">
        <v>2357</v>
      </c>
    </row>
    <row r="458" spans="1:2" ht="15.75" customHeight="1" x14ac:dyDescent="0.3">
      <c r="A458" s="2" t="s">
        <v>1209</v>
      </c>
      <c r="B458" s="2" t="s">
        <v>2356</v>
      </c>
    </row>
    <row r="459" spans="1:2" ht="15.75" customHeight="1" x14ac:dyDescent="0.3">
      <c r="A459" s="2" t="s">
        <v>709</v>
      </c>
      <c r="B459" s="2" t="s">
        <v>2357</v>
      </c>
    </row>
    <row r="460" spans="1:2" ht="15.75" customHeight="1" x14ac:dyDescent="0.3">
      <c r="A460" s="2" t="s">
        <v>1700</v>
      </c>
      <c r="B460" s="2" t="s">
        <v>2357</v>
      </c>
    </row>
    <row r="461" spans="1:2" ht="15.75" customHeight="1" x14ac:dyDescent="0.3">
      <c r="A461" s="2" t="s">
        <v>2149</v>
      </c>
      <c r="B461" s="2" t="s">
        <v>2357</v>
      </c>
    </row>
    <row r="462" spans="1:2" ht="15.75" customHeight="1" x14ac:dyDescent="0.3">
      <c r="A462" s="2" t="s">
        <v>1565</v>
      </c>
      <c r="B462" s="2" t="s">
        <v>2357</v>
      </c>
    </row>
    <row r="463" spans="1:2" ht="15.75" customHeight="1" x14ac:dyDescent="0.3">
      <c r="A463" s="2" t="s">
        <v>1100</v>
      </c>
      <c r="B463" s="2" t="s">
        <v>2357</v>
      </c>
    </row>
    <row r="464" spans="1:2" ht="15.75" customHeight="1" x14ac:dyDescent="0.3">
      <c r="A464" s="2" t="s">
        <v>1877</v>
      </c>
      <c r="B464" s="2" t="s">
        <v>2357</v>
      </c>
    </row>
    <row r="465" spans="1:2" ht="15.75" customHeight="1" x14ac:dyDescent="0.3">
      <c r="A465" s="2" t="s">
        <v>1121</v>
      </c>
      <c r="B465" s="2" t="s">
        <v>2356</v>
      </c>
    </row>
    <row r="466" spans="1:2" ht="15.75" customHeight="1" x14ac:dyDescent="0.3">
      <c r="A466" s="2" t="s">
        <v>202</v>
      </c>
      <c r="B466" s="2" t="s">
        <v>2357</v>
      </c>
    </row>
    <row r="467" spans="1:2" ht="15.75" customHeight="1" x14ac:dyDescent="0.3">
      <c r="A467" s="2" t="s">
        <v>2333</v>
      </c>
      <c r="B467" s="2" t="s">
        <v>2357</v>
      </c>
    </row>
    <row r="468" spans="1:2" ht="15.75" customHeight="1" x14ac:dyDescent="0.3">
      <c r="A468" s="2" t="s">
        <v>2276</v>
      </c>
      <c r="B468" s="2" t="s">
        <v>2357</v>
      </c>
    </row>
    <row r="469" spans="1:2" ht="15.75" customHeight="1" x14ac:dyDescent="0.3">
      <c r="A469" s="2" t="s">
        <v>1807</v>
      </c>
      <c r="B469" s="2" t="s">
        <v>2357</v>
      </c>
    </row>
    <row r="470" spans="1:2" ht="15.75" customHeight="1" x14ac:dyDescent="0.3">
      <c r="A470" s="2" t="s">
        <v>1959</v>
      </c>
      <c r="B470" s="2" t="s">
        <v>2356</v>
      </c>
    </row>
    <row r="471" spans="1:2" ht="15.75" customHeight="1" x14ac:dyDescent="0.3">
      <c r="A471" s="2" t="s">
        <v>1438</v>
      </c>
      <c r="B471" s="2" t="s">
        <v>2357</v>
      </c>
    </row>
    <row r="472" spans="1:2" ht="15.75" customHeight="1" x14ac:dyDescent="0.3">
      <c r="A472" s="2" t="s">
        <v>594</v>
      </c>
      <c r="B472" s="2" t="s">
        <v>2357</v>
      </c>
    </row>
    <row r="473" spans="1:2" ht="15.75" customHeight="1" x14ac:dyDescent="0.3">
      <c r="A473" s="2" t="s">
        <v>1947</v>
      </c>
      <c r="B473" s="2" t="s">
        <v>2357</v>
      </c>
    </row>
    <row r="474" spans="1:2" ht="15.75" customHeight="1" x14ac:dyDescent="0.3">
      <c r="A474" s="2" t="s">
        <v>1372</v>
      </c>
      <c r="B474" s="2" t="s">
        <v>2357</v>
      </c>
    </row>
    <row r="475" spans="1:2" ht="15.75" customHeight="1" x14ac:dyDescent="0.3">
      <c r="A475" s="2" t="s">
        <v>1248</v>
      </c>
      <c r="B475" s="2" t="s">
        <v>2357</v>
      </c>
    </row>
    <row r="476" spans="1:2" ht="15.75" customHeight="1" x14ac:dyDescent="0.3">
      <c r="A476" s="2" t="s">
        <v>881</v>
      </c>
      <c r="B476" s="2" t="s">
        <v>2357</v>
      </c>
    </row>
    <row r="477" spans="1:2" ht="15.75" customHeight="1" x14ac:dyDescent="0.3">
      <c r="A477" s="2" t="s">
        <v>2033</v>
      </c>
      <c r="B477" s="2" t="s">
        <v>2357</v>
      </c>
    </row>
    <row r="478" spans="1:2" ht="15.75" customHeight="1" x14ac:dyDescent="0.3">
      <c r="A478" s="2" t="s">
        <v>1075</v>
      </c>
      <c r="B478" s="2" t="s">
        <v>2357</v>
      </c>
    </row>
    <row r="479" spans="1:2" ht="15.75" customHeight="1" x14ac:dyDescent="0.3">
      <c r="A479" s="2" t="s">
        <v>2292</v>
      </c>
      <c r="B479" s="2" t="s">
        <v>2360</v>
      </c>
    </row>
    <row r="480" spans="1:2" ht="15.75" customHeight="1" x14ac:dyDescent="0.3">
      <c r="A480" s="2" t="s">
        <v>1074</v>
      </c>
      <c r="B480" s="2" t="s">
        <v>2357</v>
      </c>
    </row>
    <row r="481" spans="1:2" ht="15.75" customHeight="1" x14ac:dyDescent="0.3">
      <c r="A481" s="2" t="s">
        <v>1052</v>
      </c>
      <c r="B481" s="2" t="s">
        <v>2356</v>
      </c>
    </row>
    <row r="482" spans="1:2" ht="15.75" customHeight="1" x14ac:dyDescent="0.3">
      <c r="A482" s="2" t="s">
        <v>2017</v>
      </c>
      <c r="B482" s="2" t="s">
        <v>2356</v>
      </c>
    </row>
    <row r="483" spans="1:2" ht="15.75" customHeight="1" x14ac:dyDescent="0.3">
      <c r="A483" s="2" t="s">
        <v>1917</v>
      </c>
      <c r="B483" s="2" t="s">
        <v>2356</v>
      </c>
    </row>
    <row r="484" spans="1:2" ht="15.75" customHeight="1" x14ac:dyDescent="0.3">
      <c r="A484" s="2" t="s">
        <v>370</v>
      </c>
      <c r="B484" s="2" t="s">
        <v>2357</v>
      </c>
    </row>
    <row r="485" spans="1:2" ht="15.75" customHeight="1" x14ac:dyDescent="0.3">
      <c r="A485" s="2" t="s">
        <v>1689</v>
      </c>
      <c r="B485" s="2" t="s">
        <v>2359</v>
      </c>
    </row>
    <row r="486" spans="1:2" ht="15.75" customHeight="1" x14ac:dyDescent="0.3">
      <c r="A486" s="2" t="s">
        <v>2045</v>
      </c>
      <c r="B486" s="2" t="s">
        <v>2357</v>
      </c>
    </row>
    <row r="487" spans="1:2" ht="15.75" customHeight="1" x14ac:dyDescent="0.3">
      <c r="A487" s="2" t="s">
        <v>1142</v>
      </c>
      <c r="B487" s="2" t="s">
        <v>2357</v>
      </c>
    </row>
    <row r="488" spans="1:2" ht="15.75" customHeight="1" x14ac:dyDescent="0.3">
      <c r="A488" s="2" t="s">
        <v>1599</v>
      </c>
      <c r="B488" s="2" t="s">
        <v>2357</v>
      </c>
    </row>
    <row r="489" spans="1:2" ht="15.75" customHeight="1" x14ac:dyDescent="0.3">
      <c r="A489" s="2" t="s">
        <v>1786</v>
      </c>
      <c r="B489" s="2" t="s">
        <v>2357</v>
      </c>
    </row>
    <row r="490" spans="1:2" ht="15.75" customHeight="1" x14ac:dyDescent="0.3">
      <c r="A490" s="2" t="s">
        <v>1606</v>
      </c>
      <c r="B490" s="2" t="s">
        <v>2357</v>
      </c>
    </row>
    <row r="491" spans="1:2" ht="15.75" customHeight="1" x14ac:dyDescent="0.3">
      <c r="A491" s="2" t="s">
        <v>1883</v>
      </c>
      <c r="B491" s="2" t="s">
        <v>2359</v>
      </c>
    </row>
    <row r="492" spans="1:2" ht="15.75" customHeight="1" x14ac:dyDescent="0.3">
      <c r="A492" s="2" t="s">
        <v>1648</v>
      </c>
      <c r="B492" s="2" t="s">
        <v>2356</v>
      </c>
    </row>
    <row r="493" spans="1:2" ht="15.75" customHeight="1" x14ac:dyDescent="0.3">
      <c r="A493" s="2" t="s">
        <v>1615</v>
      </c>
      <c r="B493" s="2" t="s">
        <v>2357</v>
      </c>
    </row>
    <row r="494" spans="1:2" ht="15.75" customHeight="1" x14ac:dyDescent="0.3">
      <c r="A494" s="2" t="s">
        <v>874</v>
      </c>
      <c r="B494" s="2" t="s">
        <v>2357</v>
      </c>
    </row>
    <row r="495" spans="1:2" ht="15.75" customHeight="1" x14ac:dyDescent="0.3">
      <c r="A495" s="2" t="s">
        <v>1116</v>
      </c>
      <c r="B495" s="2" t="s">
        <v>2356</v>
      </c>
    </row>
    <row r="496" spans="1:2" ht="15.75" customHeight="1" x14ac:dyDescent="0.3">
      <c r="A496" s="2" t="s">
        <v>1297</v>
      </c>
      <c r="B496" s="2" t="s">
        <v>2356</v>
      </c>
    </row>
    <row r="497" spans="1:2" ht="15.75" customHeight="1" x14ac:dyDescent="0.3">
      <c r="A497" s="2" t="s">
        <v>1289</v>
      </c>
      <c r="B497" s="2" t="s">
        <v>2357</v>
      </c>
    </row>
    <row r="498" spans="1:2" ht="15.75" customHeight="1" x14ac:dyDescent="0.3">
      <c r="A498" s="2" t="s">
        <v>1508</v>
      </c>
      <c r="B498" s="2" t="s">
        <v>2356</v>
      </c>
    </row>
    <row r="499" spans="1:2" ht="15.75" customHeight="1" x14ac:dyDescent="0.3">
      <c r="A499" s="2" t="s">
        <v>161</v>
      </c>
      <c r="B499" s="2" t="s">
        <v>2357</v>
      </c>
    </row>
    <row r="500" spans="1:2" ht="15.75" customHeight="1" x14ac:dyDescent="0.3">
      <c r="A500" s="2" t="s">
        <v>2126</v>
      </c>
      <c r="B500" s="2" t="s">
        <v>2358</v>
      </c>
    </row>
    <row r="501" spans="1:2" ht="15.75" customHeight="1" x14ac:dyDescent="0.3">
      <c r="A501" s="2" t="s">
        <v>1319</v>
      </c>
      <c r="B501" s="2" t="s">
        <v>2357</v>
      </c>
    </row>
    <row r="502" spans="1:2" ht="15.75" customHeight="1" x14ac:dyDescent="0.3">
      <c r="A502" s="2" t="s">
        <v>1703</v>
      </c>
      <c r="B502" s="2" t="s">
        <v>2357</v>
      </c>
    </row>
    <row r="503" spans="1:2" ht="15.75" customHeight="1" x14ac:dyDescent="0.3">
      <c r="A503" s="2" t="s">
        <v>1628</v>
      </c>
      <c r="B503" s="2" t="s">
        <v>2357</v>
      </c>
    </row>
    <row r="504" spans="1:2" ht="15.75" customHeight="1" x14ac:dyDescent="0.3">
      <c r="A504" s="2" t="s">
        <v>228</v>
      </c>
      <c r="B504" s="2" t="s">
        <v>2359</v>
      </c>
    </row>
    <row r="505" spans="1:2" ht="15.75" customHeight="1" x14ac:dyDescent="0.3">
      <c r="A505" s="2" t="s">
        <v>634</v>
      </c>
      <c r="B505" s="2" t="s">
        <v>2357</v>
      </c>
    </row>
    <row r="506" spans="1:2" ht="15.75" customHeight="1" x14ac:dyDescent="0.3">
      <c r="A506" s="2" t="s">
        <v>1626</v>
      </c>
      <c r="B506" s="2" t="s">
        <v>2356</v>
      </c>
    </row>
    <row r="507" spans="1:2" ht="15.75" customHeight="1" x14ac:dyDescent="0.3">
      <c r="A507" s="2" t="s">
        <v>2085</v>
      </c>
      <c r="B507" s="2" t="s">
        <v>2357</v>
      </c>
    </row>
    <row r="508" spans="1:2" ht="15.75" customHeight="1" x14ac:dyDescent="0.3">
      <c r="A508" s="2" t="s">
        <v>1211</v>
      </c>
      <c r="B508" s="2" t="s">
        <v>2357</v>
      </c>
    </row>
    <row r="509" spans="1:2" ht="15.75" customHeight="1" x14ac:dyDescent="0.3">
      <c r="A509" s="2" t="s">
        <v>892</v>
      </c>
      <c r="B509" s="2" t="s">
        <v>2357</v>
      </c>
    </row>
    <row r="510" spans="1:2" ht="15.75" customHeight="1" x14ac:dyDescent="0.3">
      <c r="A510" s="2" t="s">
        <v>888</v>
      </c>
      <c r="B510" s="2" t="s">
        <v>2357</v>
      </c>
    </row>
    <row r="511" spans="1:2" ht="15.75" customHeight="1" x14ac:dyDescent="0.3">
      <c r="A511" s="2" t="s">
        <v>472</v>
      </c>
      <c r="B511" s="2" t="s">
        <v>2356</v>
      </c>
    </row>
    <row r="512" spans="1:2" ht="15.75" customHeight="1" x14ac:dyDescent="0.3">
      <c r="A512" s="2" t="s">
        <v>632</v>
      </c>
      <c r="B512" s="2" t="s">
        <v>2357</v>
      </c>
    </row>
    <row r="513" spans="1:2" ht="15.75" customHeight="1" x14ac:dyDescent="0.3">
      <c r="A513" s="2" t="s">
        <v>861</v>
      </c>
      <c r="B513" s="2" t="s">
        <v>2357</v>
      </c>
    </row>
    <row r="514" spans="1:2" ht="15.75" customHeight="1" x14ac:dyDescent="0.3">
      <c r="A514" s="2" t="s">
        <v>606</v>
      </c>
      <c r="B514" s="2" t="s">
        <v>2357</v>
      </c>
    </row>
    <row r="515" spans="1:2" ht="15.75" customHeight="1" x14ac:dyDescent="0.3">
      <c r="A515" s="2" t="s">
        <v>1303</v>
      </c>
      <c r="B515" s="2" t="s">
        <v>2357</v>
      </c>
    </row>
    <row r="516" spans="1:2" ht="15.75" customHeight="1" x14ac:dyDescent="0.3">
      <c r="A516" s="2" t="s">
        <v>668</v>
      </c>
      <c r="B516" s="2" t="s">
        <v>2357</v>
      </c>
    </row>
    <row r="517" spans="1:2" ht="15.75" customHeight="1" x14ac:dyDescent="0.3">
      <c r="A517" s="2" t="s">
        <v>1960</v>
      </c>
      <c r="B517" s="2" t="s">
        <v>2357</v>
      </c>
    </row>
    <row r="518" spans="1:2" ht="15.75" customHeight="1" x14ac:dyDescent="0.3">
      <c r="A518" s="2" t="s">
        <v>1178</v>
      </c>
      <c r="B518" s="2" t="s">
        <v>2357</v>
      </c>
    </row>
    <row r="519" spans="1:2" ht="15.75" customHeight="1" x14ac:dyDescent="0.3">
      <c r="A519" s="2" t="s">
        <v>1724</v>
      </c>
      <c r="B519" s="2" t="s">
        <v>2357</v>
      </c>
    </row>
    <row r="520" spans="1:2" ht="15.75" customHeight="1" x14ac:dyDescent="0.3">
      <c r="A520" s="2" t="s">
        <v>463</v>
      </c>
      <c r="B520" s="2" t="s">
        <v>2357</v>
      </c>
    </row>
    <row r="521" spans="1:2" ht="15.75" customHeight="1" x14ac:dyDescent="0.3">
      <c r="A521" s="2" t="s">
        <v>865</v>
      </c>
      <c r="B521" s="2" t="s">
        <v>2357</v>
      </c>
    </row>
    <row r="522" spans="1:2" ht="15.75" customHeight="1" x14ac:dyDescent="0.3">
      <c r="A522" s="2" t="s">
        <v>234</v>
      </c>
      <c r="B522" s="2" t="s">
        <v>2357</v>
      </c>
    </row>
    <row r="523" spans="1:2" ht="15.75" customHeight="1" x14ac:dyDescent="0.3">
      <c r="A523" s="2" t="s">
        <v>376</v>
      </c>
      <c r="B523" s="2" t="s">
        <v>2357</v>
      </c>
    </row>
    <row r="524" spans="1:2" ht="15.75" customHeight="1" x14ac:dyDescent="0.3">
      <c r="A524" s="2" t="s">
        <v>1029</v>
      </c>
      <c r="B524" s="2" t="s">
        <v>2357</v>
      </c>
    </row>
    <row r="525" spans="1:2" ht="15.75" customHeight="1" x14ac:dyDescent="0.3">
      <c r="A525" s="2" t="s">
        <v>1256</v>
      </c>
      <c r="B525" s="2" t="s">
        <v>2357</v>
      </c>
    </row>
    <row r="526" spans="1:2" ht="15.75" customHeight="1" x14ac:dyDescent="0.3">
      <c r="A526" s="2" t="s">
        <v>1201</v>
      </c>
      <c r="B526" s="2" t="s">
        <v>2357</v>
      </c>
    </row>
    <row r="527" spans="1:2" ht="15.75" customHeight="1" x14ac:dyDescent="0.3">
      <c r="A527" s="2" t="s">
        <v>1163</v>
      </c>
      <c r="B527" s="2" t="s">
        <v>2357</v>
      </c>
    </row>
    <row r="528" spans="1:2" ht="15.75" customHeight="1" x14ac:dyDescent="0.3">
      <c r="A528" s="2" t="s">
        <v>2325</v>
      </c>
      <c r="B528" s="2" t="s">
        <v>2357</v>
      </c>
    </row>
    <row r="529" spans="1:2" ht="15.75" customHeight="1" x14ac:dyDescent="0.3">
      <c r="A529" s="2" t="s">
        <v>927</v>
      </c>
      <c r="B529" s="2" t="s">
        <v>2356</v>
      </c>
    </row>
    <row r="530" spans="1:2" ht="15.75" customHeight="1" x14ac:dyDescent="0.3">
      <c r="A530" s="2" t="s">
        <v>1298</v>
      </c>
      <c r="B530" s="2" t="s">
        <v>2359</v>
      </c>
    </row>
    <row r="531" spans="1:2" ht="15.75" customHeight="1" x14ac:dyDescent="0.3">
      <c r="A531" s="2" t="s">
        <v>1484</v>
      </c>
      <c r="B531" s="2" t="s">
        <v>2357</v>
      </c>
    </row>
    <row r="532" spans="1:2" ht="15.75" customHeight="1" x14ac:dyDescent="0.3">
      <c r="A532" s="2" t="s">
        <v>1048</v>
      </c>
      <c r="B532" s="2" t="s">
        <v>2357</v>
      </c>
    </row>
    <row r="533" spans="1:2" ht="15.75" customHeight="1" x14ac:dyDescent="0.3">
      <c r="A533" s="2" t="s">
        <v>1571</v>
      </c>
      <c r="B533" s="2" t="s">
        <v>2357</v>
      </c>
    </row>
    <row r="534" spans="1:2" ht="15.75" customHeight="1" x14ac:dyDescent="0.3">
      <c r="A534" s="2" t="s">
        <v>319</v>
      </c>
      <c r="B534" s="2" t="s">
        <v>2357</v>
      </c>
    </row>
    <row r="535" spans="1:2" ht="15.75" customHeight="1" x14ac:dyDescent="0.3">
      <c r="A535" s="2" t="s">
        <v>1031</v>
      </c>
      <c r="B535" s="2" t="s">
        <v>2357</v>
      </c>
    </row>
    <row r="536" spans="1:2" ht="15.75" customHeight="1" x14ac:dyDescent="0.3">
      <c r="A536" s="2" t="s">
        <v>653</v>
      </c>
      <c r="B536" s="2" t="s">
        <v>2357</v>
      </c>
    </row>
    <row r="537" spans="1:2" ht="15.75" customHeight="1" x14ac:dyDescent="0.3">
      <c r="A537" s="2" t="s">
        <v>762</v>
      </c>
      <c r="B537" s="2" t="s">
        <v>2357</v>
      </c>
    </row>
    <row r="538" spans="1:2" ht="15.75" customHeight="1" x14ac:dyDescent="0.3">
      <c r="A538" s="2" t="s">
        <v>1406</v>
      </c>
      <c r="B538" s="2" t="s">
        <v>2356</v>
      </c>
    </row>
    <row r="539" spans="1:2" ht="15.75" customHeight="1" x14ac:dyDescent="0.3">
      <c r="A539" s="2" t="s">
        <v>674</v>
      </c>
      <c r="B539" s="2" t="s">
        <v>2357</v>
      </c>
    </row>
    <row r="540" spans="1:2" ht="15.75" customHeight="1" x14ac:dyDescent="0.3">
      <c r="A540" s="2" t="s">
        <v>728</v>
      </c>
      <c r="B540" s="2" t="s">
        <v>2357</v>
      </c>
    </row>
    <row r="541" spans="1:2" ht="15.75" customHeight="1" x14ac:dyDescent="0.3">
      <c r="A541" s="2" t="s">
        <v>2233</v>
      </c>
      <c r="B541" s="2" t="s">
        <v>2357</v>
      </c>
    </row>
    <row r="542" spans="1:2" ht="15.75" customHeight="1" x14ac:dyDescent="0.3">
      <c r="A542" s="2" t="s">
        <v>586</v>
      </c>
      <c r="B542" s="2" t="s">
        <v>2357</v>
      </c>
    </row>
    <row r="543" spans="1:2" ht="15.75" customHeight="1" x14ac:dyDescent="0.3">
      <c r="A543" s="2" t="s">
        <v>747</v>
      </c>
      <c r="B543" s="2" t="s">
        <v>2357</v>
      </c>
    </row>
    <row r="544" spans="1:2" ht="15.75" customHeight="1" x14ac:dyDescent="0.3">
      <c r="A544" s="2" t="s">
        <v>149</v>
      </c>
      <c r="B544" s="2" t="s">
        <v>2356</v>
      </c>
    </row>
    <row r="545" spans="1:2" ht="15.75" customHeight="1" x14ac:dyDescent="0.3">
      <c r="A545" s="2" t="s">
        <v>384</v>
      </c>
      <c r="B545" s="2" t="s">
        <v>2359</v>
      </c>
    </row>
    <row r="546" spans="1:2" ht="15.75" customHeight="1" x14ac:dyDescent="0.3">
      <c r="A546" s="2" t="s">
        <v>2205</v>
      </c>
      <c r="B546" s="2" t="s">
        <v>2357</v>
      </c>
    </row>
    <row r="547" spans="1:2" ht="15.75" customHeight="1" x14ac:dyDescent="0.3">
      <c r="A547" s="2" t="s">
        <v>972</v>
      </c>
      <c r="B547" s="2" t="s">
        <v>2356</v>
      </c>
    </row>
    <row r="548" spans="1:2" ht="15.75" customHeight="1" x14ac:dyDescent="0.3">
      <c r="A548" s="2" t="s">
        <v>1998</v>
      </c>
      <c r="B548" s="2" t="s">
        <v>2356</v>
      </c>
    </row>
    <row r="549" spans="1:2" ht="15.75" customHeight="1" x14ac:dyDescent="0.3">
      <c r="A549" s="2" t="s">
        <v>633</v>
      </c>
      <c r="B549" s="2" t="s">
        <v>2357</v>
      </c>
    </row>
    <row r="550" spans="1:2" ht="15.75" customHeight="1" x14ac:dyDescent="0.3">
      <c r="A550" s="2" t="s">
        <v>1482</v>
      </c>
      <c r="B550" s="2" t="s">
        <v>2357</v>
      </c>
    </row>
    <row r="551" spans="1:2" ht="15.75" customHeight="1" x14ac:dyDescent="0.3">
      <c r="A551" s="2" t="s">
        <v>1988</v>
      </c>
      <c r="B551" s="2" t="s">
        <v>2357</v>
      </c>
    </row>
    <row r="552" spans="1:2" ht="15.75" customHeight="1" x14ac:dyDescent="0.3">
      <c r="A552" s="2" t="s">
        <v>1171</v>
      </c>
      <c r="B552" s="2" t="s">
        <v>2357</v>
      </c>
    </row>
    <row r="553" spans="1:2" ht="15.75" customHeight="1" x14ac:dyDescent="0.3">
      <c r="A553" s="2" t="s">
        <v>2246</v>
      </c>
      <c r="B553" s="2" t="s">
        <v>2357</v>
      </c>
    </row>
    <row r="554" spans="1:2" ht="15.75" customHeight="1" x14ac:dyDescent="0.3">
      <c r="A554" s="2" t="s">
        <v>2355</v>
      </c>
      <c r="B554" s="2" t="s">
        <v>2358</v>
      </c>
    </row>
    <row r="555" spans="1:2" ht="15.75" customHeight="1" x14ac:dyDescent="0.3">
      <c r="A555" s="2" t="s">
        <v>1688</v>
      </c>
      <c r="B555" s="2" t="s">
        <v>2356</v>
      </c>
    </row>
    <row r="556" spans="1:2" ht="15.75" customHeight="1" x14ac:dyDescent="0.3">
      <c r="A556" s="2" t="s">
        <v>2319</v>
      </c>
      <c r="B556" s="2" t="s">
        <v>2360</v>
      </c>
    </row>
    <row r="557" spans="1:2" ht="15.75" customHeight="1" x14ac:dyDescent="0.3">
      <c r="A557" s="2" t="s">
        <v>933</v>
      </c>
      <c r="B557" s="2" t="s">
        <v>2357</v>
      </c>
    </row>
    <row r="558" spans="1:2" ht="15.75" customHeight="1" x14ac:dyDescent="0.3">
      <c r="A558" s="2" t="s">
        <v>2146</v>
      </c>
      <c r="B558" s="2" t="s">
        <v>2358</v>
      </c>
    </row>
    <row r="559" spans="1:2" ht="15.75" customHeight="1" x14ac:dyDescent="0.3">
      <c r="A559" s="2" t="s">
        <v>2128</v>
      </c>
      <c r="B559" s="2" t="s">
        <v>2357</v>
      </c>
    </row>
    <row r="560" spans="1:2" ht="15.75" customHeight="1" x14ac:dyDescent="0.3">
      <c r="A560" s="2" t="s">
        <v>86</v>
      </c>
      <c r="B560" s="2" t="s">
        <v>2357</v>
      </c>
    </row>
    <row r="561" spans="1:2" ht="15.75" customHeight="1" x14ac:dyDescent="0.3">
      <c r="A561" s="2" t="s">
        <v>1913</v>
      </c>
      <c r="B561" s="2" t="s">
        <v>2357</v>
      </c>
    </row>
    <row r="562" spans="1:2" ht="15.75" customHeight="1" x14ac:dyDescent="0.3">
      <c r="A562" s="2" t="s">
        <v>2100</v>
      </c>
      <c r="B562" s="2" t="s">
        <v>2357</v>
      </c>
    </row>
    <row r="563" spans="1:2" ht="15.75" customHeight="1" x14ac:dyDescent="0.3">
      <c r="A563" s="2" t="s">
        <v>191</v>
      </c>
      <c r="B563" s="2" t="s">
        <v>2357</v>
      </c>
    </row>
    <row r="564" spans="1:2" ht="15.75" customHeight="1" x14ac:dyDescent="0.3">
      <c r="A564" s="2" t="s">
        <v>2239</v>
      </c>
      <c r="B564" s="2" t="s">
        <v>2357</v>
      </c>
    </row>
    <row r="565" spans="1:2" ht="15.75" customHeight="1" x14ac:dyDescent="0.3">
      <c r="A565" s="2" t="s">
        <v>787</v>
      </c>
      <c r="B565" s="2" t="s">
        <v>2359</v>
      </c>
    </row>
    <row r="566" spans="1:2" ht="15.75" customHeight="1" x14ac:dyDescent="0.3">
      <c r="A566" s="2" t="s">
        <v>1386</v>
      </c>
      <c r="B566" s="2" t="s">
        <v>2357</v>
      </c>
    </row>
    <row r="567" spans="1:2" ht="15.75" customHeight="1" x14ac:dyDescent="0.3">
      <c r="A567" s="2" t="s">
        <v>759</v>
      </c>
      <c r="B567" s="2" t="s">
        <v>2357</v>
      </c>
    </row>
    <row r="568" spans="1:2" ht="15.75" customHeight="1" x14ac:dyDescent="0.3">
      <c r="A568" s="2" t="s">
        <v>2209</v>
      </c>
      <c r="B568" s="2" t="s">
        <v>2357</v>
      </c>
    </row>
    <row r="569" spans="1:2" ht="15.75" customHeight="1" x14ac:dyDescent="0.3">
      <c r="A569" s="2" t="s">
        <v>2056</v>
      </c>
      <c r="B569" s="2" t="s">
        <v>2357</v>
      </c>
    </row>
    <row r="570" spans="1:2" ht="15.75" customHeight="1" x14ac:dyDescent="0.3">
      <c r="A570" s="2" t="s">
        <v>991</v>
      </c>
      <c r="B570" s="2" t="s">
        <v>2359</v>
      </c>
    </row>
    <row r="571" spans="1:2" ht="15.75" customHeight="1" x14ac:dyDescent="0.3">
      <c r="A571" s="2" t="s">
        <v>1738</v>
      </c>
      <c r="B571" s="2" t="s">
        <v>2357</v>
      </c>
    </row>
    <row r="572" spans="1:2" ht="15.75" customHeight="1" x14ac:dyDescent="0.3">
      <c r="A572" s="2" t="s">
        <v>1769</v>
      </c>
      <c r="B572" s="2" t="s">
        <v>2357</v>
      </c>
    </row>
    <row r="573" spans="1:2" ht="15.75" customHeight="1" x14ac:dyDescent="0.3">
      <c r="A573" s="2" t="s">
        <v>2127</v>
      </c>
      <c r="B573" s="2" t="s">
        <v>2357</v>
      </c>
    </row>
    <row r="574" spans="1:2" ht="15.75" customHeight="1" x14ac:dyDescent="0.3">
      <c r="A574" s="2" t="s">
        <v>814</v>
      </c>
      <c r="B574" s="2" t="s">
        <v>2357</v>
      </c>
    </row>
    <row r="575" spans="1:2" ht="15.75" customHeight="1" x14ac:dyDescent="0.3">
      <c r="A575" s="2" t="s">
        <v>1127</v>
      </c>
      <c r="B575" s="2" t="s">
        <v>2357</v>
      </c>
    </row>
    <row r="576" spans="1:2" ht="15.75" customHeight="1" x14ac:dyDescent="0.3">
      <c r="A576" s="2" t="s">
        <v>503</v>
      </c>
      <c r="B576" s="2" t="s">
        <v>2359</v>
      </c>
    </row>
    <row r="577" spans="1:2" ht="15.75" customHeight="1" x14ac:dyDescent="0.3">
      <c r="A577" s="2" t="s">
        <v>585</v>
      </c>
      <c r="B577" s="2" t="s">
        <v>2356</v>
      </c>
    </row>
    <row r="578" spans="1:2" ht="15.75" customHeight="1" x14ac:dyDescent="0.3">
      <c r="A578" s="2" t="s">
        <v>2068</v>
      </c>
      <c r="B578" s="2" t="s">
        <v>2357</v>
      </c>
    </row>
    <row r="579" spans="1:2" ht="15.75" customHeight="1" x14ac:dyDescent="0.3">
      <c r="A579" s="2" t="s">
        <v>1872</v>
      </c>
      <c r="B579" s="2" t="s">
        <v>2357</v>
      </c>
    </row>
    <row r="580" spans="1:2" ht="15.75" customHeight="1" x14ac:dyDescent="0.3">
      <c r="A580" s="2" t="s">
        <v>1637</v>
      </c>
      <c r="B580" s="2" t="s">
        <v>2357</v>
      </c>
    </row>
    <row r="581" spans="1:2" ht="15.75" customHeight="1" x14ac:dyDescent="0.3">
      <c r="A581" s="2" t="s">
        <v>652</v>
      </c>
      <c r="B581" s="2" t="s">
        <v>2357</v>
      </c>
    </row>
    <row r="582" spans="1:2" ht="15.75" customHeight="1" x14ac:dyDescent="0.3">
      <c r="A582" s="2" t="s">
        <v>2232</v>
      </c>
      <c r="B582" s="2" t="s">
        <v>2359</v>
      </c>
    </row>
    <row r="583" spans="1:2" ht="15.75" customHeight="1" x14ac:dyDescent="0.3">
      <c r="A583" s="2" t="s">
        <v>1657</v>
      </c>
      <c r="B583" s="2" t="s">
        <v>2357</v>
      </c>
    </row>
    <row r="584" spans="1:2" ht="15.75" customHeight="1" x14ac:dyDescent="0.3">
      <c r="A584" s="2" t="s">
        <v>2122</v>
      </c>
      <c r="B584" s="2" t="s">
        <v>2357</v>
      </c>
    </row>
    <row r="585" spans="1:2" ht="15.75" customHeight="1" x14ac:dyDescent="0.3">
      <c r="A585" s="2" t="s">
        <v>798</v>
      </c>
      <c r="B585" s="2" t="s">
        <v>2357</v>
      </c>
    </row>
    <row r="586" spans="1:2" ht="15.75" customHeight="1" x14ac:dyDescent="0.3">
      <c r="A586" s="2" t="s">
        <v>336</v>
      </c>
      <c r="B586" s="2" t="s">
        <v>2357</v>
      </c>
    </row>
    <row r="587" spans="1:2" ht="15.75" customHeight="1" x14ac:dyDescent="0.3">
      <c r="A587" s="2" t="s">
        <v>1096</v>
      </c>
      <c r="B587" s="2" t="s">
        <v>2357</v>
      </c>
    </row>
    <row r="588" spans="1:2" ht="15.75" customHeight="1" x14ac:dyDescent="0.3">
      <c r="A588" s="2" t="s">
        <v>1980</v>
      </c>
      <c r="B588" s="2" t="s">
        <v>2357</v>
      </c>
    </row>
    <row r="589" spans="1:2" ht="15.75" customHeight="1" x14ac:dyDescent="0.3">
      <c r="A589" s="2" t="s">
        <v>1181</v>
      </c>
      <c r="B589" s="2" t="s">
        <v>2357</v>
      </c>
    </row>
    <row r="590" spans="1:2" ht="15.75" customHeight="1" x14ac:dyDescent="0.3">
      <c r="A590" s="2" t="s">
        <v>469</v>
      </c>
      <c r="B590" s="2" t="s">
        <v>2357</v>
      </c>
    </row>
    <row r="591" spans="1:2" ht="15.75" customHeight="1" x14ac:dyDescent="0.3">
      <c r="A591" s="2" t="s">
        <v>956</v>
      </c>
      <c r="B591" s="2" t="s">
        <v>2357</v>
      </c>
    </row>
    <row r="592" spans="1:2" ht="15.75" customHeight="1" x14ac:dyDescent="0.3">
      <c r="A592" s="2" t="s">
        <v>811</v>
      </c>
      <c r="B592" s="2" t="s">
        <v>2357</v>
      </c>
    </row>
    <row r="593" spans="1:2" ht="15.75" customHeight="1" x14ac:dyDescent="0.3">
      <c r="A593" s="2" t="s">
        <v>1071</v>
      </c>
      <c r="B593" s="2" t="s">
        <v>2357</v>
      </c>
    </row>
    <row r="594" spans="1:2" ht="15.75" customHeight="1" x14ac:dyDescent="0.3">
      <c r="A594" s="2" t="s">
        <v>2350</v>
      </c>
      <c r="B594" s="2" t="s">
        <v>2357</v>
      </c>
    </row>
    <row r="595" spans="1:2" ht="15.75" customHeight="1" x14ac:dyDescent="0.3">
      <c r="A595" s="2" t="s">
        <v>1898</v>
      </c>
      <c r="B595" s="2" t="s">
        <v>2357</v>
      </c>
    </row>
    <row r="596" spans="1:2" ht="15.75" customHeight="1" x14ac:dyDescent="0.3">
      <c r="A596" s="2" t="s">
        <v>1723</v>
      </c>
      <c r="B596" s="2" t="s">
        <v>2357</v>
      </c>
    </row>
    <row r="597" spans="1:2" ht="15.75" customHeight="1" x14ac:dyDescent="0.3">
      <c r="A597" s="2" t="s">
        <v>1419</v>
      </c>
      <c r="B597" s="2" t="s">
        <v>2357</v>
      </c>
    </row>
    <row r="598" spans="1:2" ht="15.75" customHeight="1" x14ac:dyDescent="0.3">
      <c r="A598" s="2" t="s">
        <v>2086</v>
      </c>
      <c r="B598" s="2" t="s">
        <v>2357</v>
      </c>
    </row>
    <row r="599" spans="1:2" ht="15.75" customHeight="1" x14ac:dyDescent="0.3">
      <c r="A599" s="2" t="s">
        <v>2198</v>
      </c>
      <c r="B599" s="2" t="s">
        <v>2357</v>
      </c>
    </row>
    <row r="600" spans="1:2" ht="15.75" customHeight="1" x14ac:dyDescent="0.3">
      <c r="A600" s="2" t="s">
        <v>993</v>
      </c>
      <c r="B600" s="2" t="s">
        <v>2357</v>
      </c>
    </row>
    <row r="601" spans="1:2" ht="15.75" customHeight="1" x14ac:dyDescent="0.3">
      <c r="A601" s="2" t="s">
        <v>210</v>
      </c>
      <c r="B601" s="2" t="s">
        <v>2357</v>
      </c>
    </row>
    <row r="602" spans="1:2" ht="15.75" customHeight="1" x14ac:dyDescent="0.3">
      <c r="A602" s="2" t="s">
        <v>961</v>
      </c>
      <c r="B602" s="2" t="s">
        <v>2357</v>
      </c>
    </row>
    <row r="603" spans="1:2" ht="15.75" customHeight="1" x14ac:dyDescent="0.3">
      <c r="A603" s="2" t="s">
        <v>2140</v>
      </c>
      <c r="B603" s="2" t="s">
        <v>2357</v>
      </c>
    </row>
    <row r="604" spans="1:2" ht="15.75" customHeight="1" x14ac:dyDescent="0.3">
      <c r="A604" s="2" t="s">
        <v>1459</v>
      </c>
      <c r="B604" s="2" t="s">
        <v>2357</v>
      </c>
    </row>
    <row r="605" spans="1:2" ht="15.75" customHeight="1" x14ac:dyDescent="0.3">
      <c r="A605" s="2" t="s">
        <v>2025</v>
      </c>
      <c r="B605" s="2" t="s">
        <v>2357</v>
      </c>
    </row>
    <row r="606" spans="1:2" ht="15.75" customHeight="1" x14ac:dyDescent="0.3">
      <c r="A606" s="2" t="s">
        <v>1328</v>
      </c>
      <c r="B606" s="2" t="s">
        <v>2357</v>
      </c>
    </row>
    <row r="607" spans="1:2" ht="15.75" customHeight="1" x14ac:dyDescent="0.3">
      <c r="A607" s="2" t="s">
        <v>1453</v>
      </c>
      <c r="B607" s="2" t="s">
        <v>2357</v>
      </c>
    </row>
    <row r="608" spans="1:2" ht="15.75" customHeight="1" x14ac:dyDescent="0.3">
      <c r="A608" s="2" t="s">
        <v>1791</v>
      </c>
      <c r="B608" s="2" t="s">
        <v>2357</v>
      </c>
    </row>
    <row r="609" spans="1:2" ht="15.75" customHeight="1" x14ac:dyDescent="0.3">
      <c r="A609" s="2" t="s">
        <v>1380</v>
      </c>
      <c r="B609" s="2" t="s">
        <v>2357</v>
      </c>
    </row>
    <row r="610" spans="1:2" ht="15.75" customHeight="1" x14ac:dyDescent="0.3">
      <c r="A610" s="2" t="s">
        <v>1107</v>
      </c>
      <c r="B610" s="2" t="s">
        <v>2357</v>
      </c>
    </row>
    <row r="611" spans="1:2" ht="15.75" customHeight="1" x14ac:dyDescent="0.3">
      <c r="A611" s="2" t="s">
        <v>2332</v>
      </c>
      <c r="B611" s="2" t="s">
        <v>2357</v>
      </c>
    </row>
    <row r="612" spans="1:2" ht="15.75" customHeight="1" x14ac:dyDescent="0.3">
      <c r="A612" s="2" t="s">
        <v>2179</v>
      </c>
      <c r="B612" s="2" t="s">
        <v>2358</v>
      </c>
    </row>
    <row r="613" spans="1:2" ht="15.75" customHeight="1" x14ac:dyDescent="0.3">
      <c r="A613" s="2" t="s">
        <v>292</v>
      </c>
      <c r="B613" s="2" t="s">
        <v>2359</v>
      </c>
    </row>
    <row r="614" spans="1:2" ht="15.75" customHeight="1" x14ac:dyDescent="0.3">
      <c r="A614" s="2" t="s">
        <v>1857</v>
      </c>
      <c r="B614" s="2" t="s">
        <v>2356</v>
      </c>
    </row>
    <row r="615" spans="1:2" ht="15.75" customHeight="1" x14ac:dyDescent="0.3">
      <c r="A615" s="2" t="s">
        <v>1041</v>
      </c>
      <c r="B615" s="2" t="s">
        <v>2357</v>
      </c>
    </row>
    <row r="616" spans="1:2" ht="15.75" customHeight="1" x14ac:dyDescent="0.3">
      <c r="A616" s="2" t="s">
        <v>2166</v>
      </c>
      <c r="B616" s="2" t="s">
        <v>2360</v>
      </c>
    </row>
    <row r="617" spans="1:2" ht="15.75" customHeight="1" x14ac:dyDescent="0.3">
      <c r="A617" s="2" t="s">
        <v>926</v>
      </c>
      <c r="B617" s="2" t="s">
        <v>2357</v>
      </c>
    </row>
    <row r="618" spans="1:2" ht="15.75" customHeight="1" x14ac:dyDescent="0.3">
      <c r="A618" s="2" t="s">
        <v>2087</v>
      </c>
      <c r="B618" s="2" t="s">
        <v>2357</v>
      </c>
    </row>
    <row r="619" spans="1:2" ht="15.75" customHeight="1" x14ac:dyDescent="0.3">
      <c r="A619" s="2" t="s">
        <v>610</v>
      </c>
      <c r="B619" s="2" t="s">
        <v>2357</v>
      </c>
    </row>
    <row r="620" spans="1:2" ht="15.75" customHeight="1" x14ac:dyDescent="0.3">
      <c r="A620" s="2" t="s">
        <v>200</v>
      </c>
      <c r="B620" s="2" t="s">
        <v>2357</v>
      </c>
    </row>
    <row r="621" spans="1:2" ht="15.75" customHeight="1" x14ac:dyDescent="0.3">
      <c r="A621" s="2" t="s">
        <v>1361</v>
      </c>
      <c r="B621" s="2" t="s">
        <v>2357</v>
      </c>
    </row>
    <row r="622" spans="1:2" ht="15.75" customHeight="1" x14ac:dyDescent="0.3">
      <c r="A622" s="2" t="s">
        <v>1952</v>
      </c>
      <c r="B622" s="2" t="s">
        <v>2357</v>
      </c>
    </row>
    <row r="623" spans="1:2" ht="15.75" customHeight="1" x14ac:dyDescent="0.3">
      <c r="A623" s="2" t="s">
        <v>2192</v>
      </c>
      <c r="B623" s="2" t="s">
        <v>2360</v>
      </c>
    </row>
    <row r="624" spans="1:2" ht="15.75" customHeight="1" x14ac:dyDescent="0.3">
      <c r="A624" s="2" t="s">
        <v>1001</v>
      </c>
      <c r="B624" s="2" t="s">
        <v>2357</v>
      </c>
    </row>
    <row r="625" spans="1:2" ht="15.75" customHeight="1" x14ac:dyDescent="0.3">
      <c r="A625" s="2" t="s">
        <v>257</v>
      </c>
      <c r="B625" s="2" t="s">
        <v>2357</v>
      </c>
    </row>
    <row r="626" spans="1:2" ht="15.75" customHeight="1" x14ac:dyDescent="0.3">
      <c r="A626" s="2" t="s">
        <v>1467</v>
      </c>
      <c r="B626" s="2" t="s">
        <v>2357</v>
      </c>
    </row>
    <row r="627" spans="1:2" ht="15.75" customHeight="1" x14ac:dyDescent="0.3">
      <c r="A627" s="2" t="s">
        <v>2162</v>
      </c>
      <c r="B627" s="2" t="s">
        <v>2357</v>
      </c>
    </row>
    <row r="628" spans="1:2" ht="15.75" customHeight="1" x14ac:dyDescent="0.3">
      <c r="A628" s="2" t="s">
        <v>558</v>
      </c>
      <c r="B628" s="2" t="s">
        <v>2357</v>
      </c>
    </row>
    <row r="629" spans="1:2" ht="15.75" customHeight="1" x14ac:dyDescent="0.3">
      <c r="A629" s="2" t="s">
        <v>59</v>
      </c>
      <c r="B629" s="2" t="s">
        <v>2357</v>
      </c>
    </row>
    <row r="630" spans="1:2" ht="15.75" customHeight="1" x14ac:dyDescent="0.3">
      <c r="A630" s="2" t="s">
        <v>2327</v>
      </c>
      <c r="B630" s="2" t="s">
        <v>2360</v>
      </c>
    </row>
    <row r="631" spans="1:2" ht="15.75" customHeight="1" x14ac:dyDescent="0.3">
      <c r="A631" s="2" t="s">
        <v>1643</v>
      </c>
      <c r="B631" s="2" t="s">
        <v>2357</v>
      </c>
    </row>
    <row r="632" spans="1:2" ht="15.75" customHeight="1" x14ac:dyDescent="0.3">
      <c r="A632" s="2" t="s">
        <v>2133</v>
      </c>
      <c r="B632" s="2" t="s">
        <v>2357</v>
      </c>
    </row>
    <row r="633" spans="1:2" ht="15.75" customHeight="1" x14ac:dyDescent="0.3">
      <c r="A633" s="2" t="s">
        <v>278</v>
      </c>
      <c r="B633" s="2" t="s">
        <v>2357</v>
      </c>
    </row>
    <row r="634" spans="1:2" ht="15.75" customHeight="1" x14ac:dyDescent="0.3">
      <c r="A634" s="2" t="s">
        <v>154</v>
      </c>
      <c r="B634" s="2" t="s">
        <v>2357</v>
      </c>
    </row>
    <row r="635" spans="1:2" ht="15.75" customHeight="1" x14ac:dyDescent="0.3">
      <c r="A635" s="2" t="s">
        <v>68</v>
      </c>
      <c r="B635" s="2" t="s">
        <v>2357</v>
      </c>
    </row>
    <row r="636" spans="1:2" ht="15.75" customHeight="1" x14ac:dyDescent="0.3">
      <c r="A636" s="2" t="s">
        <v>1795</v>
      </c>
      <c r="B636" s="2" t="s">
        <v>2359</v>
      </c>
    </row>
    <row r="637" spans="1:2" ht="15.75" customHeight="1" x14ac:dyDescent="0.3">
      <c r="A637" s="2" t="s">
        <v>1713</v>
      </c>
      <c r="B637" s="2" t="s">
        <v>2357</v>
      </c>
    </row>
    <row r="638" spans="1:2" ht="15.75" customHeight="1" x14ac:dyDescent="0.3">
      <c r="A638" s="2" t="s">
        <v>1697</v>
      </c>
      <c r="B638" s="2" t="s">
        <v>2356</v>
      </c>
    </row>
    <row r="639" spans="1:2" ht="15.75" customHeight="1" x14ac:dyDescent="0.3">
      <c r="A639" s="2" t="s">
        <v>824</v>
      </c>
      <c r="B639" s="2" t="s">
        <v>2357</v>
      </c>
    </row>
    <row r="640" spans="1:2" ht="15.75" customHeight="1" x14ac:dyDescent="0.3">
      <c r="A640" s="2" t="s">
        <v>1617</v>
      </c>
      <c r="B640" s="2" t="s">
        <v>2356</v>
      </c>
    </row>
    <row r="641" spans="1:2" ht="15.75" customHeight="1" x14ac:dyDescent="0.3">
      <c r="A641" s="2" t="s">
        <v>357</v>
      </c>
      <c r="B641" s="2" t="s">
        <v>2357</v>
      </c>
    </row>
    <row r="642" spans="1:2" ht="15.75" customHeight="1" x14ac:dyDescent="0.3">
      <c r="A642" s="2" t="s">
        <v>978</v>
      </c>
      <c r="B642" s="2" t="s">
        <v>2357</v>
      </c>
    </row>
    <row r="643" spans="1:2" ht="15.75" customHeight="1" x14ac:dyDescent="0.3">
      <c r="A643" s="2" t="s">
        <v>923</v>
      </c>
      <c r="B643" s="2" t="s">
        <v>2357</v>
      </c>
    </row>
    <row r="644" spans="1:2" ht="15.75" customHeight="1" x14ac:dyDescent="0.3">
      <c r="A644" s="2" t="s">
        <v>1213</v>
      </c>
      <c r="B644" s="2" t="s">
        <v>2356</v>
      </c>
    </row>
    <row r="645" spans="1:2" ht="15.75" customHeight="1" x14ac:dyDescent="0.3">
      <c r="A645" s="2" t="s">
        <v>55</v>
      </c>
      <c r="B645" s="2" t="s">
        <v>2357</v>
      </c>
    </row>
    <row r="646" spans="1:2" ht="15.75" customHeight="1" x14ac:dyDescent="0.3">
      <c r="A646" s="2" t="s">
        <v>715</v>
      </c>
      <c r="B646" s="2" t="s">
        <v>2357</v>
      </c>
    </row>
    <row r="647" spans="1:2" ht="15.75" customHeight="1" x14ac:dyDescent="0.3">
      <c r="A647" s="2" t="s">
        <v>650</v>
      </c>
      <c r="B647" s="2" t="s">
        <v>2356</v>
      </c>
    </row>
    <row r="648" spans="1:2" ht="15.75" customHeight="1" x14ac:dyDescent="0.3">
      <c r="A648" s="2" t="s">
        <v>2315</v>
      </c>
      <c r="B648" s="2" t="s">
        <v>2360</v>
      </c>
    </row>
    <row r="649" spans="1:2" ht="15.75" customHeight="1" x14ac:dyDescent="0.3">
      <c r="A649" s="2" t="s">
        <v>1653</v>
      </c>
      <c r="B649" s="2" t="s">
        <v>2356</v>
      </c>
    </row>
    <row r="650" spans="1:2" ht="15.75" customHeight="1" x14ac:dyDescent="0.3">
      <c r="A650" s="2" t="s">
        <v>420</v>
      </c>
      <c r="B650" s="2" t="s">
        <v>2357</v>
      </c>
    </row>
    <row r="651" spans="1:2" ht="15.75" customHeight="1" x14ac:dyDescent="0.3">
      <c r="A651" s="2" t="s">
        <v>1864</v>
      </c>
      <c r="B651" s="2" t="s">
        <v>2357</v>
      </c>
    </row>
    <row r="652" spans="1:2" ht="15.75" customHeight="1" x14ac:dyDescent="0.3">
      <c r="A652" s="2" t="s">
        <v>1390</v>
      </c>
      <c r="B652" s="2" t="s">
        <v>2357</v>
      </c>
    </row>
    <row r="653" spans="1:2" ht="15.75" customHeight="1" x14ac:dyDescent="0.3">
      <c r="A653" s="2" t="s">
        <v>2147</v>
      </c>
      <c r="B653" s="2" t="s">
        <v>2357</v>
      </c>
    </row>
    <row r="654" spans="1:2" ht="15.75" customHeight="1" x14ac:dyDescent="0.3">
      <c r="A654" s="2" t="s">
        <v>518</v>
      </c>
      <c r="B654" s="2" t="s">
        <v>2356</v>
      </c>
    </row>
    <row r="655" spans="1:2" ht="15.75" customHeight="1" x14ac:dyDescent="0.3">
      <c r="A655" s="2" t="s">
        <v>2022</v>
      </c>
      <c r="B655" s="2" t="s">
        <v>2357</v>
      </c>
    </row>
    <row r="656" spans="1:2" ht="15.75" customHeight="1" x14ac:dyDescent="0.3">
      <c r="A656" s="2" t="s">
        <v>2224</v>
      </c>
      <c r="B656" s="2" t="s">
        <v>2357</v>
      </c>
    </row>
    <row r="657" spans="1:2" ht="15.75" customHeight="1" x14ac:dyDescent="0.3">
      <c r="A657" s="2" t="s">
        <v>939</v>
      </c>
      <c r="B657" s="2" t="s">
        <v>2357</v>
      </c>
    </row>
    <row r="658" spans="1:2" ht="15.75" customHeight="1" x14ac:dyDescent="0.3">
      <c r="A658" s="2" t="s">
        <v>627</v>
      </c>
      <c r="B658" s="2" t="s">
        <v>2357</v>
      </c>
    </row>
    <row r="659" spans="1:2" ht="15.75" customHeight="1" x14ac:dyDescent="0.3">
      <c r="A659" s="2" t="s">
        <v>1009</v>
      </c>
      <c r="B659" s="2" t="s">
        <v>2357</v>
      </c>
    </row>
    <row r="660" spans="1:2" ht="15.75" customHeight="1" x14ac:dyDescent="0.3">
      <c r="A660" s="2" t="s">
        <v>2334</v>
      </c>
      <c r="B660" s="2" t="s">
        <v>2357</v>
      </c>
    </row>
    <row r="661" spans="1:2" ht="15.75" customHeight="1" x14ac:dyDescent="0.3">
      <c r="A661" s="2" t="s">
        <v>424</v>
      </c>
      <c r="B661" s="2" t="s">
        <v>2359</v>
      </c>
    </row>
    <row r="662" spans="1:2" ht="15.75" customHeight="1" x14ac:dyDescent="0.3">
      <c r="A662" s="2" t="s">
        <v>587</v>
      </c>
      <c r="B662" s="2" t="s">
        <v>2357</v>
      </c>
    </row>
    <row r="663" spans="1:2" ht="15.75" customHeight="1" x14ac:dyDescent="0.3">
      <c r="A663" s="2" t="s">
        <v>641</v>
      </c>
      <c r="B663" s="2" t="s">
        <v>2357</v>
      </c>
    </row>
    <row r="664" spans="1:2" ht="15.75" customHeight="1" x14ac:dyDescent="0.3">
      <c r="A664" s="2" t="s">
        <v>890</v>
      </c>
      <c r="B664" s="2" t="s">
        <v>2357</v>
      </c>
    </row>
    <row r="665" spans="1:2" ht="15.75" customHeight="1" x14ac:dyDescent="0.3">
      <c r="A665" s="2" t="s">
        <v>2191</v>
      </c>
      <c r="B665" s="2" t="s">
        <v>2358</v>
      </c>
    </row>
    <row r="666" spans="1:2" ht="15.75" customHeight="1" x14ac:dyDescent="0.3">
      <c r="A666" s="2" t="s">
        <v>2074</v>
      </c>
      <c r="B666" s="2" t="s">
        <v>2357</v>
      </c>
    </row>
    <row r="667" spans="1:2" ht="15.75" customHeight="1" x14ac:dyDescent="0.3">
      <c r="A667" s="2" t="s">
        <v>1546</v>
      </c>
      <c r="B667" s="2" t="s">
        <v>2357</v>
      </c>
    </row>
    <row r="668" spans="1:2" ht="15.75" customHeight="1" x14ac:dyDescent="0.3">
      <c r="A668" s="2" t="s">
        <v>835</v>
      </c>
      <c r="B668" s="2" t="s">
        <v>2356</v>
      </c>
    </row>
    <row r="669" spans="1:2" ht="15.75" customHeight="1" x14ac:dyDescent="0.3">
      <c r="A669" s="2" t="s">
        <v>1909</v>
      </c>
      <c r="B669" s="2" t="s">
        <v>2357</v>
      </c>
    </row>
    <row r="670" spans="1:2" ht="15.75" customHeight="1" x14ac:dyDescent="0.3">
      <c r="A670" s="2" t="s">
        <v>2119</v>
      </c>
      <c r="B670" s="2" t="s">
        <v>2360</v>
      </c>
    </row>
    <row r="671" spans="1:2" ht="15.75" customHeight="1" x14ac:dyDescent="0.3">
      <c r="A671" s="2" t="s">
        <v>932</v>
      </c>
      <c r="B671" s="2" t="s">
        <v>2356</v>
      </c>
    </row>
    <row r="672" spans="1:2" ht="15.75" customHeight="1" x14ac:dyDescent="0.3">
      <c r="A672" s="2" t="s">
        <v>1884</v>
      </c>
      <c r="B672" s="2" t="s">
        <v>2357</v>
      </c>
    </row>
    <row r="673" spans="1:2" ht="15.75" customHeight="1" x14ac:dyDescent="0.3">
      <c r="A673" s="2" t="s">
        <v>1649</v>
      </c>
      <c r="B673" s="2" t="s">
        <v>2356</v>
      </c>
    </row>
    <row r="674" spans="1:2" ht="15.75" customHeight="1" x14ac:dyDescent="0.3">
      <c r="A674" s="2" t="s">
        <v>1647</v>
      </c>
      <c r="B674" s="2" t="s">
        <v>2356</v>
      </c>
    </row>
    <row r="675" spans="1:2" ht="15.75" customHeight="1" x14ac:dyDescent="0.3">
      <c r="A675" s="2" t="s">
        <v>552</v>
      </c>
      <c r="B675" s="2" t="s">
        <v>2357</v>
      </c>
    </row>
    <row r="676" spans="1:2" ht="15.75" customHeight="1" x14ac:dyDescent="0.3">
      <c r="A676" s="2" t="s">
        <v>1138</v>
      </c>
      <c r="B676" s="2" t="s">
        <v>2357</v>
      </c>
    </row>
    <row r="677" spans="1:2" ht="15.75" customHeight="1" x14ac:dyDescent="0.3">
      <c r="A677" s="2" t="s">
        <v>2349</v>
      </c>
      <c r="B677" s="2" t="s">
        <v>2357</v>
      </c>
    </row>
    <row r="678" spans="1:2" ht="15.75" customHeight="1" x14ac:dyDescent="0.3">
      <c r="A678" s="2" t="s">
        <v>930</v>
      </c>
      <c r="B678" s="2" t="s">
        <v>2357</v>
      </c>
    </row>
    <row r="679" spans="1:2" ht="15.75" customHeight="1" x14ac:dyDescent="0.3">
      <c r="A679" s="2" t="s">
        <v>756</v>
      </c>
      <c r="B679" s="2" t="s">
        <v>2357</v>
      </c>
    </row>
    <row r="680" spans="1:2" ht="15.75" customHeight="1" x14ac:dyDescent="0.3">
      <c r="A680" s="2" t="s">
        <v>303</v>
      </c>
      <c r="B680" s="2" t="s">
        <v>2357</v>
      </c>
    </row>
    <row r="681" spans="1:2" ht="15.75" customHeight="1" x14ac:dyDescent="0.3">
      <c r="A681" s="2" t="s">
        <v>2227</v>
      </c>
      <c r="B681" s="2" t="s">
        <v>2357</v>
      </c>
    </row>
    <row r="682" spans="1:2" ht="15.75" customHeight="1" x14ac:dyDescent="0.3">
      <c r="A682" s="2" t="s">
        <v>511</v>
      </c>
      <c r="B682" s="2" t="s">
        <v>2357</v>
      </c>
    </row>
    <row r="683" spans="1:2" ht="15.75" customHeight="1" x14ac:dyDescent="0.3">
      <c r="A683" s="2" t="s">
        <v>1728</v>
      </c>
      <c r="B683" s="2" t="s">
        <v>2357</v>
      </c>
    </row>
    <row r="684" spans="1:2" ht="15.75" customHeight="1" x14ac:dyDescent="0.3">
      <c r="A684" s="2" t="s">
        <v>1818</v>
      </c>
      <c r="B684" s="2" t="s">
        <v>2357</v>
      </c>
    </row>
    <row r="685" spans="1:2" ht="15.75" customHeight="1" x14ac:dyDescent="0.3">
      <c r="A685" s="2" t="s">
        <v>588</v>
      </c>
      <c r="B685" s="2" t="s">
        <v>2357</v>
      </c>
    </row>
    <row r="686" spans="1:2" ht="15.75" customHeight="1" x14ac:dyDescent="0.3">
      <c r="A686" s="2" t="s">
        <v>1722</v>
      </c>
      <c r="B686" s="2" t="s">
        <v>2356</v>
      </c>
    </row>
    <row r="687" spans="1:2" ht="15.75" customHeight="1" x14ac:dyDescent="0.3">
      <c r="A687" s="2" t="s">
        <v>219</v>
      </c>
      <c r="B687" s="2" t="s">
        <v>2357</v>
      </c>
    </row>
    <row r="688" spans="1:2" ht="15.75" customHeight="1" x14ac:dyDescent="0.3">
      <c r="A688" s="2" t="s">
        <v>2352</v>
      </c>
      <c r="B688" s="2" t="s">
        <v>2357</v>
      </c>
    </row>
    <row r="689" spans="1:2" ht="15.75" customHeight="1" x14ac:dyDescent="0.3">
      <c r="A689" s="2" t="s">
        <v>1633</v>
      </c>
      <c r="B689" s="2" t="s">
        <v>2356</v>
      </c>
    </row>
    <row r="690" spans="1:2" ht="15.75" customHeight="1" x14ac:dyDescent="0.3">
      <c r="A690" s="2" t="s">
        <v>180</v>
      </c>
      <c r="B690" s="2" t="s">
        <v>2357</v>
      </c>
    </row>
    <row r="691" spans="1:2" ht="15.75" customHeight="1" x14ac:dyDescent="0.3">
      <c r="A691" s="2" t="s">
        <v>1806</v>
      </c>
      <c r="B691" s="2" t="s">
        <v>2357</v>
      </c>
    </row>
    <row r="692" spans="1:2" ht="15.75" customHeight="1" x14ac:dyDescent="0.3">
      <c r="A692" s="2" t="s">
        <v>1880</v>
      </c>
      <c r="B692" s="2" t="s">
        <v>2357</v>
      </c>
    </row>
    <row r="693" spans="1:2" ht="15.75" customHeight="1" x14ac:dyDescent="0.3">
      <c r="A693" s="2" t="s">
        <v>1827</v>
      </c>
      <c r="B693" s="2" t="s">
        <v>2357</v>
      </c>
    </row>
    <row r="694" spans="1:2" ht="15.75" customHeight="1" x14ac:dyDescent="0.3">
      <c r="A694" s="2" t="s">
        <v>1814</v>
      </c>
      <c r="B694" s="2" t="s">
        <v>2357</v>
      </c>
    </row>
    <row r="695" spans="1:2" ht="15.75" customHeight="1" x14ac:dyDescent="0.3">
      <c r="A695" s="2" t="s">
        <v>1840</v>
      </c>
      <c r="B695" s="2" t="s">
        <v>2357</v>
      </c>
    </row>
    <row r="696" spans="1:2" ht="15.75" customHeight="1" x14ac:dyDescent="0.3">
      <c r="A696" s="2" t="s">
        <v>156</v>
      </c>
      <c r="B696" s="2" t="s">
        <v>2357</v>
      </c>
    </row>
    <row r="697" spans="1:2" ht="15.75" customHeight="1" x14ac:dyDescent="0.3">
      <c r="A697" s="2" t="s">
        <v>484</v>
      </c>
      <c r="B697" s="2" t="s">
        <v>2357</v>
      </c>
    </row>
    <row r="698" spans="1:2" ht="15.75" customHeight="1" x14ac:dyDescent="0.3">
      <c r="A698" s="2" t="s">
        <v>554</v>
      </c>
      <c r="B698" s="2" t="s">
        <v>2357</v>
      </c>
    </row>
    <row r="699" spans="1:2" ht="15.75" customHeight="1" x14ac:dyDescent="0.3">
      <c r="A699" s="2" t="s">
        <v>1602</v>
      </c>
      <c r="B699" s="2" t="s">
        <v>2357</v>
      </c>
    </row>
    <row r="700" spans="1:2" ht="15.75" customHeight="1" x14ac:dyDescent="0.3">
      <c r="A700" s="2" t="s">
        <v>306</v>
      </c>
      <c r="B700" s="2" t="s">
        <v>2357</v>
      </c>
    </row>
    <row r="701" spans="1:2" ht="15.75" customHeight="1" x14ac:dyDescent="0.3">
      <c r="A701" s="2" t="s">
        <v>2354</v>
      </c>
      <c r="B701" s="2" t="s">
        <v>2360</v>
      </c>
    </row>
    <row r="702" spans="1:2" ht="15.75" customHeight="1" x14ac:dyDescent="0.3">
      <c r="A702" s="2" t="s">
        <v>215</v>
      </c>
      <c r="B702" s="2" t="s">
        <v>2357</v>
      </c>
    </row>
    <row r="703" spans="1:2" ht="15.75" customHeight="1" x14ac:dyDescent="0.3">
      <c r="A703" s="2" t="s">
        <v>1182</v>
      </c>
      <c r="B703" s="2" t="s">
        <v>2357</v>
      </c>
    </row>
    <row r="704" spans="1:2" ht="15.75" customHeight="1" x14ac:dyDescent="0.3">
      <c r="A704" s="2" t="s">
        <v>2037</v>
      </c>
      <c r="B704" s="2" t="s">
        <v>2357</v>
      </c>
    </row>
    <row r="705" spans="1:2" ht="15.75" customHeight="1" x14ac:dyDescent="0.3">
      <c r="A705" s="2" t="s">
        <v>952</v>
      </c>
      <c r="B705" s="2" t="s">
        <v>2357</v>
      </c>
    </row>
    <row r="706" spans="1:2" ht="15.75" customHeight="1" x14ac:dyDescent="0.3">
      <c r="A706" s="2" t="s">
        <v>1564</v>
      </c>
      <c r="B706" s="2" t="s">
        <v>2357</v>
      </c>
    </row>
    <row r="707" spans="1:2" ht="15.75" customHeight="1" x14ac:dyDescent="0.3">
      <c r="A707" s="2" t="s">
        <v>602</v>
      </c>
      <c r="B707" s="2" t="s">
        <v>2356</v>
      </c>
    </row>
    <row r="708" spans="1:2" ht="15.75" customHeight="1" x14ac:dyDescent="0.3">
      <c r="A708" s="2" t="s">
        <v>1687</v>
      </c>
      <c r="B708" s="2" t="s">
        <v>2357</v>
      </c>
    </row>
    <row r="709" spans="1:2" ht="15.75" customHeight="1" x14ac:dyDescent="0.3">
      <c r="A709" s="2" t="s">
        <v>2330</v>
      </c>
      <c r="B709" s="2" t="s">
        <v>2359</v>
      </c>
    </row>
    <row r="710" spans="1:2" ht="15.75" customHeight="1" x14ac:dyDescent="0.3">
      <c r="A710" s="2" t="s">
        <v>1601</v>
      </c>
      <c r="B710" s="2" t="s">
        <v>2357</v>
      </c>
    </row>
    <row r="711" spans="1:2" ht="15.75" customHeight="1" x14ac:dyDescent="0.3">
      <c r="A711" s="2" t="s">
        <v>887</v>
      </c>
      <c r="B711" s="2" t="s">
        <v>2357</v>
      </c>
    </row>
    <row r="712" spans="1:2" ht="15.75" customHeight="1" x14ac:dyDescent="0.3">
      <c r="A712" s="2" t="s">
        <v>2136</v>
      </c>
      <c r="B712" s="2" t="s">
        <v>2360</v>
      </c>
    </row>
    <row r="713" spans="1:2" ht="15.75" customHeight="1" x14ac:dyDescent="0.3">
      <c r="A713" s="2" t="s">
        <v>1046</v>
      </c>
      <c r="B713" s="2" t="s">
        <v>2357</v>
      </c>
    </row>
    <row r="714" spans="1:2" ht="15.75" customHeight="1" x14ac:dyDescent="0.3">
      <c r="A714" s="2" t="s">
        <v>1318</v>
      </c>
      <c r="B714" s="2" t="s">
        <v>2357</v>
      </c>
    </row>
    <row r="715" spans="1:2" ht="15.75" customHeight="1" x14ac:dyDescent="0.3">
      <c r="A715" s="2" t="s">
        <v>1542</v>
      </c>
      <c r="B715" s="2" t="s">
        <v>2357</v>
      </c>
    </row>
    <row r="716" spans="1:2" ht="15.75" customHeight="1" x14ac:dyDescent="0.3">
      <c r="A716" s="2" t="s">
        <v>1761</v>
      </c>
      <c r="B716" s="2" t="s">
        <v>2357</v>
      </c>
    </row>
    <row r="717" spans="1:2" ht="15.75" customHeight="1" x14ac:dyDescent="0.3">
      <c r="A717" s="2" t="s">
        <v>330</v>
      </c>
      <c r="B717" s="2" t="s">
        <v>2357</v>
      </c>
    </row>
    <row r="718" spans="1:2" ht="15.75" customHeight="1" x14ac:dyDescent="0.3">
      <c r="A718" s="2" t="s">
        <v>2112</v>
      </c>
      <c r="B718" s="2" t="s">
        <v>2357</v>
      </c>
    </row>
    <row r="719" spans="1:2" ht="15.75" customHeight="1" x14ac:dyDescent="0.3">
      <c r="A719" s="2" t="s">
        <v>2228</v>
      </c>
      <c r="B719" s="2" t="s">
        <v>2357</v>
      </c>
    </row>
    <row r="720" spans="1:2" ht="15.75" customHeight="1" x14ac:dyDescent="0.3">
      <c r="A720" s="2" t="s">
        <v>1868</v>
      </c>
      <c r="B720" s="2" t="s">
        <v>2357</v>
      </c>
    </row>
    <row r="721" spans="1:2" ht="15.75" customHeight="1" x14ac:dyDescent="0.3">
      <c r="A721" s="2" t="s">
        <v>2120</v>
      </c>
      <c r="B721" s="2" t="s">
        <v>2360</v>
      </c>
    </row>
    <row r="722" spans="1:2" ht="15.75" customHeight="1" x14ac:dyDescent="0.3">
      <c r="A722" s="2" t="s">
        <v>2066</v>
      </c>
      <c r="B722" s="2" t="s">
        <v>2357</v>
      </c>
    </row>
    <row r="723" spans="1:2" ht="15.75" customHeight="1" x14ac:dyDescent="0.3">
      <c r="A723" s="2" t="s">
        <v>2075</v>
      </c>
      <c r="B723" s="2" t="s">
        <v>2357</v>
      </c>
    </row>
    <row r="724" spans="1:2" ht="15.75" customHeight="1" x14ac:dyDescent="0.3">
      <c r="A724" s="2" t="s">
        <v>2269</v>
      </c>
      <c r="B724" s="2" t="s">
        <v>2358</v>
      </c>
    </row>
    <row r="725" spans="1:2" ht="15.75" customHeight="1" x14ac:dyDescent="0.3">
      <c r="A725" s="2" t="s">
        <v>919</v>
      </c>
      <c r="B725" s="2" t="s">
        <v>2357</v>
      </c>
    </row>
    <row r="726" spans="1:2" ht="15.75" customHeight="1" x14ac:dyDescent="0.3">
      <c r="A726" s="2" t="s">
        <v>869</v>
      </c>
      <c r="B726" s="2" t="s">
        <v>2357</v>
      </c>
    </row>
    <row r="727" spans="1:2" ht="15.75" customHeight="1" x14ac:dyDescent="0.3">
      <c r="A727" s="2" t="s">
        <v>2184</v>
      </c>
      <c r="B727" s="2" t="s">
        <v>2360</v>
      </c>
    </row>
    <row r="728" spans="1:2" ht="15.75" customHeight="1" x14ac:dyDescent="0.3">
      <c r="A728" s="2" t="s">
        <v>1180</v>
      </c>
      <c r="B728" s="2" t="s">
        <v>2356</v>
      </c>
    </row>
    <row r="729" spans="1:2" ht="15.75" customHeight="1" x14ac:dyDescent="0.3">
      <c r="A729" s="2" t="s">
        <v>1457</v>
      </c>
      <c r="B729" s="2" t="s">
        <v>2357</v>
      </c>
    </row>
    <row r="730" spans="1:2" ht="15.75" customHeight="1" x14ac:dyDescent="0.3">
      <c r="A730" s="2" t="s">
        <v>1549</v>
      </c>
      <c r="B730" s="2" t="s">
        <v>2357</v>
      </c>
    </row>
    <row r="731" spans="1:2" ht="15.75" customHeight="1" x14ac:dyDescent="0.3">
      <c r="A731" s="2" t="s">
        <v>1593</v>
      </c>
      <c r="B731" s="2" t="s">
        <v>2357</v>
      </c>
    </row>
    <row r="732" spans="1:2" ht="15.75" customHeight="1" x14ac:dyDescent="0.3">
      <c r="A732" s="2" t="s">
        <v>2326</v>
      </c>
      <c r="B732" s="2" t="s">
        <v>2357</v>
      </c>
    </row>
    <row r="733" spans="1:2" ht="15.75" customHeight="1" x14ac:dyDescent="0.3">
      <c r="A733" s="2" t="s">
        <v>1570</v>
      </c>
      <c r="B733" s="2" t="s">
        <v>2357</v>
      </c>
    </row>
    <row r="734" spans="1:2" ht="15.75" customHeight="1" x14ac:dyDescent="0.3">
      <c r="A734" s="2" t="s">
        <v>382</v>
      </c>
      <c r="B734" s="2" t="s">
        <v>2357</v>
      </c>
    </row>
    <row r="735" spans="1:2" ht="15.75" customHeight="1" x14ac:dyDescent="0.3">
      <c r="A735" s="2" t="s">
        <v>1192</v>
      </c>
      <c r="B735" s="2" t="s">
        <v>2357</v>
      </c>
    </row>
    <row r="736" spans="1:2" ht="15.75" customHeight="1" x14ac:dyDescent="0.3">
      <c r="A736" s="2" t="s">
        <v>481</v>
      </c>
      <c r="B736" s="2" t="s">
        <v>2357</v>
      </c>
    </row>
    <row r="737" spans="1:2" ht="15.75" customHeight="1" x14ac:dyDescent="0.3">
      <c r="A737" s="2" t="s">
        <v>1948</v>
      </c>
      <c r="B737" s="2" t="s">
        <v>2357</v>
      </c>
    </row>
    <row r="738" spans="1:2" ht="15.75" customHeight="1" x14ac:dyDescent="0.3">
      <c r="A738" s="2" t="s">
        <v>1903</v>
      </c>
      <c r="B738" s="2" t="s">
        <v>2357</v>
      </c>
    </row>
    <row r="739" spans="1:2" ht="15.75" customHeight="1" x14ac:dyDescent="0.3">
      <c r="A739" s="2" t="s">
        <v>2139</v>
      </c>
      <c r="B739" s="2" t="s">
        <v>2358</v>
      </c>
    </row>
    <row r="740" spans="1:2" ht="15.75" customHeight="1" x14ac:dyDescent="0.3">
      <c r="A740" s="2" t="s">
        <v>2282</v>
      </c>
      <c r="B740" s="2" t="s">
        <v>2357</v>
      </c>
    </row>
    <row r="741" spans="1:2" ht="15.75" customHeight="1" x14ac:dyDescent="0.3">
      <c r="A741" s="2" t="s">
        <v>1845</v>
      </c>
      <c r="B741" s="2" t="s">
        <v>2357</v>
      </c>
    </row>
    <row r="742" spans="1:2" ht="15.75" customHeight="1" x14ac:dyDescent="0.3">
      <c r="A742" s="2" t="s">
        <v>270</v>
      </c>
      <c r="B742" s="2" t="s">
        <v>2357</v>
      </c>
    </row>
    <row r="743" spans="1:2" ht="15.75" customHeight="1" x14ac:dyDescent="0.3">
      <c r="A743" s="2" t="s">
        <v>1665</v>
      </c>
      <c r="B743" s="2" t="s">
        <v>2357</v>
      </c>
    </row>
    <row r="744" spans="1:2" ht="15.75" customHeight="1" x14ac:dyDescent="0.3">
      <c r="A744" s="2" t="s">
        <v>1594</v>
      </c>
      <c r="B744" s="2" t="s">
        <v>2357</v>
      </c>
    </row>
    <row r="745" spans="1:2" ht="15.75" customHeight="1" x14ac:dyDescent="0.3">
      <c r="A745" s="2" t="s">
        <v>1505</v>
      </c>
      <c r="B745" s="2" t="s">
        <v>2356</v>
      </c>
    </row>
    <row r="746" spans="1:2" ht="15.75" customHeight="1" x14ac:dyDescent="0.3">
      <c r="A746" s="2" t="s">
        <v>2093</v>
      </c>
      <c r="B746" s="2" t="s">
        <v>2359</v>
      </c>
    </row>
    <row r="747" spans="1:2" ht="15.75" customHeight="1" x14ac:dyDescent="0.3">
      <c r="A747" s="2" t="s">
        <v>351</v>
      </c>
      <c r="B747" s="2" t="s">
        <v>2356</v>
      </c>
    </row>
    <row r="748" spans="1:2" ht="15.75" customHeight="1" x14ac:dyDescent="0.3">
      <c r="A748" s="2" t="s">
        <v>406</v>
      </c>
      <c r="B748" s="2" t="s">
        <v>2357</v>
      </c>
    </row>
    <row r="749" spans="1:2" ht="15.75" customHeight="1" x14ac:dyDescent="0.3">
      <c r="A749" s="2" t="s">
        <v>906</v>
      </c>
      <c r="B749" s="2" t="s">
        <v>2357</v>
      </c>
    </row>
    <row r="750" spans="1:2" ht="15.75" customHeight="1" x14ac:dyDescent="0.3">
      <c r="A750" s="2" t="s">
        <v>1044</v>
      </c>
      <c r="B750" s="2" t="s">
        <v>2356</v>
      </c>
    </row>
    <row r="751" spans="1:2" ht="15.75" customHeight="1" x14ac:dyDescent="0.3">
      <c r="A751" s="2" t="s">
        <v>1426</v>
      </c>
      <c r="B751" s="2" t="s">
        <v>2357</v>
      </c>
    </row>
    <row r="752" spans="1:2" ht="15.75" customHeight="1" x14ac:dyDescent="0.3">
      <c r="A752" s="2" t="s">
        <v>1583</v>
      </c>
      <c r="B752" s="2" t="s">
        <v>2357</v>
      </c>
    </row>
    <row r="753" spans="1:2" ht="15.75" customHeight="1" x14ac:dyDescent="0.3">
      <c r="A753" s="2" t="s">
        <v>1725</v>
      </c>
      <c r="B753" s="2" t="s">
        <v>2356</v>
      </c>
    </row>
    <row r="754" spans="1:2" ht="15.75" customHeight="1" x14ac:dyDescent="0.3">
      <c r="A754" s="2" t="s">
        <v>529</v>
      </c>
      <c r="B754" s="2" t="s">
        <v>2357</v>
      </c>
    </row>
    <row r="755" spans="1:2" ht="15.75" customHeight="1" x14ac:dyDescent="0.3">
      <c r="A755" s="2" t="s">
        <v>348</v>
      </c>
      <c r="B755" s="2" t="s">
        <v>2357</v>
      </c>
    </row>
    <row r="756" spans="1:2" ht="15.75" customHeight="1" x14ac:dyDescent="0.3">
      <c r="A756" s="2" t="s">
        <v>2351</v>
      </c>
      <c r="B756" s="2" t="s">
        <v>2360</v>
      </c>
    </row>
    <row r="757" spans="1:2" ht="15.75" customHeight="1" x14ac:dyDescent="0.3">
      <c r="A757" s="2" t="s">
        <v>2144</v>
      </c>
      <c r="B757" s="2" t="s">
        <v>2358</v>
      </c>
    </row>
    <row r="758" spans="1:2" ht="15.75" customHeight="1" x14ac:dyDescent="0.3">
      <c r="A758" s="2" t="s">
        <v>2174</v>
      </c>
      <c r="B758" s="2" t="s">
        <v>2358</v>
      </c>
    </row>
    <row r="759" spans="1:2" ht="15.75" customHeight="1" x14ac:dyDescent="0.3">
      <c r="A759" s="2" t="s">
        <v>1780</v>
      </c>
      <c r="B759" s="2" t="s">
        <v>2357</v>
      </c>
    </row>
    <row r="760" spans="1:2" ht="15.75" customHeight="1" x14ac:dyDescent="0.3">
      <c r="A760" s="2" t="s">
        <v>1365</v>
      </c>
      <c r="B760" s="2" t="s">
        <v>2357</v>
      </c>
    </row>
    <row r="761" spans="1:2" ht="15.75" customHeight="1" x14ac:dyDescent="0.3">
      <c r="A761" s="2" t="s">
        <v>2302</v>
      </c>
      <c r="B761" s="2" t="s">
        <v>2357</v>
      </c>
    </row>
    <row r="762" spans="1:2" ht="15.75" customHeight="1" x14ac:dyDescent="0.3">
      <c r="A762" s="2" t="s">
        <v>675</v>
      </c>
      <c r="B762" s="2" t="s">
        <v>2356</v>
      </c>
    </row>
    <row r="763" spans="1:2" ht="15.75" customHeight="1" x14ac:dyDescent="0.3">
      <c r="A763" s="2" t="s">
        <v>790</v>
      </c>
      <c r="B763" s="2" t="s">
        <v>2357</v>
      </c>
    </row>
    <row r="764" spans="1:2" ht="15.75" customHeight="1" x14ac:dyDescent="0.3">
      <c r="A764" s="2" t="s">
        <v>1030</v>
      </c>
      <c r="B764" s="2" t="s">
        <v>2357</v>
      </c>
    </row>
    <row r="765" spans="1:2" ht="15.75" customHeight="1" x14ac:dyDescent="0.3">
      <c r="A765" s="2" t="s">
        <v>1581</v>
      </c>
      <c r="B765" s="2" t="s">
        <v>2359</v>
      </c>
    </row>
    <row r="766" spans="1:2" ht="15.75" customHeight="1" x14ac:dyDescent="0.3">
      <c r="A766" s="2" t="s">
        <v>2055</v>
      </c>
      <c r="B766" s="2" t="s">
        <v>2356</v>
      </c>
    </row>
    <row r="767" spans="1:2" ht="15.75" customHeight="1" x14ac:dyDescent="0.3">
      <c r="A767" s="2" t="s">
        <v>1763</v>
      </c>
      <c r="B767" s="2" t="s">
        <v>2356</v>
      </c>
    </row>
    <row r="768" spans="1:2" ht="15.75" customHeight="1" x14ac:dyDescent="0.3">
      <c r="A768" s="2" t="s">
        <v>2091</v>
      </c>
      <c r="B768" s="2" t="s">
        <v>2356</v>
      </c>
    </row>
    <row r="769" spans="1:2" ht="15.75" customHeight="1" x14ac:dyDescent="0.3">
      <c r="A769" s="2" t="s">
        <v>1816</v>
      </c>
      <c r="B769" s="2" t="s">
        <v>2357</v>
      </c>
    </row>
    <row r="770" spans="1:2" ht="15.75" customHeight="1" x14ac:dyDescent="0.3">
      <c r="A770" s="2" t="s">
        <v>1873</v>
      </c>
      <c r="B770" s="2" t="s">
        <v>2357</v>
      </c>
    </row>
    <row r="771" spans="1:2" ht="15.75" customHeight="1" x14ac:dyDescent="0.3">
      <c r="A771" s="2" t="s">
        <v>1904</v>
      </c>
      <c r="B771" s="2" t="s">
        <v>2357</v>
      </c>
    </row>
    <row r="772" spans="1:2" ht="15.75" customHeight="1" x14ac:dyDescent="0.3">
      <c r="A772" s="2" t="s">
        <v>1497</v>
      </c>
      <c r="B772" s="2" t="s">
        <v>2359</v>
      </c>
    </row>
    <row r="773" spans="1:2" ht="15.75" customHeight="1" x14ac:dyDescent="0.3">
      <c r="A773" s="2" t="s">
        <v>1471</v>
      </c>
      <c r="B773" s="2" t="s">
        <v>2357</v>
      </c>
    </row>
    <row r="774" spans="1:2" ht="15.75" customHeight="1" x14ac:dyDescent="0.3">
      <c r="A774" s="2" t="s">
        <v>1093</v>
      </c>
      <c r="B774" s="2" t="s">
        <v>2357</v>
      </c>
    </row>
    <row r="775" spans="1:2" ht="15.75" customHeight="1" x14ac:dyDescent="0.3">
      <c r="A775" s="2" t="s">
        <v>1711</v>
      </c>
      <c r="B775" s="2" t="s">
        <v>2357</v>
      </c>
    </row>
    <row r="776" spans="1:2" ht="15.75" customHeight="1" x14ac:dyDescent="0.3">
      <c r="A776" s="2" t="s">
        <v>1191</v>
      </c>
      <c r="B776" s="2" t="s">
        <v>2359</v>
      </c>
    </row>
    <row r="777" spans="1:2" ht="15.75" customHeight="1" x14ac:dyDescent="0.3">
      <c r="A777" s="2" t="s">
        <v>2058</v>
      </c>
      <c r="B777" s="2" t="s">
        <v>2359</v>
      </c>
    </row>
    <row r="778" spans="1:2" ht="15.75" customHeight="1" x14ac:dyDescent="0.3">
      <c r="A778" s="2" t="s">
        <v>1304</v>
      </c>
      <c r="B778" s="2" t="s">
        <v>2357</v>
      </c>
    </row>
    <row r="779" spans="1:2" ht="15.75" customHeight="1" x14ac:dyDescent="0.3">
      <c r="A779" s="2" t="s">
        <v>1696</v>
      </c>
      <c r="B779" s="2" t="s">
        <v>2357</v>
      </c>
    </row>
    <row r="780" spans="1:2" ht="15.75" customHeight="1" x14ac:dyDescent="0.3">
      <c r="A780" s="2" t="s">
        <v>771</v>
      </c>
      <c r="B780" s="2" t="s">
        <v>2357</v>
      </c>
    </row>
    <row r="781" spans="1:2" ht="15.75" customHeight="1" x14ac:dyDescent="0.3">
      <c r="A781" s="2" t="s">
        <v>687</v>
      </c>
      <c r="B781" s="2" t="s">
        <v>2357</v>
      </c>
    </row>
    <row r="782" spans="1:2" ht="15.75" customHeight="1" x14ac:dyDescent="0.3">
      <c r="A782" s="2" t="s">
        <v>569</v>
      </c>
      <c r="B782" s="2" t="s">
        <v>2357</v>
      </c>
    </row>
    <row r="783" spans="1:2" ht="15.75" customHeight="1" x14ac:dyDescent="0.3">
      <c r="A783" s="2" t="s">
        <v>442</v>
      </c>
      <c r="B783" s="2" t="s">
        <v>2357</v>
      </c>
    </row>
    <row r="784" spans="1:2" ht="15.75" customHeight="1" x14ac:dyDescent="0.3">
      <c r="A784" s="2" t="s">
        <v>2283</v>
      </c>
      <c r="B784" s="2" t="s">
        <v>2358</v>
      </c>
    </row>
    <row r="785" spans="1:2" ht="15.75" customHeight="1" x14ac:dyDescent="0.3">
      <c r="A785" s="2" t="s">
        <v>1384</v>
      </c>
      <c r="B785" s="2" t="s">
        <v>2359</v>
      </c>
    </row>
    <row r="786" spans="1:2" ht="15.75" customHeight="1" x14ac:dyDescent="0.3">
      <c r="A786" s="2" t="s">
        <v>899</v>
      </c>
      <c r="B786" s="2" t="s">
        <v>2356</v>
      </c>
    </row>
    <row r="787" spans="1:2" ht="15.75" customHeight="1" x14ac:dyDescent="0.3">
      <c r="A787" s="2" t="s">
        <v>2021</v>
      </c>
      <c r="B787" s="2" t="s">
        <v>2359</v>
      </c>
    </row>
    <row r="788" spans="1:2" ht="15.75" customHeight="1" x14ac:dyDescent="0.3">
      <c r="A788" s="2" t="s">
        <v>1461</v>
      </c>
      <c r="B788" s="2" t="s">
        <v>2356</v>
      </c>
    </row>
    <row r="789" spans="1:2" ht="15.75" customHeight="1" x14ac:dyDescent="0.3">
      <c r="A789" s="2" t="s">
        <v>1310</v>
      </c>
      <c r="B789" s="2" t="s">
        <v>2357</v>
      </c>
    </row>
    <row r="790" spans="1:2" ht="15.75" customHeight="1" x14ac:dyDescent="0.3">
      <c r="A790" s="2" t="s">
        <v>702</v>
      </c>
      <c r="B790" s="2" t="s">
        <v>2357</v>
      </c>
    </row>
    <row r="791" spans="1:2" ht="15.75" customHeight="1" x14ac:dyDescent="0.3">
      <c r="A791" s="2" t="s">
        <v>1338</v>
      </c>
      <c r="B791" s="2" t="s">
        <v>2357</v>
      </c>
    </row>
    <row r="792" spans="1:2" ht="15.75" customHeight="1" x14ac:dyDescent="0.3">
      <c r="A792" s="2" t="s">
        <v>2286</v>
      </c>
      <c r="B792" s="2" t="s">
        <v>2357</v>
      </c>
    </row>
    <row r="793" spans="1:2" ht="15.75" customHeight="1" x14ac:dyDescent="0.3">
      <c r="A793" s="2" t="s">
        <v>2062</v>
      </c>
      <c r="B793" s="2" t="s">
        <v>2357</v>
      </c>
    </row>
    <row r="794" spans="1:2" ht="15.75" customHeight="1" x14ac:dyDescent="0.3">
      <c r="A794" s="2" t="s">
        <v>1242</v>
      </c>
      <c r="B794" s="2" t="s">
        <v>2357</v>
      </c>
    </row>
    <row r="795" spans="1:2" ht="15.75" customHeight="1" x14ac:dyDescent="0.3">
      <c r="A795" s="2" t="s">
        <v>543</v>
      </c>
      <c r="B795" s="2" t="s">
        <v>2357</v>
      </c>
    </row>
    <row r="796" spans="1:2" ht="15.75" customHeight="1" x14ac:dyDescent="0.3">
      <c r="A796" s="2" t="s">
        <v>538</v>
      </c>
      <c r="B796" s="2" t="s">
        <v>2357</v>
      </c>
    </row>
    <row r="797" spans="1:2" ht="15.75" customHeight="1" x14ac:dyDescent="0.3">
      <c r="A797" s="2" t="s">
        <v>456</v>
      </c>
      <c r="B797" s="2" t="s">
        <v>2357</v>
      </c>
    </row>
    <row r="798" spans="1:2" ht="15.75" customHeight="1" x14ac:dyDescent="0.3">
      <c r="A798" s="2" t="s">
        <v>1635</v>
      </c>
      <c r="B798" s="2" t="s">
        <v>2356</v>
      </c>
    </row>
    <row r="799" spans="1:2" ht="15.75" customHeight="1" x14ac:dyDescent="0.3">
      <c r="A799" s="2" t="s">
        <v>1291</v>
      </c>
      <c r="B799" s="2" t="s">
        <v>2357</v>
      </c>
    </row>
    <row r="800" spans="1:2" ht="15.75" customHeight="1" x14ac:dyDescent="0.3">
      <c r="A800" s="2" t="s">
        <v>1305</v>
      </c>
      <c r="B800" s="2" t="s">
        <v>2357</v>
      </c>
    </row>
    <row r="801" spans="1:2" ht="15.75" customHeight="1" x14ac:dyDescent="0.3">
      <c r="A801" s="2" t="s">
        <v>274</v>
      </c>
      <c r="B801" s="2" t="s">
        <v>2356</v>
      </c>
    </row>
    <row r="802" spans="1:2" ht="15.75" customHeight="1" x14ac:dyDescent="0.3">
      <c r="A802" s="2" t="s">
        <v>428</v>
      </c>
      <c r="B802" s="2" t="s">
        <v>2356</v>
      </c>
    </row>
    <row r="803" spans="1:2" ht="15.75" customHeight="1" x14ac:dyDescent="0.3">
      <c r="A803" s="2" t="s">
        <v>1659</v>
      </c>
      <c r="B803" s="2" t="s">
        <v>2357</v>
      </c>
    </row>
    <row r="804" spans="1:2" ht="15.75" customHeight="1" x14ac:dyDescent="0.3">
      <c r="A804" s="2" t="s">
        <v>1102</v>
      </c>
      <c r="B804" s="2" t="s">
        <v>2357</v>
      </c>
    </row>
    <row r="805" spans="1:2" ht="15.75" customHeight="1" x14ac:dyDescent="0.3">
      <c r="A805" s="2" t="s">
        <v>1691</v>
      </c>
      <c r="B805" s="2" t="s">
        <v>2357</v>
      </c>
    </row>
    <row r="806" spans="1:2" ht="15.75" customHeight="1" x14ac:dyDescent="0.3">
      <c r="A806" s="2" t="s">
        <v>1364</v>
      </c>
      <c r="B806" s="2" t="s">
        <v>2356</v>
      </c>
    </row>
    <row r="807" spans="1:2" ht="15.75" customHeight="1" x14ac:dyDescent="0.3">
      <c r="A807" s="2" t="s">
        <v>1437</v>
      </c>
      <c r="B807" s="2" t="s">
        <v>2357</v>
      </c>
    </row>
    <row r="808" spans="1:2" ht="15.75" customHeight="1" x14ac:dyDescent="0.3">
      <c r="A808" s="2" t="s">
        <v>378</v>
      </c>
      <c r="B808" s="2" t="s">
        <v>2357</v>
      </c>
    </row>
    <row r="809" spans="1:2" ht="15.75" customHeight="1" x14ac:dyDescent="0.3">
      <c r="A809" s="2" t="s">
        <v>795</v>
      </c>
      <c r="B809" s="2" t="s">
        <v>2357</v>
      </c>
    </row>
    <row r="810" spans="1:2" ht="15.75" customHeight="1" x14ac:dyDescent="0.3">
      <c r="A810" s="2" t="s">
        <v>928</v>
      </c>
      <c r="B810" s="2" t="s">
        <v>2357</v>
      </c>
    </row>
    <row r="811" spans="1:2" ht="15.75" customHeight="1" x14ac:dyDescent="0.3">
      <c r="A811" s="2" t="s">
        <v>2310</v>
      </c>
      <c r="B811" s="2" t="s">
        <v>2357</v>
      </c>
    </row>
    <row r="812" spans="1:2" ht="15.75" customHeight="1" x14ac:dyDescent="0.3">
      <c r="A812" s="2" t="s">
        <v>127</v>
      </c>
      <c r="B812" s="2" t="s">
        <v>2357</v>
      </c>
    </row>
    <row r="813" spans="1:2" ht="15.75" customHeight="1" x14ac:dyDescent="0.3">
      <c r="A813" s="2" t="s">
        <v>1021</v>
      </c>
      <c r="B813" s="2" t="s">
        <v>2357</v>
      </c>
    </row>
    <row r="814" spans="1:2" ht="15.75" customHeight="1" x14ac:dyDescent="0.3">
      <c r="A814" s="2" t="s">
        <v>1422</v>
      </c>
      <c r="B814" s="2" t="s">
        <v>2357</v>
      </c>
    </row>
    <row r="815" spans="1:2" ht="15.75" customHeight="1" x14ac:dyDescent="0.3">
      <c r="A815" s="2" t="s">
        <v>2295</v>
      </c>
      <c r="B815" s="2" t="s">
        <v>2357</v>
      </c>
    </row>
    <row r="816" spans="1:2" ht="15.75" customHeight="1" x14ac:dyDescent="0.3">
      <c r="A816" s="2" t="s">
        <v>2237</v>
      </c>
      <c r="B816" s="2" t="s">
        <v>2360</v>
      </c>
    </row>
    <row r="817" spans="1:2" ht="15.75" customHeight="1" x14ac:dyDescent="0.3">
      <c r="A817" s="2" t="s">
        <v>505</v>
      </c>
      <c r="B817" s="2" t="s">
        <v>2357</v>
      </c>
    </row>
    <row r="818" spans="1:2" ht="15.75" customHeight="1" x14ac:dyDescent="0.3">
      <c r="A818" s="2" t="s">
        <v>1580</v>
      </c>
      <c r="B818" s="2" t="s">
        <v>2357</v>
      </c>
    </row>
    <row r="819" spans="1:2" ht="15.75" customHeight="1" x14ac:dyDescent="0.3">
      <c r="A819" s="2" t="s">
        <v>1876</v>
      </c>
      <c r="B819" s="2" t="s">
        <v>2357</v>
      </c>
    </row>
    <row r="820" spans="1:2" ht="15.75" customHeight="1" x14ac:dyDescent="0.3">
      <c r="A820" s="2" t="s">
        <v>1777</v>
      </c>
      <c r="B820" s="2" t="s">
        <v>2356</v>
      </c>
    </row>
    <row r="821" spans="1:2" ht="15.75" customHeight="1" x14ac:dyDescent="0.3">
      <c r="A821" s="2" t="s">
        <v>2257</v>
      </c>
      <c r="B821" s="2" t="s">
        <v>2357</v>
      </c>
    </row>
    <row r="822" spans="1:2" ht="15.75" customHeight="1" x14ac:dyDescent="0.3">
      <c r="A822" s="2" t="s">
        <v>524</v>
      </c>
      <c r="B822" s="2" t="s">
        <v>2357</v>
      </c>
    </row>
    <row r="823" spans="1:2" ht="15.75" customHeight="1" x14ac:dyDescent="0.3">
      <c r="A823" s="2" t="s">
        <v>2208</v>
      </c>
      <c r="B823" s="2" t="s">
        <v>2358</v>
      </c>
    </row>
    <row r="824" spans="1:2" ht="15.75" customHeight="1" x14ac:dyDescent="0.3">
      <c r="A824" s="2" t="s">
        <v>873</v>
      </c>
      <c r="B824" s="2" t="s">
        <v>2357</v>
      </c>
    </row>
    <row r="825" spans="1:2" ht="15.75" customHeight="1" x14ac:dyDescent="0.3">
      <c r="A825" s="2" t="s">
        <v>893</v>
      </c>
      <c r="B825" s="2" t="s">
        <v>2357</v>
      </c>
    </row>
    <row r="826" spans="1:2" ht="15.75" customHeight="1" x14ac:dyDescent="0.3">
      <c r="A826" s="2" t="s">
        <v>1852</v>
      </c>
      <c r="B826" s="2" t="s">
        <v>2357</v>
      </c>
    </row>
    <row r="827" spans="1:2" ht="15.75" customHeight="1" x14ac:dyDescent="0.3">
      <c r="A827" s="2" t="s">
        <v>1149</v>
      </c>
      <c r="B827" s="2" t="s">
        <v>2357</v>
      </c>
    </row>
    <row r="828" spans="1:2" ht="15.75" customHeight="1" x14ac:dyDescent="0.3">
      <c r="A828" s="2" t="s">
        <v>567</v>
      </c>
      <c r="B828" s="2" t="s">
        <v>2357</v>
      </c>
    </row>
    <row r="829" spans="1:2" ht="15.75" customHeight="1" x14ac:dyDescent="0.3">
      <c r="A829" s="2" t="s">
        <v>242</v>
      </c>
      <c r="B829" s="2" t="s">
        <v>2357</v>
      </c>
    </row>
    <row r="830" spans="1:2" ht="15.75" customHeight="1" x14ac:dyDescent="0.3">
      <c r="A830" s="2" t="s">
        <v>1825</v>
      </c>
      <c r="B830" s="2" t="s">
        <v>2356</v>
      </c>
    </row>
    <row r="831" spans="1:2" ht="15.75" customHeight="1" x14ac:dyDescent="0.3">
      <c r="A831" s="2" t="s">
        <v>1007</v>
      </c>
      <c r="B831" s="2" t="s">
        <v>2357</v>
      </c>
    </row>
    <row r="832" spans="1:2" ht="15.75" customHeight="1" x14ac:dyDescent="0.3">
      <c r="A832" s="2" t="s">
        <v>1526</v>
      </c>
      <c r="B832" s="2" t="s">
        <v>2359</v>
      </c>
    </row>
    <row r="833" spans="1:2" ht="15.75" customHeight="1" x14ac:dyDescent="0.3">
      <c r="A833" s="2" t="s">
        <v>636</v>
      </c>
      <c r="B833" s="2" t="s">
        <v>2356</v>
      </c>
    </row>
    <row r="834" spans="1:2" ht="15.75" customHeight="1" x14ac:dyDescent="0.3">
      <c r="A834" s="2" t="s">
        <v>2152</v>
      </c>
      <c r="B834" s="2" t="s">
        <v>2360</v>
      </c>
    </row>
    <row r="835" spans="1:2" ht="15.75" customHeight="1" x14ac:dyDescent="0.3">
      <c r="A835" s="2" t="s">
        <v>1491</v>
      </c>
      <c r="B835" s="2" t="s">
        <v>2357</v>
      </c>
    </row>
    <row r="836" spans="1:2" ht="15.75" customHeight="1" x14ac:dyDescent="0.3">
      <c r="A836" s="2" t="s">
        <v>476</v>
      </c>
      <c r="B836" s="2" t="s">
        <v>2356</v>
      </c>
    </row>
    <row r="837" spans="1:2" ht="15.75" customHeight="1" x14ac:dyDescent="0.3">
      <c r="A837" s="2" t="s">
        <v>501</v>
      </c>
      <c r="B837" s="2" t="s">
        <v>2357</v>
      </c>
    </row>
    <row r="838" spans="1:2" ht="15.75" customHeight="1" x14ac:dyDescent="0.3">
      <c r="A838" s="2" t="s">
        <v>1202</v>
      </c>
      <c r="B838" s="2" t="s">
        <v>2356</v>
      </c>
    </row>
    <row r="839" spans="1:2" ht="15.75" customHeight="1" x14ac:dyDescent="0.3">
      <c r="A839" s="2" t="s">
        <v>1455</v>
      </c>
      <c r="B839" s="2" t="s">
        <v>2357</v>
      </c>
    </row>
    <row r="840" spans="1:2" ht="15.75" customHeight="1" x14ac:dyDescent="0.3">
      <c r="A840" s="2" t="s">
        <v>2142</v>
      </c>
      <c r="B840" s="2" t="s">
        <v>2358</v>
      </c>
    </row>
    <row r="841" spans="1:2" ht="15.75" customHeight="1" x14ac:dyDescent="0.3">
      <c r="A841" s="2" t="s">
        <v>1541</v>
      </c>
      <c r="B841" s="2" t="s">
        <v>2356</v>
      </c>
    </row>
    <row r="842" spans="1:2" ht="15.75" customHeight="1" x14ac:dyDescent="0.3">
      <c r="A842" s="2" t="s">
        <v>1465</v>
      </c>
      <c r="B842" s="2" t="s">
        <v>2357</v>
      </c>
    </row>
    <row r="843" spans="1:2" ht="15.75" customHeight="1" x14ac:dyDescent="0.3">
      <c r="A843" s="2" t="s">
        <v>2098</v>
      </c>
      <c r="B843" s="2" t="s">
        <v>2357</v>
      </c>
    </row>
    <row r="844" spans="1:2" ht="15.75" customHeight="1" x14ac:dyDescent="0.3">
      <c r="A844" s="2" t="s">
        <v>624</v>
      </c>
      <c r="B844" s="2" t="s">
        <v>2356</v>
      </c>
    </row>
    <row r="845" spans="1:2" ht="15.75" customHeight="1" x14ac:dyDescent="0.3">
      <c r="A845" s="2" t="s">
        <v>76</v>
      </c>
      <c r="B845" s="2" t="s">
        <v>2357</v>
      </c>
    </row>
    <row r="846" spans="1:2" ht="15.75" customHeight="1" x14ac:dyDescent="0.3">
      <c r="A846" s="2" t="s">
        <v>958</v>
      </c>
      <c r="B846" s="2" t="s">
        <v>2357</v>
      </c>
    </row>
    <row r="847" spans="1:2" ht="15.75" customHeight="1" x14ac:dyDescent="0.3">
      <c r="A847" s="2" t="s">
        <v>2277</v>
      </c>
      <c r="B847" s="2" t="s">
        <v>2360</v>
      </c>
    </row>
    <row r="848" spans="1:2" ht="15.75" customHeight="1" x14ac:dyDescent="0.3">
      <c r="A848" s="2" t="s">
        <v>1862</v>
      </c>
      <c r="B848" s="2" t="s">
        <v>2357</v>
      </c>
    </row>
    <row r="849" spans="1:2" ht="15.75" customHeight="1" x14ac:dyDescent="0.3">
      <c r="A849" s="2" t="s">
        <v>1644</v>
      </c>
      <c r="B849" s="2" t="s">
        <v>2357</v>
      </c>
    </row>
    <row r="850" spans="1:2" ht="15.75" customHeight="1" x14ac:dyDescent="0.3">
      <c r="A850" s="2" t="s">
        <v>1895</v>
      </c>
      <c r="B850" s="2" t="s">
        <v>2357</v>
      </c>
    </row>
    <row r="851" spans="1:2" ht="15.75" customHeight="1" x14ac:dyDescent="0.3">
      <c r="A851" s="2" t="s">
        <v>1196</v>
      </c>
      <c r="B851" s="2" t="s">
        <v>2356</v>
      </c>
    </row>
    <row r="852" spans="1:2" ht="15.75" customHeight="1" x14ac:dyDescent="0.3">
      <c r="A852" s="2" t="s">
        <v>941</v>
      </c>
      <c r="B852" s="2" t="s">
        <v>2357</v>
      </c>
    </row>
    <row r="853" spans="1:2" ht="15.75" customHeight="1" x14ac:dyDescent="0.3">
      <c r="A853" s="2" t="s">
        <v>1488</v>
      </c>
      <c r="B853" s="2" t="s">
        <v>2357</v>
      </c>
    </row>
    <row r="854" spans="1:2" ht="15.75" customHeight="1" x14ac:dyDescent="0.3">
      <c r="A854" s="2" t="s">
        <v>2311</v>
      </c>
      <c r="B854" s="2" t="s">
        <v>2358</v>
      </c>
    </row>
    <row r="855" spans="1:2" ht="15.75" customHeight="1" x14ac:dyDescent="0.3">
      <c r="A855" s="2" t="s">
        <v>1150</v>
      </c>
      <c r="B855" s="2" t="s">
        <v>2357</v>
      </c>
    </row>
    <row r="856" spans="1:2" ht="15.75" customHeight="1" x14ac:dyDescent="0.3">
      <c r="A856" s="2" t="s">
        <v>1528</v>
      </c>
      <c r="B856" s="2" t="s">
        <v>2357</v>
      </c>
    </row>
    <row r="857" spans="1:2" ht="15.75" customHeight="1" x14ac:dyDescent="0.3">
      <c r="A857" s="2" t="s">
        <v>1409</v>
      </c>
      <c r="B857" s="2" t="s">
        <v>2357</v>
      </c>
    </row>
    <row r="858" spans="1:2" ht="15.75" customHeight="1" x14ac:dyDescent="0.3">
      <c r="A858" s="2" t="s">
        <v>158</v>
      </c>
      <c r="B858" s="2" t="s">
        <v>2357</v>
      </c>
    </row>
    <row r="859" spans="1:2" ht="15.75" customHeight="1" x14ac:dyDescent="0.3">
      <c r="A859" s="2" t="s">
        <v>2048</v>
      </c>
      <c r="B859" s="2" t="s">
        <v>2357</v>
      </c>
    </row>
    <row r="860" spans="1:2" ht="15.75" customHeight="1" x14ac:dyDescent="0.3">
      <c r="A860" s="2" t="s">
        <v>478</v>
      </c>
      <c r="B860" s="2" t="s">
        <v>2357</v>
      </c>
    </row>
    <row r="861" spans="1:2" ht="15.75" customHeight="1" x14ac:dyDescent="0.3">
      <c r="A861" s="2" t="s">
        <v>2344</v>
      </c>
      <c r="B861" s="2" t="s">
        <v>2357</v>
      </c>
    </row>
    <row r="862" spans="1:2" ht="15.75" customHeight="1" x14ac:dyDescent="0.3">
      <c r="A862" s="2" t="s">
        <v>896</v>
      </c>
      <c r="B862" s="2" t="s">
        <v>2357</v>
      </c>
    </row>
    <row r="863" spans="1:2" ht="15.75" customHeight="1" x14ac:dyDescent="0.3">
      <c r="A863" s="2" t="s">
        <v>221</v>
      </c>
      <c r="B863" s="2" t="s">
        <v>2357</v>
      </c>
    </row>
    <row r="864" spans="1:2" ht="15.75" customHeight="1" x14ac:dyDescent="0.3">
      <c r="A864" s="2" t="s">
        <v>1604</v>
      </c>
      <c r="B864" s="2" t="s">
        <v>2357</v>
      </c>
    </row>
    <row r="865" spans="1:2" ht="15.75" customHeight="1" x14ac:dyDescent="0.3">
      <c r="A865" s="2" t="s">
        <v>1742</v>
      </c>
      <c r="B865" s="2" t="s">
        <v>2356</v>
      </c>
    </row>
    <row r="866" spans="1:2" ht="15.75" customHeight="1" x14ac:dyDescent="0.3">
      <c r="A866" s="2" t="s">
        <v>866</v>
      </c>
      <c r="B866" s="2" t="s">
        <v>2357</v>
      </c>
    </row>
    <row r="867" spans="1:2" ht="15.75" customHeight="1" x14ac:dyDescent="0.3">
      <c r="A867" s="2" t="s">
        <v>1325</v>
      </c>
      <c r="B867" s="2" t="s">
        <v>2357</v>
      </c>
    </row>
    <row r="868" spans="1:2" ht="15.75" customHeight="1" x14ac:dyDescent="0.3">
      <c r="A868" s="2" t="s">
        <v>2290</v>
      </c>
      <c r="B868" s="2" t="s">
        <v>2359</v>
      </c>
    </row>
    <row r="869" spans="1:2" ht="15.75" customHeight="1" x14ac:dyDescent="0.3">
      <c r="A869" s="2" t="s">
        <v>364</v>
      </c>
      <c r="B869" s="2" t="s">
        <v>2357</v>
      </c>
    </row>
    <row r="870" spans="1:2" ht="15.75" customHeight="1" x14ac:dyDescent="0.3">
      <c r="A870" s="2" t="s">
        <v>2300</v>
      </c>
      <c r="B870" s="2" t="s">
        <v>2357</v>
      </c>
    </row>
    <row r="871" spans="1:2" ht="15.75" customHeight="1" x14ac:dyDescent="0.3">
      <c r="A871" s="2" t="s">
        <v>597</v>
      </c>
      <c r="B871" s="2" t="s">
        <v>2357</v>
      </c>
    </row>
    <row r="872" spans="1:2" ht="15.75" customHeight="1" x14ac:dyDescent="0.3">
      <c r="A872" s="2" t="s">
        <v>791</v>
      </c>
      <c r="B872" s="2" t="s">
        <v>2357</v>
      </c>
    </row>
    <row r="873" spans="1:2" ht="15.75" customHeight="1" x14ac:dyDescent="0.3">
      <c r="A873" s="2" t="s">
        <v>1072</v>
      </c>
      <c r="B873" s="2" t="s">
        <v>2357</v>
      </c>
    </row>
    <row r="874" spans="1:2" ht="15.75" customHeight="1" x14ac:dyDescent="0.3">
      <c r="A874" s="2" t="s">
        <v>2256</v>
      </c>
      <c r="B874" s="2" t="s">
        <v>2360</v>
      </c>
    </row>
    <row r="875" spans="1:2" ht="15.75" customHeight="1" x14ac:dyDescent="0.3">
      <c r="A875" s="2" t="s">
        <v>294</v>
      </c>
      <c r="B875" s="2" t="s">
        <v>2356</v>
      </c>
    </row>
    <row r="876" spans="1:2" ht="15.75" customHeight="1" x14ac:dyDescent="0.3">
      <c r="A876" s="2" t="s">
        <v>575</v>
      </c>
      <c r="B876" s="2" t="s">
        <v>2357</v>
      </c>
    </row>
    <row r="877" spans="1:2" ht="15.75" customHeight="1" x14ac:dyDescent="0.3">
      <c r="A877" s="2" t="s">
        <v>755</v>
      </c>
      <c r="B877" s="2" t="s">
        <v>2357</v>
      </c>
    </row>
    <row r="878" spans="1:2" ht="15.75" customHeight="1" x14ac:dyDescent="0.3">
      <c r="A878" s="2" t="s">
        <v>1686</v>
      </c>
      <c r="B878" s="2" t="s">
        <v>2357</v>
      </c>
    </row>
    <row r="879" spans="1:2" ht="15.75" customHeight="1" x14ac:dyDescent="0.3">
      <c r="A879" s="2" t="s">
        <v>1900</v>
      </c>
      <c r="B879" s="2" t="s">
        <v>2357</v>
      </c>
    </row>
    <row r="880" spans="1:2" ht="15.75" customHeight="1" x14ac:dyDescent="0.3">
      <c r="A880" s="2" t="s">
        <v>679</v>
      </c>
      <c r="B880" s="2" t="s">
        <v>2357</v>
      </c>
    </row>
    <row r="881" spans="1:2" ht="15.75" customHeight="1" x14ac:dyDescent="0.3">
      <c r="A881" s="2" t="s">
        <v>2154</v>
      </c>
      <c r="B881" s="2" t="s">
        <v>2360</v>
      </c>
    </row>
    <row r="882" spans="1:2" ht="15.75" customHeight="1" x14ac:dyDescent="0.3">
      <c r="A882" s="2" t="s">
        <v>1630</v>
      </c>
      <c r="B882" s="2" t="s">
        <v>2357</v>
      </c>
    </row>
    <row r="883" spans="1:2" ht="15.75" customHeight="1" x14ac:dyDescent="0.3">
      <c r="A883" s="2" t="s">
        <v>878</v>
      </c>
      <c r="B883" s="2" t="s">
        <v>2357</v>
      </c>
    </row>
    <row r="884" spans="1:2" ht="15.75" customHeight="1" x14ac:dyDescent="0.3">
      <c r="A884" s="2" t="s">
        <v>1551</v>
      </c>
      <c r="B884" s="2" t="s">
        <v>2357</v>
      </c>
    </row>
    <row r="885" spans="1:2" ht="15.75" customHeight="1" x14ac:dyDescent="0.3">
      <c r="A885" s="2" t="s">
        <v>2061</v>
      </c>
      <c r="B885" s="2" t="s">
        <v>2357</v>
      </c>
    </row>
    <row r="886" spans="1:2" ht="15.75" customHeight="1" x14ac:dyDescent="0.3">
      <c r="A886" s="2" t="s">
        <v>264</v>
      </c>
      <c r="B886" s="2" t="s">
        <v>2357</v>
      </c>
    </row>
    <row r="887" spans="1:2" ht="15.75" customHeight="1" x14ac:dyDescent="0.3">
      <c r="A887" s="2" t="s">
        <v>1415</v>
      </c>
      <c r="B887" s="2" t="s">
        <v>2357</v>
      </c>
    </row>
    <row r="888" spans="1:2" ht="15.75" customHeight="1" x14ac:dyDescent="0.3">
      <c r="A888" s="2" t="s">
        <v>792</v>
      </c>
      <c r="B888" s="2" t="s">
        <v>2357</v>
      </c>
    </row>
    <row r="889" spans="1:2" ht="15.75" customHeight="1" x14ac:dyDescent="0.3">
      <c r="A889" s="2" t="s">
        <v>643</v>
      </c>
      <c r="B889" s="2" t="s">
        <v>2357</v>
      </c>
    </row>
    <row r="890" spans="1:2" ht="15.75" customHeight="1" x14ac:dyDescent="0.3">
      <c r="A890" s="2" t="s">
        <v>1251</v>
      </c>
      <c r="B890" s="2" t="s">
        <v>2357</v>
      </c>
    </row>
    <row r="891" spans="1:2" ht="15.75" customHeight="1" x14ac:dyDescent="0.3">
      <c r="A891" s="2" t="s">
        <v>1841</v>
      </c>
      <c r="B891" s="2" t="s">
        <v>2357</v>
      </c>
    </row>
    <row r="892" spans="1:2" ht="15.75" customHeight="1" x14ac:dyDescent="0.3">
      <c r="A892" s="2" t="s">
        <v>1519</v>
      </c>
      <c r="B892" s="2" t="s">
        <v>2357</v>
      </c>
    </row>
    <row r="893" spans="1:2" ht="15.75" customHeight="1" x14ac:dyDescent="0.3">
      <c r="A893" s="2" t="s">
        <v>1253</v>
      </c>
      <c r="B893" s="2" t="s">
        <v>2359</v>
      </c>
    </row>
    <row r="894" spans="1:2" ht="15.75" customHeight="1" x14ac:dyDescent="0.3">
      <c r="A894" s="2" t="s">
        <v>1352</v>
      </c>
      <c r="B894" s="2" t="s">
        <v>2357</v>
      </c>
    </row>
    <row r="895" spans="1:2" ht="15.75" customHeight="1" x14ac:dyDescent="0.3">
      <c r="A895" s="2" t="s">
        <v>1892</v>
      </c>
      <c r="B895" s="2" t="s">
        <v>2356</v>
      </c>
    </row>
    <row r="896" spans="1:2" ht="15.75" customHeight="1" x14ac:dyDescent="0.3">
      <c r="A896" s="2" t="s">
        <v>1194</v>
      </c>
      <c r="B896" s="2" t="s">
        <v>2356</v>
      </c>
    </row>
    <row r="897" spans="1:2" ht="15.75" customHeight="1" x14ac:dyDescent="0.3">
      <c r="A897" s="2" t="s">
        <v>1623</v>
      </c>
      <c r="B897" s="2" t="s">
        <v>2357</v>
      </c>
    </row>
    <row r="898" spans="1:2" ht="15.75" customHeight="1" x14ac:dyDescent="0.3">
      <c r="A898" s="2" t="s">
        <v>1590</v>
      </c>
      <c r="B898" s="2" t="s">
        <v>2357</v>
      </c>
    </row>
    <row r="899" spans="1:2" ht="15.75" customHeight="1" x14ac:dyDescent="0.3">
      <c r="A899" s="2" t="s">
        <v>2130</v>
      </c>
      <c r="B899" s="2" t="s">
        <v>2357</v>
      </c>
    </row>
    <row r="900" spans="1:2" ht="15.75" customHeight="1" x14ac:dyDescent="0.3">
      <c r="A900" s="2" t="s">
        <v>1631</v>
      </c>
      <c r="B900" s="2" t="s">
        <v>2357</v>
      </c>
    </row>
    <row r="901" spans="1:2" ht="15.75" customHeight="1" x14ac:dyDescent="0.3">
      <c r="A901" s="2" t="s">
        <v>1279</v>
      </c>
      <c r="B901" s="2" t="s">
        <v>2357</v>
      </c>
    </row>
    <row r="902" spans="1:2" ht="15.75" customHeight="1" x14ac:dyDescent="0.3">
      <c r="A902" s="2" t="s">
        <v>1567</v>
      </c>
      <c r="B902" s="2" t="s">
        <v>2357</v>
      </c>
    </row>
    <row r="903" spans="1:2" ht="15.75" customHeight="1" x14ac:dyDescent="0.3">
      <c r="A903" s="2" t="s">
        <v>2322</v>
      </c>
      <c r="B903" s="2" t="s">
        <v>2357</v>
      </c>
    </row>
    <row r="904" spans="1:2" ht="15.75" customHeight="1" x14ac:dyDescent="0.3">
      <c r="A904" s="2" t="s">
        <v>684</v>
      </c>
      <c r="B904" s="2" t="s">
        <v>2357</v>
      </c>
    </row>
    <row r="905" spans="1:2" ht="15.75" customHeight="1" x14ac:dyDescent="0.3">
      <c r="A905" s="2" t="s">
        <v>571</v>
      </c>
      <c r="B905" s="2" t="s">
        <v>2356</v>
      </c>
    </row>
    <row r="906" spans="1:2" ht="15.75" customHeight="1" x14ac:dyDescent="0.3">
      <c r="A906" s="2" t="s">
        <v>467</v>
      </c>
      <c r="B906" s="2" t="s">
        <v>2357</v>
      </c>
    </row>
    <row r="907" spans="1:2" ht="15.75" customHeight="1" x14ac:dyDescent="0.3">
      <c r="A907" s="2" t="s">
        <v>2291</v>
      </c>
      <c r="B907" s="2" t="s">
        <v>2357</v>
      </c>
    </row>
    <row r="908" spans="1:2" ht="15.75" customHeight="1" x14ac:dyDescent="0.3">
      <c r="A908" s="2" t="s">
        <v>1155</v>
      </c>
      <c r="B908" s="2" t="s">
        <v>2356</v>
      </c>
    </row>
    <row r="909" spans="1:2" ht="15.75" customHeight="1" x14ac:dyDescent="0.3">
      <c r="A909" s="2" t="s">
        <v>579</v>
      </c>
      <c r="B909" s="2" t="s">
        <v>2357</v>
      </c>
    </row>
    <row r="910" spans="1:2" ht="15.75" customHeight="1" x14ac:dyDescent="0.3">
      <c r="A910" s="2" t="s">
        <v>506</v>
      </c>
      <c r="B910" s="2" t="s">
        <v>2359</v>
      </c>
    </row>
    <row r="911" spans="1:2" ht="15.75" customHeight="1" x14ac:dyDescent="0.3">
      <c r="A911" s="2" t="s">
        <v>386</v>
      </c>
      <c r="B911" s="2" t="s">
        <v>2357</v>
      </c>
    </row>
    <row r="912" spans="1:2" ht="15.75" customHeight="1" x14ac:dyDescent="0.3">
      <c r="A912" s="2" t="s">
        <v>2216</v>
      </c>
      <c r="B912" s="2" t="s">
        <v>2357</v>
      </c>
    </row>
    <row r="913" spans="1:2" ht="15.75" customHeight="1" x14ac:dyDescent="0.3">
      <c r="A913" s="2" t="s">
        <v>2193</v>
      </c>
      <c r="B913" s="2" t="s">
        <v>2357</v>
      </c>
    </row>
    <row r="914" spans="1:2" ht="15.75" customHeight="1" x14ac:dyDescent="0.3">
      <c r="A914" s="2" t="s">
        <v>2114</v>
      </c>
      <c r="B914" s="2" t="s">
        <v>2357</v>
      </c>
    </row>
    <row r="915" spans="1:2" ht="15.75" customHeight="1" x14ac:dyDescent="0.3">
      <c r="A915" s="2" t="s">
        <v>2038</v>
      </c>
      <c r="B915" s="2" t="s">
        <v>2357</v>
      </c>
    </row>
    <row r="916" spans="1:2" ht="15.75" customHeight="1" x14ac:dyDescent="0.3">
      <c r="A916" s="2" t="s">
        <v>1376</v>
      </c>
      <c r="B916" s="2" t="s">
        <v>2356</v>
      </c>
    </row>
    <row r="917" spans="1:2" ht="15.75" customHeight="1" x14ac:dyDescent="0.3">
      <c r="A917" s="2" t="s">
        <v>894</v>
      </c>
      <c r="B917" s="2" t="s">
        <v>2356</v>
      </c>
    </row>
    <row r="918" spans="1:2" ht="15.75" customHeight="1" x14ac:dyDescent="0.3">
      <c r="A918" s="2" t="s">
        <v>1817</v>
      </c>
      <c r="B918" s="2" t="s">
        <v>2357</v>
      </c>
    </row>
    <row r="919" spans="1:2" ht="15.75" customHeight="1" x14ac:dyDescent="0.3">
      <c r="A919" s="2" t="s">
        <v>761</v>
      </c>
      <c r="B919" s="2" t="s">
        <v>2357</v>
      </c>
    </row>
    <row r="920" spans="1:2" ht="15.75" customHeight="1" x14ac:dyDescent="0.3">
      <c r="A920" s="2" t="s">
        <v>1176</v>
      </c>
      <c r="B920" s="2" t="s">
        <v>2356</v>
      </c>
    </row>
    <row r="921" spans="1:2" ht="15.75" customHeight="1" x14ac:dyDescent="0.3">
      <c r="A921" s="2" t="s">
        <v>2110</v>
      </c>
      <c r="B921" s="2" t="s">
        <v>2356</v>
      </c>
    </row>
    <row r="922" spans="1:2" ht="15.75" customHeight="1" x14ac:dyDescent="0.3">
      <c r="A922" s="2" t="s">
        <v>1502</v>
      </c>
      <c r="B922" s="2" t="s">
        <v>2357</v>
      </c>
    </row>
    <row r="923" spans="1:2" ht="15.75" customHeight="1" x14ac:dyDescent="0.3">
      <c r="A923" s="2" t="s">
        <v>805</v>
      </c>
      <c r="B923" s="2" t="s">
        <v>2357</v>
      </c>
    </row>
    <row r="924" spans="1:2" ht="15.75" customHeight="1" x14ac:dyDescent="0.3">
      <c r="A924" s="2" t="s">
        <v>1945</v>
      </c>
      <c r="B924" s="2" t="s">
        <v>2357</v>
      </c>
    </row>
    <row r="925" spans="1:2" ht="15.75" customHeight="1" x14ac:dyDescent="0.3">
      <c r="A925" s="2" t="s">
        <v>1679</v>
      </c>
      <c r="B925" s="2" t="s">
        <v>2357</v>
      </c>
    </row>
    <row r="926" spans="1:2" ht="15.75" customHeight="1" x14ac:dyDescent="0.3">
      <c r="A926" s="2" t="s">
        <v>1008</v>
      </c>
      <c r="B926" s="2" t="s">
        <v>2357</v>
      </c>
    </row>
    <row r="927" spans="1:2" ht="15.75" customHeight="1" x14ac:dyDescent="0.3">
      <c r="A927" s="2" t="s">
        <v>1233</v>
      </c>
      <c r="B927" s="2" t="s">
        <v>2357</v>
      </c>
    </row>
    <row r="928" spans="1:2" ht="15.75" customHeight="1" x14ac:dyDescent="0.3">
      <c r="A928" s="2" t="s">
        <v>347</v>
      </c>
      <c r="B928" s="2" t="s">
        <v>2357</v>
      </c>
    </row>
    <row r="929" spans="1:2" ht="15.75" customHeight="1" x14ac:dyDescent="0.3">
      <c r="A929" s="2" t="s">
        <v>260</v>
      </c>
      <c r="B929" s="2" t="s">
        <v>2357</v>
      </c>
    </row>
    <row r="930" spans="1:2" ht="15.75" customHeight="1" x14ac:dyDescent="0.3">
      <c r="A930" s="2" t="s">
        <v>1879</v>
      </c>
      <c r="B930" s="2" t="s">
        <v>2357</v>
      </c>
    </row>
    <row r="931" spans="1:2" ht="15.75" customHeight="1" x14ac:dyDescent="0.3">
      <c r="A931" s="2" t="s">
        <v>562</v>
      </c>
      <c r="B931" s="2" t="s">
        <v>2357</v>
      </c>
    </row>
    <row r="932" spans="1:2" ht="15.75" customHeight="1" x14ac:dyDescent="0.3">
      <c r="A932" s="2" t="s">
        <v>1026</v>
      </c>
      <c r="B932" s="2" t="s">
        <v>2357</v>
      </c>
    </row>
    <row r="933" spans="1:2" ht="15.75" customHeight="1" x14ac:dyDescent="0.3">
      <c r="A933" s="2" t="s">
        <v>752</v>
      </c>
      <c r="B933" s="2" t="s">
        <v>2357</v>
      </c>
    </row>
    <row r="934" spans="1:2" ht="15.75" customHeight="1" x14ac:dyDescent="0.3">
      <c r="A934" s="2" t="s">
        <v>117</v>
      </c>
      <c r="B934" s="2" t="s">
        <v>2357</v>
      </c>
    </row>
    <row r="935" spans="1:2" ht="15.75" customHeight="1" x14ac:dyDescent="0.3">
      <c r="A935" s="2" t="s">
        <v>1750</v>
      </c>
      <c r="B935" s="2" t="s">
        <v>2357</v>
      </c>
    </row>
    <row r="936" spans="1:2" ht="15.75" customHeight="1" x14ac:dyDescent="0.3">
      <c r="A936" s="2" t="s">
        <v>2253</v>
      </c>
      <c r="B936" s="2" t="s">
        <v>2360</v>
      </c>
    </row>
    <row r="937" spans="1:2" ht="15.75" customHeight="1" x14ac:dyDescent="0.3">
      <c r="A937" s="2" t="s">
        <v>806</v>
      </c>
      <c r="B937" s="2" t="s">
        <v>2357</v>
      </c>
    </row>
    <row r="938" spans="1:2" ht="15.75" customHeight="1" x14ac:dyDescent="0.3">
      <c r="A938" s="2" t="s">
        <v>2296</v>
      </c>
      <c r="B938" s="2" t="s">
        <v>2358</v>
      </c>
    </row>
    <row r="939" spans="1:2" ht="15.75" customHeight="1" x14ac:dyDescent="0.3">
      <c r="A939" s="2" t="s">
        <v>2105</v>
      </c>
      <c r="B939" s="2" t="s">
        <v>2357</v>
      </c>
    </row>
    <row r="940" spans="1:2" ht="15.75" customHeight="1" x14ac:dyDescent="0.3">
      <c r="A940" s="2" t="s">
        <v>541</v>
      </c>
      <c r="B940" s="2" t="s">
        <v>2357</v>
      </c>
    </row>
    <row r="941" spans="1:2" ht="15.75" customHeight="1" x14ac:dyDescent="0.3">
      <c r="A941" s="2" t="s">
        <v>770</v>
      </c>
      <c r="B941" s="2" t="s">
        <v>2357</v>
      </c>
    </row>
    <row r="942" spans="1:2" ht="15.75" customHeight="1" x14ac:dyDescent="0.3">
      <c r="A942" s="2" t="s">
        <v>1538</v>
      </c>
      <c r="B942" s="2" t="s">
        <v>2357</v>
      </c>
    </row>
    <row r="943" spans="1:2" ht="15.75" customHeight="1" x14ac:dyDescent="0.3">
      <c r="A943" s="2" t="s">
        <v>1578</v>
      </c>
      <c r="B943" s="2" t="s">
        <v>2357</v>
      </c>
    </row>
    <row r="944" spans="1:2" ht="15.75" customHeight="1" x14ac:dyDescent="0.3">
      <c r="A944" s="2" t="s">
        <v>841</v>
      </c>
      <c r="B944" s="2" t="s">
        <v>2356</v>
      </c>
    </row>
    <row r="945" spans="1:2" ht="15.75" customHeight="1" x14ac:dyDescent="0.3">
      <c r="A945" s="2" t="s">
        <v>1870</v>
      </c>
      <c r="B945" s="2" t="s">
        <v>2357</v>
      </c>
    </row>
    <row r="946" spans="1:2" ht="15.75" customHeight="1" x14ac:dyDescent="0.3">
      <c r="A946" s="2" t="s">
        <v>1563</v>
      </c>
      <c r="B946" s="2" t="s">
        <v>2357</v>
      </c>
    </row>
    <row r="947" spans="1:2" ht="15.75" customHeight="1" x14ac:dyDescent="0.3">
      <c r="A947" s="2" t="s">
        <v>78</v>
      </c>
      <c r="B947" s="2" t="s">
        <v>2357</v>
      </c>
    </row>
    <row r="948" spans="1:2" ht="15.75" customHeight="1" x14ac:dyDescent="0.3">
      <c r="A948" s="2" t="s">
        <v>1833</v>
      </c>
      <c r="B948" s="2" t="s">
        <v>2357</v>
      </c>
    </row>
    <row r="949" spans="1:2" ht="15.75" customHeight="1" x14ac:dyDescent="0.3">
      <c r="A949" s="2" t="s">
        <v>1051</v>
      </c>
      <c r="B949" s="2" t="s">
        <v>2357</v>
      </c>
    </row>
    <row r="950" spans="1:2" ht="15.75" customHeight="1" x14ac:dyDescent="0.3">
      <c r="A950" s="2" t="s">
        <v>1450</v>
      </c>
      <c r="B950" s="2" t="s">
        <v>2357</v>
      </c>
    </row>
    <row r="951" spans="1:2" ht="15.75" customHeight="1" x14ac:dyDescent="0.3">
      <c r="A951" s="2" t="s">
        <v>1800</v>
      </c>
      <c r="B951" s="2" t="s">
        <v>2357</v>
      </c>
    </row>
    <row r="952" spans="1:2" ht="15.75" customHeight="1" x14ac:dyDescent="0.3">
      <c r="A952" s="2" t="s">
        <v>947</v>
      </c>
      <c r="B952" s="2" t="s">
        <v>2357</v>
      </c>
    </row>
    <row r="953" spans="1:2" ht="15.75" customHeight="1" x14ac:dyDescent="0.3">
      <c r="A953" s="2" t="s">
        <v>487</v>
      </c>
      <c r="B953" s="2" t="s">
        <v>2357</v>
      </c>
    </row>
    <row r="954" spans="1:2" ht="15.75" customHeight="1" x14ac:dyDescent="0.3">
      <c r="A954" s="2" t="s">
        <v>2248</v>
      </c>
      <c r="B954" s="2" t="s">
        <v>2360</v>
      </c>
    </row>
    <row r="955" spans="1:2" ht="15.75" customHeight="1" x14ac:dyDescent="0.3">
      <c r="A955" s="2" t="s">
        <v>72</v>
      </c>
      <c r="B955" s="2" t="s">
        <v>2356</v>
      </c>
    </row>
    <row r="956" spans="1:2" ht="15.75" customHeight="1" x14ac:dyDescent="0.3">
      <c r="A956" s="2" t="s">
        <v>1391</v>
      </c>
      <c r="B956" s="2" t="s">
        <v>2357</v>
      </c>
    </row>
    <row r="957" spans="1:2" ht="15.75" customHeight="1" x14ac:dyDescent="0.3">
      <c r="A957" s="2" t="s">
        <v>322</v>
      </c>
      <c r="B957" s="2" t="s">
        <v>2357</v>
      </c>
    </row>
    <row r="958" spans="1:2" ht="15.75" customHeight="1" x14ac:dyDescent="0.3">
      <c r="A958" s="2" t="s">
        <v>1331</v>
      </c>
      <c r="B958" s="2" t="s">
        <v>2357</v>
      </c>
    </row>
    <row r="959" spans="1:2" ht="15.75" customHeight="1" x14ac:dyDescent="0.3">
      <c r="A959" s="2" t="s">
        <v>178</v>
      </c>
      <c r="B959" s="2" t="s">
        <v>2357</v>
      </c>
    </row>
    <row r="960" spans="1:2" ht="15.75" customHeight="1" x14ac:dyDescent="0.3">
      <c r="A960" s="2" t="s">
        <v>426</v>
      </c>
      <c r="B960" s="2" t="s">
        <v>2357</v>
      </c>
    </row>
    <row r="961" spans="1:2" ht="15.75" customHeight="1" x14ac:dyDescent="0.3">
      <c r="A961" s="2" t="s">
        <v>964</v>
      </c>
      <c r="B961" s="2" t="s">
        <v>2357</v>
      </c>
    </row>
    <row r="962" spans="1:2" ht="15.75" customHeight="1" x14ac:dyDescent="0.3">
      <c r="A962" s="2" t="s">
        <v>908</v>
      </c>
      <c r="B962" s="2" t="s">
        <v>2357</v>
      </c>
    </row>
    <row r="963" spans="1:2" ht="15.75" customHeight="1" x14ac:dyDescent="0.3">
      <c r="A963" s="2" t="s">
        <v>1931</v>
      </c>
      <c r="B963" s="2" t="s">
        <v>2359</v>
      </c>
    </row>
    <row r="964" spans="1:2" ht="15.75" customHeight="1" x14ac:dyDescent="0.3">
      <c r="A964" s="2" t="s">
        <v>2014</v>
      </c>
      <c r="B964" s="2" t="s">
        <v>2357</v>
      </c>
    </row>
    <row r="965" spans="1:2" ht="15.75" customHeight="1" x14ac:dyDescent="0.3">
      <c r="A965" s="2" t="s">
        <v>1308</v>
      </c>
      <c r="B965" s="2" t="s">
        <v>2357</v>
      </c>
    </row>
    <row r="966" spans="1:2" ht="15.75" customHeight="1" x14ac:dyDescent="0.3">
      <c r="A966" s="2" t="s">
        <v>1614</v>
      </c>
      <c r="B966" s="2" t="s">
        <v>2357</v>
      </c>
    </row>
    <row r="967" spans="1:2" ht="15.75" customHeight="1" x14ac:dyDescent="0.3">
      <c r="A967" s="2" t="s">
        <v>1214</v>
      </c>
      <c r="B967" s="2" t="s">
        <v>2357</v>
      </c>
    </row>
    <row r="968" spans="1:2" ht="15.75" customHeight="1" x14ac:dyDescent="0.3">
      <c r="A968" s="2" t="s">
        <v>546</v>
      </c>
      <c r="B968" s="2" t="s">
        <v>2357</v>
      </c>
    </row>
    <row r="969" spans="1:2" ht="15.75" customHeight="1" x14ac:dyDescent="0.3">
      <c r="A969" s="2" t="s">
        <v>1067</v>
      </c>
      <c r="B969" s="2" t="s">
        <v>2357</v>
      </c>
    </row>
    <row r="970" spans="1:2" ht="15.75" customHeight="1" x14ac:dyDescent="0.3">
      <c r="A970" s="2" t="s">
        <v>1524</v>
      </c>
      <c r="B970" s="2" t="s">
        <v>2357</v>
      </c>
    </row>
    <row r="971" spans="1:2" ht="15.75" customHeight="1" x14ac:dyDescent="0.3">
      <c r="A971" s="2" t="s">
        <v>1265</v>
      </c>
      <c r="B971" s="2" t="s">
        <v>2357</v>
      </c>
    </row>
    <row r="972" spans="1:2" ht="15.75" customHeight="1" x14ac:dyDescent="0.3">
      <c r="A972" s="2" t="s">
        <v>1490</v>
      </c>
      <c r="B972" s="2" t="s">
        <v>2357</v>
      </c>
    </row>
    <row r="973" spans="1:2" ht="15.75" customHeight="1" x14ac:dyDescent="0.3">
      <c r="A973" s="2" t="s">
        <v>512</v>
      </c>
      <c r="B973" s="2" t="s">
        <v>2357</v>
      </c>
    </row>
    <row r="974" spans="1:2" ht="15.75" customHeight="1" x14ac:dyDescent="0.3">
      <c r="A974" s="2" t="s">
        <v>1516</v>
      </c>
      <c r="B974" s="2" t="s">
        <v>2357</v>
      </c>
    </row>
    <row r="975" spans="1:2" ht="15.75" customHeight="1" x14ac:dyDescent="0.3">
      <c r="A975" s="2" t="s">
        <v>962</v>
      </c>
      <c r="B975" s="2" t="s">
        <v>2359</v>
      </c>
    </row>
    <row r="976" spans="1:2" ht="15.75" customHeight="1" x14ac:dyDescent="0.3">
      <c r="A976" s="2" t="s">
        <v>1174</v>
      </c>
      <c r="B976" s="2" t="s">
        <v>2359</v>
      </c>
    </row>
    <row r="977" spans="1:2" ht="15.75" customHeight="1" x14ac:dyDescent="0.3">
      <c r="A977" s="2" t="s">
        <v>1109</v>
      </c>
      <c r="B977" s="2" t="s">
        <v>2357</v>
      </c>
    </row>
    <row r="978" spans="1:2" ht="15.75" customHeight="1" x14ac:dyDescent="0.3">
      <c r="A978" s="2" t="s">
        <v>980</v>
      </c>
      <c r="B978" s="2" t="s">
        <v>2359</v>
      </c>
    </row>
    <row r="979" spans="1:2" ht="15.75" customHeight="1" x14ac:dyDescent="0.3">
      <c r="A979" s="2" t="s">
        <v>1971</v>
      </c>
      <c r="B979" s="2" t="s">
        <v>2357</v>
      </c>
    </row>
    <row r="980" spans="1:2" ht="15.75" customHeight="1" x14ac:dyDescent="0.3">
      <c r="A980" s="2" t="s">
        <v>1576</v>
      </c>
      <c r="B980" s="2" t="s">
        <v>2357</v>
      </c>
    </row>
    <row r="981" spans="1:2" ht="15.75" customHeight="1" x14ac:dyDescent="0.3">
      <c r="A981" s="2" t="s">
        <v>1002</v>
      </c>
      <c r="B981" s="2" t="s">
        <v>2357</v>
      </c>
    </row>
    <row r="982" spans="1:2" ht="15.75" customHeight="1" x14ac:dyDescent="0.3">
      <c r="A982" s="2" t="s">
        <v>2288</v>
      </c>
      <c r="B982" s="2" t="s">
        <v>2357</v>
      </c>
    </row>
    <row r="983" spans="1:2" ht="15.75" customHeight="1" x14ac:dyDescent="0.3">
      <c r="A983" s="2" t="s">
        <v>1266</v>
      </c>
      <c r="B983" s="2" t="s">
        <v>2357</v>
      </c>
    </row>
    <row r="984" spans="1:2" ht="15.75" customHeight="1" x14ac:dyDescent="0.3">
      <c r="A984" s="2" t="s">
        <v>1539</v>
      </c>
      <c r="B984" s="2" t="s">
        <v>2357</v>
      </c>
    </row>
    <row r="985" spans="1:2" ht="15.75" customHeight="1" x14ac:dyDescent="0.3">
      <c r="A985" s="2" t="s">
        <v>2137</v>
      </c>
      <c r="B985" s="2" t="s">
        <v>2360</v>
      </c>
    </row>
    <row r="986" spans="1:2" ht="15.75" customHeight="1" x14ac:dyDescent="0.3">
      <c r="A986" s="2" t="s">
        <v>1531</v>
      </c>
      <c r="B986" s="2" t="s">
        <v>2356</v>
      </c>
    </row>
    <row r="987" spans="1:2" ht="15.75" customHeight="1" x14ac:dyDescent="0.3">
      <c r="A987" s="2" t="s">
        <v>2031</v>
      </c>
      <c r="B987" s="2" t="s">
        <v>2359</v>
      </c>
    </row>
    <row r="988" spans="1:2" ht="15.75" customHeight="1" x14ac:dyDescent="0.3">
      <c r="A988" s="2" t="s">
        <v>411</v>
      </c>
      <c r="B988" s="2" t="s">
        <v>2357</v>
      </c>
    </row>
    <row r="989" spans="1:2" ht="15.75" customHeight="1" x14ac:dyDescent="0.3">
      <c r="A989" s="2" t="s">
        <v>1123</v>
      </c>
      <c r="B989" s="2" t="s">
        <v>2357</v>
      </c>
    </row>
    <row r="990" spans="1:2" ht="15.75" customHeight="1" x14ac:dyDescent="0.3">
      <c r="A990" s="2" t="s">
        <v>870</v>
      </c>
      <c r="B990" s="2" t="s">
        <v>2357</v>
      </c>
    </row>
    <row r="991" spans="1:2" ht="15.75" customHeight="1" x14ac:dyDescent="0.3">
      <c r="A991" s="2" t="s">
        <v>1652</v>
      </c>
      <c r="B991" s="2" t="s">
        <v>2357</v>
      </c>
    </row>
    <row r="992" spans="1:2" ht="15.75" customHeight="1" x14ac:dyDescent="0.3">
      <c r="A992" s="2" t="s">
        <v>793</v>
      </c>
      <c r="B992" s="2" t="s">
        <v>2357</v>
      </c>
    </row>
    <row r="993" spans="1:2" ht="15.75" customHeight="1" x14ac:dyDescent="0.3">
      <c r="A993" s="2" t="s">
        <v>1510</v>
      </c>
      <c r="B993" s="2" t="s">
        <v>2357</v>
      </c>
    </row>
    <row r="994" spans="1:2" ht="15.75" customHeight="1" x14ac:dyDescent="0.3">
      <c r="A994" s="2" t="s">
        <v>494</v>
      </c>
      <c r="B994" s="2" t="s">
        <v>2357</v>
      </c>
    </row>
    <row r="995" spans="1:2" ht="15.75" customHeight="1" x14ac:dyDescent="0.3">
      <c r="A995" s="2" t="s">
        <v>1339</v>
      </c>
      <c r="B995" s="2" t="s">
        <v>2357</v>
      </c>
    </row>
    <row r="996" spans="1:2" ht="15.75" customHeight="1" x14ac:dyDescent="0.3">
      <c r="A996" s="2" t="s">
        <v>414</v>
      </c>
      <c r="B996" s="2" t="s">
        <v>2356</v>
      </c>
    </row>
    <row r="997" spans="1:2" ht="15.75" customHeight="1" x14ac:dyDescent="0.3">
      <c r="A997" s="2" t="s">
        <v>889</v>
      </c>
      <c r="B997" s="2" t="s">
        <v>2357</v>
      </c>
    </row>
    <row r="998" spans="1:2" ht="15.75" customHeight="1" x14ac:dyDescent="0.3">
      <c r="A998" s="2" t="s">
        <v>1906</v>
      </c>
      <c r="B998" s="2" t="s">
        <v>2357</v>
      </c>
    </row>
    <row r="999" spans="1:2" ht="15.75" customHeight="1" x14ac:dyDescent="0.3">
      <c r="A999" s="2" t="s">
        <v>1671</v>
      </c>
      <c r="B999" s="2" t="s">
        <v>2357</v>
      </c>
    </row>
    <row r="1000" spans="1:2" ht="15.75" customHeight="1" x14ac:dyDescent="0.3">
      <c r="A1000" s="2" t="s">
        <v>1095</v>
      </c>
      <c r="B1000" s="2" t="s">
        <v>2357</v>
      </c>
    </row>
    <row r="1001" spans="1:2" ht="15.75" customHeight="1" x14ac:dyDescent="0.3">
      <c r="A1001" s="2" t="s">
        <v>1835</v>
      </c>
      <c r="B1001" s="2" t="s">
        <v>2357</v>
      </c>
    </row>
    <row r="1002" spans="1:2" ht="15.75" customHeight="1" x14ac:dyDescent="0.3">
      <c r="A1002" s="2" t="s">
        <v>855</v>
      </c>
      <c r="B1002" s="2" t="s">
        <v>2356</v>
      </c>
    </row>
    <row r="1003" spans="1:2" ht="15.75" customHeight="1" x14ac:dyDescent="0.3">
      <c r="A1003" s="2" t="s">
        <v>2331</v>
      </c>
      <c r="B1003" s="2" t="s">
        <v>2360</v>
      </c>
    </row>
    <row r="1004" spans="1:2" ht="15.75" customHeight="1" x14ac:dyDescent="0.3">
      <c r="A1004" s="2" t="s">
        <v>548</v>
      </c>
      <c r="B1004" s="2" t="s">
        <v>2359</v>
      </c>
    </row>
    <row r="1005" spans="1:2" ht="15.75" customHeight="1" x14ac:dyDescent="0.3">
      <c r="A1005" s="2" t="s">
        <v>1188</v>
      </c>
      <c r="B1005" s="2" t="s">
        <v>2357</v>
      </c>
    </row>
    <row r="1006" spans="1:2" ht="15.75" customHeight="1" x14ac:dyDescent="0.3">
      <c r="A1006" s="2" t="s">
        <v>1507</v>
      </c>
      <c r="B1006" s="2" t="s">
        <v>2357</v>
      </c>
    </row>
    <row r="1007" spans="1:2" ht="15.75" customHeight="1" x14ac:dyDescent="0.3">
      <c r="A1007" s="2" t="s">
        <v>777</v>
      </c>
      <c r="B1007" s="2" t="s">
        <v>2357</v>
      </c>
    </row>
    <row r="1008" spans="1:2" ht="15.75" customHeight="1" x14ac:dyDescent="0.3">
      <c r="A1008" s="2" t="s">
        <v>2030</v>
      </c>
      <c r="B1008" s="2" t="s">
        <v>2357</v>
      </c>
    </row>
    <row r="1009" spans="1:2" ht="15.75" customHeight="1" x14ac:dyDescent="0.3">
      <c r="A1009" s="2" t="s">
        <v>1065</v>
      </c>
      <c r="B1009" s="2" t="s">
        <v>2356</v>
      </c>
    </row>
    <row r="1010" spans="1:2" ht="15.75" customHeight="1" x14ac:dyDescent="0.3">
      <c r="A1010" s="2" t="s">
        <v>1407</v>
      </c>
      <c r="B1010" s="2" t="s">
        <v>2357</v>
      </c>
    </row>
    <row r="1011" spans="1:2" ht="15.75" customHeight="1" x14ac:dyDescent="0.3">
      <c r="A1011" s="2" t="s">
        <v>765</v>
      </c>
      <c r="B1011" s="2" t="s">
        <v>2359</v>
      </c>
    </row>
    <row r="1012" spans="1:2" ht="15.75" customHeight="1" x14ac:dyDescent="0.3">
      <c r="A1012" s="2" t="s">
        <v>2313</v>
      </c>
      <c r="B1012" s="2" t="s">
        <v>2360</v>
      </c>
    </row>
    <row r="1013" spans="1:2" ht="15.75" customHeight="1" x14ac:dyDescent="0.3">
      <c r="A1013" s="2" t="s">
        <v>1962</v>
      </c>
      <c r="B1013" s="2" t="s">
        <v>2357</v>
      </c>
    </row>
    <row r="1014" spans="1:2" ht="15.75" customHeight="1" x14ac:dyDescent="0.3">
      <c r="A1014" s="2" t="s">
        <v>1951</v>
      </c>
      <c r="B1014" s="2" t="s">
        <v>2357</v>
      </c>
    </row>
    <row r="1015" spans="1:2" ht="15.75" customHeight="1" x14ac:dyDescent="0.3">
      <c r="A1015" s="2" t="s">
        <v>332</v>
      </c>
      <c r="B1015" s="2" t="s">
        <v>2357</v>
      </c>
    </row>
    <row r="1016" spans="1:2" ht="15.75" customHeight="1" x14ac:dyDescent="0.3">
      <c r="A1016" s="2" t="s">
        <v>1521</v>
      </c>
      <c r="B1016" s="2" t="s">
        <v>2357</v>
      </c>
    </row>
    <row r="1017" spans="1:2" ht="15.75" customHeight="1" x14ac:dyDescent="0.3">
      <c r="A1017" s="2" t="s">
        <v>1400</v>
      </c>
      <c r="B1017" s="2" t="s">
        <v>2356</v>
      </c>
    </row>
    <row r="1018" spans="1:2" ht="15.75" customHeight="1" x14ac:dyDescent="0.3">
      <c r="A1018" s="2" t="s">
        <v>842</v>
      </c>
      <c r="B1018" s="2" t="s">
        <v>2357</v>
      </c>
    </row>
    <row r="1019" spans="1:2" ht="15.75" customHeight="1" x14ac:dyDescent="0.3">
      <c r="A1019" s="2" t="s">
        <v>1846</v>
      </c>
      <c r="B1019" s="2" t="s">
        <v>2356</v>
      </c>
    </row>
    <row r="1020" spans="1:2" ht="15.75" customHeight="1" x14ac:dyDescent="0.3">
      <c r="A1020" s="2" t="s">
        <v>1984</v>
      </c>
      <c r="B1020" s="2" t="s">
        <v>2357</v>
      </c>
    </row>
    <row r="1021" spans="1:2" ht="15.75" customHeight="1" x14ac:dyDescent="0.3">
      <c r="A1021" s="2" t="s">
        <v>1532</v>
      </c>
      <c r="B1021" s="2" t="s">
        <v>2357</v>
      </c>
    </row>
    <row r="1022" spans="1:2" ht="15.75" customHeight="1" x14ac:dyDescent="0.3">
      <c r="A1022" s="2" t="s">
        <v>1452</v>
      </c>
      <c r="B1022" s="2" t="s">
        <v>2357</v>
      </c>
    </row>
    <row r="1023" spans="1:2" ht="15.75" customHeight="1" x14ac:dyDescent="0.3">
      <c r="A1023" s="2" t="s">
        <v>960</v>
      </c>
      <c r="B1023" s="2" t="s">
        <v>2357</v>
      </c>
    </row>
    <row r="1024" spans="1:2" ht="15.75" customHeight="1" x14ac:dyDescent="0.3">
      <c r="A1024" s="2" t="s">
        <v>858</v>
      </c>
      <c r="B1024" s="2" t="s">
        <v>2357</v>
      </c>
    </row>
    <row r="1025" spans="1:2" ht="15.75" customHeight="1" x14ac:dyDescent="0.3">
      <c r="A1025" s="2" t="s">
        <v>1473</v>
      </c>
      <c r="B1025" s="2" t="s">
        <v>2357</v>
      </c>
    </row>
    <row r="1026" spans="1:2" ht="15.75" customHeight="1" x14ac:dyDescent="0.3">
      <c r="A1026" s="2" t="s">
        <v>1360</v>
      </c>
      <c r="B1026" s="2" t="s">
        <v>2357</v>
      </c>
    </row>
    <row r="1027" spans="1:2" ht="15.75" customHeight="1" x14ac:dyDescent="0.3">
      <c r="A1027" s="2" t="s">
        <v>1785</v>
      </c>
      <c r="B1027" s="2" t="s">
        <v>2357</v>
      </c>
    </row>
    <row r="1028" spans="1:2" ht="15.75" customHeight="1" x14ac:dyDescent="0.3">
      <c r="A1028" s="2" t="s">
        <v>1765</v>
      </c>
      <c r="B1028" s="2" t="s">
        <v>2357</v>
      </c>
    </row>
    <row r="1029" spans="1:2" ht="15.75" customHeight="1" x14ac:dyDescent="0.3">
      <c r="A1029" s="2" t="s">
        <v>1309</v>
      </c>
      <c r="B1029" s="2" t="s">
        <v>2357</v>
      </c>
    </row>
    <row r="1030" spans="1:2" ht="15.75" customHeight="1" x14ac:dyDescent="0.3">
      <c r="A1030" s="2" t="s">
        <v>905</v>
      </c>
      <c r="B1030" s="2" t="s">
        <v>2357</v>
      </c>
    </row>
    <row r="1031" spans="1:2" ht="15.75" customHeight="1" x14ac:dyDescent="0.3">
      <c r="A1031" s="2" t="s">
        <v>436</v>
      </c>
      <c r="B1031" s="2" t="s">
        <v>2357</v>
      </c>
    </row>
    <row r="1032" spans="1:2" ht="15.75" customHeight="1" x14ac:dyDescent="0.3">
      <c r="A1032" s="2" t="s">
        <v>1974</v>
      </c>
      <c r="B1032" s="2" t="s">
        <v>2357</v>
      </c>
    </row>
    <row r="1033" spans="1:2" ht="15.75" customHeight="1" x14ac:dyDescent="0.3">
      <c r="A1033" s="2" t="s">
        <v>2268</v>
      </c>
      <c r="B1033" s="2" t="s">
        <v>2357</v>
      </c>
    </row>
    <row r="1034" spans="1:2" ht="15.75" customHeight="1" x14ac:dyDescent="0.3">
      <c r="A1034" s="2" t="s">
        <v>1869</v>
      </c>
      <c r="B1034" s="2" t="s">
        <v>2357</v>
      </c>
    </row>
    <row r="1035" spans="1:2" ht="15.75" customHeight="1" x14ac:dyDescent="0.3">
      <c r="A1035" s="2" t="s">
        <v>868</v>
      </c>
      <c r="B1035" s="2" t="s">
        <v>2357</v>
      </c>
    </row>
    <row r="1036" spans="1:2" ht="15.75" customHeight="1" x14ac:dyDescent="0.3">
      <c r="A1036" s="2" t="s">
        <v>1961</v>
      </c>
      <c r="B1036" s="2" t="s">
        <v>2357</v>
      </c>
    </row>
    <row r="1037" spans="1:2" ht="15.75" customHeight="1" x14ac:dyDescent="0.3">
      <c r="A1037" s="2" t="s">
        <v>825</v>
      </c>
      <c r="B1037" s="2" t="s">
        <v>2356</v>
      </c>
    </row>
    <row r="1038" spans="1:2" ht="15.75" customHeight="1" x14ac:dyDescent="0.3">
      <c r="A1038" s="2" t="s">
        <v>2111</v>
      </c>
      <c r="B1038" s="2" t="s">
        <v>2357</v>
      </c>
    </row>
    <row r="1039" spans="1:2" ht="15.75" customHeight="1" x14ac:dyDescent="0.3">
      <c r="A1039" s="2" t="s">
        <v>1831</v>
      </c>
      <c r="B1039" s="2" t="s">
        <v>2356</v>
      </c>
    </row>
    <row r="1040" spans="1:2" ht="15.75" customHeight="1" x14ac:dyDescent="0.3">
      <c r="A1040" s="2" t="s">
        <v>1851</v>
      </c>
      <c r="B1040" s="2" t="s">
        <v>2357</v>
      </c>
    </row>
    <row r="1041" spans="1:2" ht="15.75" customHeight="1" x14ac:dyDescent="0.3">
      <c r="A1041" s="2" t="s">
        <v>1411</v>
      </c>
      <c r="B1041" s="2" t="s">
        <v>2357</v>
      </c>
    </row>
    <row r="1042" spans="1:2" ht="15.75" customHeight="1" x14ac:dyDescent="0.3">
      <c r="A1042" s="2" t="s">
        <v>1853</v>
      </c>
      <c r="B1042" s="2" t="s">
        <v>2357</v>
      </c>
    </row>
    <row r="1043" spans="1:2" ht="15.75" customHeight="1" x14ac:dyDescent="0.3">
      <c r="A1043" s="2" t="s">
        <v>206</v>
      </c>
      <c r="B1043" s="2" t="s">
        <v>2357</v>
      </c>
    </row>
    <row r="1044" spans="1:2" ht="15.75" customHeight="1" x14ac:dyDescent="0.3">
      <c r="A1044" s="2" t="s">
        <v>2211</v>
      </c>
      <c r="B1044" s="2" t="s">
        <v>2360</v>
      </c>
    </row>
    <row r="1045" spans="1:2" ht="15.75" customHeight="1" x14ac:dyDescent="0.3">
      <c r="A1045" s="2" t="s">
        <v>815</v>
      </c>
      <c r="B1045" s="2" t="s">
        <v>2357</v>
      </c>
    </row>
    <row r="1046" spans="1:2" ht="15.75" customHeight="1" x14ac:dyDescent="0.3">
      <c r="A1046" s="2" t="s">
        <v>843</v>
      </c>
      <c r="B1046" s="2" t="s">
        <v>2357</v>
      </c>
    </row>
    <row r="1047" spans="1:2" ht="15.75" customHeight="1" x14ac:dyDescent="0.3">
      <c r="A1047" s="2" t="s">
        <v>450</v>
      </c>
      <c r="B1047" s="2" t="s">
        <v>2357</v>
      </c>
    </row>
    <row r="1048" spans="1:2" ht="15.75" customHeight="1" x14ac:dyDescent="0.3">
      <c r="A1048" s="2" t="s">
        <v>164</v>
      </c>
      <c r="B1048" s="2" t="s">
        <v>2357</v>
      </c>
    </row>
    <row r="1049" spans="1:2" ht="15.75" customHeight="1" x14ac:dyDescent="0.3">
      <c r="A1049" s="2" t="s">
        <v>2293</v>
      </c>
      <c r="B1049" s="2" t="s">
        <v>2357</v>
      </c>
    </row>
    <row r="1050" spans="1:2" ht="15.75" customHeight="1" x14ac:dyDescent="0.3">
      <c r="A1050" s="2" t="s">
        <v>2328</v>
      </c>
      <c r="B1050" s="2" t="s">
        <v>2357</v>
      </c>
    </row>
    <row r="1051" spans="1:2" ht="15.75" customHeight="1" x14ac:dyDescent="0.3">
      <c r="A1051" s="2" t="s">
        <v>516</v>
      </c>
      <c r="B1051" s="2" t="s">
        <v>2357</v>
      </c>
    </row>
    <row r="1052" spans="1:2" ht="15.75" customHeight="1" x14ac:dyDescent="0.3">
      <c r="A1052" s="2" t="s">
        <v>955</v>
      </c>
      <c r="B1052" s="2" t="s">
        <v>2357</v>
      </c>
    </row>
    <row r="1053" spans="1:2" ht="15.75" customHeight="1" x14ac:dyDescent="0.3">
      <c r="A1053" s="2" t="s">
        <v>328</v>
      </c>
      <c r="B1053" s="2" t="s">
        <v>2357</v>
      </c>
    </row>
    <row r="1054" spans="1:2" ht="15.75" customHeight="1" x14ac:dyDescent="0.3">
      <c r="A1054" s="2" t="s">
        <v>1058</v>
      </c>
      <c r="B1054" s="2" t="s">
        <v>2356</v>
      </c>
    </row>
    <row r="1055" spans="1:2" ht="15.75" customHeight="1" x14ac:dyDescent="0.3">
      <c r="A1055" s="2" t="s">
        <v>949</v>
      </c>
      <c r="B1055" s="2" t="s">
        <v>2357</v>
      </c>
    </row>
    <row r="1056" spans="1:2" ht="15.75" customHeight="1" x14ac:dyDescent="0.3">
      <c r="A1056" s="2" t="s">
        <v>1260</v>
      </c>
      <c r="B1056" s="2" t="s">
        <v>2357</v>
      </c>
    </row>
    <row r="1057" spans="1:2" ht="15.75" customHeight="1" x14ac:dyDescent="0.3">
      <c r="A1057" s="2" t="s">
        <v>2050</v>
      </c>
      <c r="B1057" s="2" t="s">
        <v>2357</v>
      </c>
    </row>
    <row r="1058" spans="1:2" ht="15.75" customHeight="1" x14ac:dyDescent="0.3">
      <c r="A1058" s="2" t="s">
        <v>599</v>
      </c>
      <c r="B1058" s="2" t="s">
        <v>2357</v>
      </c>
    </row>
    <row r="1059" spans="1:2" ht="15.75" customHeight="1" x14ac:dyDescent="0.3">
      <c r="A1059" s="2" t="s">
        <v>1315</v>
      </c>
      <c r="B1059" s="2" t="s">
        <v>2357</v>
      </c>
    </row>
    <row r="1060" spans="1:2" ht="15.75" customHeight="1" x14ac:dyDescent="0.3">
      <c r="A1060" s="2" t="s">
        <v>224</v>
      </c>
      <c r="B1060" s="2" t="s">
        <v>2357</v>
      </c>
    </row>
    <row r="1061" spans="1:2" ht="15.75" customHeight="1" x14ac:dyDescent="0.3">
      <c r="A1061" s="2" t="s">
        <v>94</v>
      </c>
      <c r="B1061" s="2" t="s">
        <v>2357</v>
      </c>
    </row>
    <row r="1062" spans="1:2" ht="15.75" customHeight="1" x14ac:dyDescent="0.3">
      <c r="A1062" s="2" t="s">
        <v>1956</v>
      </c>
      <c r="B1062" s="2" t="s">
        <v>2357</v>
      </c>
    </row>
    <row r="1063" spans="1:2" ht="15.75" customHeight="1" x14ac:dyDescent="0.3">
      <c r="A1063" s="2" t="s">
        <v>1023</v>
      </c>
      <c r="B1063" s="2" t="s">
        <v>2356</v>
      </c>
    </row>
    <row r="1064" spans="1:2" ht="15.75" customHeight="1" x14ac:dyDescent="0.3">
      <c r="A1064" s="2" t="s">
        <v>324</v>
      </c>
      <c r="B1064" s="2" t="s">
        <v>2357</v>
      </c>
    </row>
    <row r="1065" spans="1:2" ht="15.75" customHeight="1" x14ac:dyDescent="0.3">
      <c r="A1065" s="2" t="s">
        <v>1729</v>
      </c>
      <c r="B1065" s="2" t="s">
        <v>2357</v>
      </c>
    </row>
    <row r="1066" spans="1:2" ht="15.75" customHeight="1" x14ac:dyDescent="0.3">
      <c r="A1066" s="2" t="s">
        <v>913</v>
      </c>
      <c r="B1066" s="2" t="s">
        <v>2357</v>
      </c>
    </row>
    <row r="1067" spans="1:2" ht="15.75" customHeight="1" x14ac:dyDescent="0.3">
      <c r="A1067" s="2" t="s">
        <v>975</v>
      </c>
      <c r="B1067" s="2" t="s">
        <v>2357</v>
      </c>
    </row>
    <row r="1068" spans="1:2" ht="15.75" customHeight="1" x14ac:dyDescent="0.3">
      <c r="A1068" s="2" t="s">
        <v>1207</v>
      </c>
      <c r="B1068" s="2" t="s">
        <v>2357</v>
      </c>
    </row>
    <row r="1069" spans="1:2" ht="15.75" customHeight="1" x14ac:dyDescent="0.3">
      <c r="A1069" s="2" t="s">
        <v>1706</v>
      </c>
      <c r="B1069" s="2" t="s">
        <v>2356</v>
      </c>
    </row>
    <row r="1070" spans="1:2" ht="15.75" customHeight="1" x14ac:dyDescent="0.3">
      <c r="A1070" s="2" t="s">
        <v>1547</v>
      </c>
      <c r="B1070" s="2" t="s">
        <v>2357</v>
      </c>
    </row>
    <row r="1071" spans="1:2" ht="15.75" customHeight="1" x14ac:dyDescent="0.3">
      <c r="A1071" s="2" t="s">
        <v>2073</v>
      </c>
      <c r="B1071" s="2" t="s">
        <v>2356</v>
      </c>
    </row>
    <row r="1072" spans="1:2" ht="15.75" customHeight="1" x14ac:dyDescent="0.3">
      <c r="A1072" s="2" t="s">
        <v>950</v>
      </c>
      <c r="B1072" s="2" t="s">
        <v>2357</v>
      </c>
    </row>
    <row r="1073" spans="1:2" ht="15.75" customHeight="1" x14ac:dyDescent="0.3">
      <c r="A1073" s="2" t="s">
        <v>1504</v>
      </c>
      <c r="B1073" s="2" t="s">
        <v>2357</v>
      </c>
    </row>
    <row r="1074" spans="1:2" ht="15.75" customHeight="1" x14ac:dyDescent="0.3">
      <c r="A1074" s="2" t="s">
        <v>1254</v>
      </c>
      <c r="B1074" s="2" t="s">
        <v>2357</v>
      </c>
    </row>
    <row r="1075" spans="1:2" ht="15.75" customHeight="1" x14ac:dyDescent="0.3">
      <c r="A1075" s="2" t="s">
        <v>1487</v>
      </c>
      <c r="B1075" s="2" t="s">
        <v>2357</v>
      </c>
    </row>
    <row r="1076" spans="1:2" ht="15.75" customHeight="1" x14ac:dyDescent="0.3">
      <c r="A1076" s="2" t="s">
        <v>1663</v>
      </c>
      <c r="B1076" s="2" t="s">
        <v>2357</v>
      </c>
    </row>
    <row r="1077" spans="1:2" ht="15.75" customHeight="1" x14ac:dyDescent="0.3">
      <c r="A1077" s="2" t="s">
        <v>1434</v>
      </c>
      <c r="B1077" s="2" t="s">
        <v>2357</v>
      </c>
    </row>
    <row r="1078" spans="1:2" ht="15.75" customHeight="1" x14ac:dyDescent="0.3">
      <c r="A1078" s="2" t="s">
        <v>1079</v>
      </c>
      <c r="B1078" s="2" t="s">
        <v>2357</v>
      </c>
    </row>
    <row r="1079" spans="1:2" ht="15.75" customHeight="1" x14ac:dyDescent="0.3">
      <c r="A1079" s="2" t="s">
        <v>830</v>
      </c>
      <c r="B1079" s="2" t="s">
        <v>2357</v>
      </c>
    </row>
    <row r="1080" spans="1:2" ht="15.75" customHeight="1" x14ac:dyDescent="0.3">
      <c r="A1080" s="2" t="s">
        <v>245</v>
      </c>
      <c r="B1080" s="2" t="s">
        <v>2357</v>
      </c>
    </row>
    <row r="1081" spans="1:2" ht="15.75" customHeight="1" x14ac:dyDescent="0.3">
      <c r="A1081" s="2" t="s">
        <v>1675</v>
      </c>
      <c r="B1081" s="2" t="s">
        <v>2357</v>
      </c>
    </row>
    <row r="1082" spans="1:2" ht="15.75" customHeight="1" x14ac:dyDescent="0.3">
      <c r="A1082" s="2" t="s">
        <v>1140</v>
      </c>
      <c r="B1082" s="2" t="s">
        <v>2357</v>
      </c>
    </row>
    <row r="1083" spans="1:2" ht="15.75" customHeight="1" x14ac:dyDescent="0.3">
      <c r="A1083" s="2" t="s">
        <v>1753</v>
      </c>
      <c r="B1083" s="2" t="s">
        <v>2357</v>
      </c>
    </row>
    <row r="1084" spans="1:2" ht="15.75" customHeight="1" x14ac:dyDescent="0.3">
      <c r="A1084" s="2" t="s">
        <v>1429</v>
      </c>
      <c r="B1084" s="2" t="s">
        <v>2357</v>
      </c>
    </row>
    <row r="1085" spans="1:2" ht="15.75" customHeight="1" x14ac:dyDescent="0.3">
      <c r="A1085" s="2" t="s">
        <v>248</v>
      </c>
      <c r="B1085" s="2" t="s">
        <v>2357</v>
      </c>
    </row>
    <row r="1086" spans="1:2" ht="15.75" customHeight="1" x14ac:dyDescent="0.3">
      <c r="A1086" s="2" t="s">
        <v>2247</v>
      </c>
      <c r="B1086" s="2" t="s">
        <v>2357</v>
      </c>
    </row>
    <row r="1087" spans="1:2" ht="15.75" customHeight="1" x14ac:dyDescent="0.3">
      <c r="A1087" s="2" t="s">
        <v>1734</v>
      </c>
      <c r="B1087" s="2" t="s">
        <v>2356</v>
      </c>
    </row>
    <row r="1088" spans="1:2" ht="15.75" customHeight="1" x14ac:dyDescent="0.3">
      <c r="A1088" s="2" t="s">
        <v>1229</v>
      </c>
      <c r="B1088" s="2" t="s">
        <v>2357</v>
      </c>
    </row>
    <row r="1089" spans="1:2" ht="15.75" customHeight="1" x14ac:dyDescent="0.3">
      <c r="A1089" s="2" t="s">
        <v>465</v>
      </c>
      <c r="B1089" s="2" t="s">
        <v>2357</v>
      </c>
    </row>
    <row r="1090" spans="1:2" ht="15.75" customHeight="1" x14ac:dyDescent="0.3">
      <c r="A1090" s="2" t="s">
        <v>2289</v>
      </c>
      <c r="B1090" s="2" t="s">
        <v>2357</v>
      </c>
    </row>
    <row r="1091" spans="1:2" ht="15.75" customHeight="1" x14ac:dyDescent="0.3">
      <c r="A1091" s="2" t="s">
        <v>1548</v>
      </c>
      <c r="B1091" s="2" t="s">
        <v>2356</v>
      </c>
    </row>
    <row r="1092" spans="1:2" ht="15.75" customHeight="1" x14ac:dyDescent="0.3">
      <c r="A1092" s="2" t="s">
        <v>1103</v>
      </c>
      <c r="B1092" s="2" t="s">
        <v>2357</v>
      </c>
    </row>
    <row r="1093" spans="1:2" ht="15.75" customHeight="1" x14ac:dyDescent="0.3">
      <c r="A1093" s="2" t="s">
        <v>2004</v>
      </c>
      <c r="B1093" s="2" t="s">
        <v>2357</v>
      </c>
    </row>
    <row r="1094" spans="1:2" ht="15.75" customHeight="1" x14ac:dyDescent="0.3">
      <c r="A1094" s="2" t="s">
        <v>2064</v>
      </c>
      <c r="B1094" s="2" t="s">
        <v>2357</v>
      </c>
    </row>
    <row r="1095" spans="1:2" ht="15.75" customHeight="1" x14ac:dyDescent="0.3">
      <c r="A1095" s="2" t="s">
        <v>2082</v>
      </c>
      <c r="B1095" s="2" t="s">
        <v>2357</v>
      </c>
    </row>
    <row r="1096" spans="1:2" ht="15.75" customHeight="1" x14ac:dyDescent="0.3">
      <c r="A1096" s="2" t="s">
        <v>1154</v>
      </c>
      <c r="B1096" s="2" t="s">
        <v>2357</v>
      </c>
    </row>
    <row r="1097" spans="1:2" ht="15.75" customHeight="1" x14ac:dyDescent="0.3">
      <c r="A1097" s="2" t="s">
        <v>2013</v>
      </c>
      <c r="B1097" s="2" t="s">
        <v>2357</v>
      </c>
    </row>
    <row r="1098" spans="1:2" ht="15.75" customHeight="1" x14ac:dyDescent="0.3">
      <c r="A1098" s="2" t="s">
        <v>2301</v>
      </c>
      <c r="B1098" s="2" t="s">
        <v>2358</v>
      </c>
    </row>
    <row r="1099" spans="1:2" ht="15.75" customHeight="1" x14ac:dyDescent="0.3">
      <c r="A1099" s="2" t="s">
        <v>2090</v>
      </c>
      <c r="B1099" s="2" t="s">
        <v>2357</v>
      </c>
    </row>
    <row r="1100" spans="1:2" ht="15.75" customHeight="1" x14ac:dyDescent="0.3">
      <c r="A1100" s="2" t="s">
        <v>773</v>
      </c>
      <c r="B1100" s="2" t="s">
        <v>2357</v>
      </c>
    </row>
    <row r="1101" spans="1:2" ht="15.75" customHeight="1" x14ac:dyDescent="0.3">
      <c r="A1101" s="2" t="s">
        <v>1823</v>
      </c>
      <c r="B1101" s="2" t="s">
        <v>2357</v>
      </c>
    </row>
    <row r="1102" spans="1:2" ht="15.75" customHeight="1" x14ac:dyDescent="0.3">
      <c r="A1102" s="2" t="s">
        <v>555</v>
      </c>
      <c r="B1102" s="2" t="s">
        <v>2357</v>
      </c>
    </row>
    <row r="1103" spans="1:2" ht="15.75" customHeight="1" x14ac:dyDescent="0.3">
      <c r="A1103" s="2" t="s">
        <v>1500</v>
      </c>
      <c r="B1103" s="2" t="s">
        <v>2357</v>
      </c>
    </row>
    <row r="1104" spans="1:2" ht="15.75" customHeight="1" x14ac:dyDescent="0.3">
      <c r="A1104" s="2" t="s">
        <v>1949</v>
      </c>
      <c r="B1104" s="2" t="s">
        <v>2356</v>
      </c>
    </row>
    <row r="1105" spans="1:2" ht="15.75" customHeight="1" x14ac:dyDescent="0.3">
      <c r="A1105" s="2" t="s">
        <v>373</v>
      </c>
      <c r="B1105" s="2" t="s">
        <v>2357</v>
      </c>
    </row>
    <row r="1106" spans="1:2" ht="15.75" customHeight="1" x14ac:dyDescent="0.3">
      <c r="A1106" s="2" t="s">
        <v>496</v>
      </c>
      <c r="B1106" s="2" t="s">
        <v>2356</v>
      </c>
    </row>
    <row r="1107" spans="1:2" ht="15.75" customHeight="1" x14ac:dyDescent="0.3">
      <c r="A1107" s="2" t="s">
        <v>358</v>
      </c>
      <c r="B1107" s="2" t="s">
        <v>2357</v>
      </c>
    </row>
    <row r="1108" spans="1:2" ht="15.75" customHeight="1" x14ac:dyDescent="0.3">
      <c r="A1108" s="2" t="s">
        <v>1462</v>
      </c>
      <c r="B1108" s="2" t="s">
        <v>2357</v>
      </c>
    </row>
    <row r="1109" spans="1:2" ht="15.75" customHeight="1" x14ac:dyDescent="0.3">
      <c r="A1109" s="2" t="s">
        <v>616</v>
      </c>
      <c r="B1109" s="2" t="s">
        <v>2356</v>
      </c>
    </row>
    <row r="1110" spans="1:2" ht="15.75" customHeight="1" x14ac:dyDescent="0.3">
      <c r="A1110" s="2" t="s">
        <v>706</v>
      </c>
      <c r="B1110" s="2" t="s">
        <v>2357</v>
      </c>
    </row>
    <row r="1111" spans="1:2" ht="15.75" customHeight="1" x14ac:dyDescent="0.3">
      <c r="A1111" s="2" t="s">
        <v>1804</v>
      </c>
      <c r="B1111" s="2" t="s">
        <v>2357</v>
      </c>
    </row>
    <row r="1112" spans="1:2" ht="15.75" customHeight="1" x14ac:dyDescent="0.3">
      <c r="A1112" s="2" t="s">
        <v>1609</v>
      </c>
      <c r="B1112" s="2" t="s">
        <v>2357</v>
      </c>
    </row>
    <row r="1113" spans="1:2" ht="15.75" customHeight="1" x14ac:dyDescent="0.3">
      <c r="A1113" s="2" t="s">
        <v>1668</v>
      </c>
      <c r="B1113" s="2" t="s">
        <v>2357</v>
      </c>
    </row>
    <row r="1114" spans="1:2" ht="15.75" customHeight="1" x14ac:dyDescent="0.3">
      <c r="A1114" s="2" t="s">
        <v>213</v>
      </c>
      <c r="B1114" s="2" t="s">
        <v>2357</v>
      </c>
    </row>
    <row r="1115" spans="1:2" ht="15.75" customHeight="1" x14ac:dyDescent="0.3">
      <c r="A1115" s="2" t="s">
        <v>2125</v>
      </c>
      <c r="B1115" s="2" t="s">
        <v>2356</v>
      </c>
    </row>
    <row r="1116" spans="1:2" ht="15.75" customHeight="1" x14ac:dyDescent="0.3">
      <c r="A1116" s="2" t="s">
        <v>1813</v>
      </c>
      <c r="B1116" s="2" t="s">
        <v>2359</v>
      </c>
    </row>
    <row r="1117" spans="1:2" ht="15.75" customHeight="1" x14ac:dyDescent="0.3">
      <c r="A1117" s="2" t="s">
        <v>577</v>
      </c>
      <c r="B1117" s="2" t="s">
        <v>2357</v>
      </c>
    </row>
    <row r="1118" spans="1:2" ht="15.75" customHeight="1" x14ac:dyDescent="0.3">
      <c r="A1118" s="2" t="s">
        <v>2018</v>
      </c>
      <c r="B1118" s="2" t="s">
        <v>2357</v>
      </c>
    </row>
    <row r="1119" spans="1:2" ht="15.75" customHeight="1" x14ac:dyDescent="0.3">
      <c r="A1119" s="2" t="s">
        <v>1314</v>
      </c>
      <c r="B1119" s="2" t="s">
        <v>2357</v>
      </c>
    </row>
    <row r="1120" spans="1:2" ht="15.75" customHeight="1" x14ac:dyDescent="0.3">
      <c r="A1120" s="2" t="s">
        <v>556</v>
      </c>
      <c r="B1120" s="2" t="s">
        <v>2357</v>
      </c>
    </row>
    <row r="1121" spans="1:2" ht="15.75" customHeight="1" x14ac:dyDescent="0.3">
      <c r="A1121" s="2" t="s">
        <v>2213</v>
      </c>
      <c r="B1121" s="2" t="s">
        <v>2357</v>
      </c>
    </row>
    <row r="1122" spans="1:2" ht="15.75" customHeight="1" x14ac:dyDescent="0.3">
      <c r="A1122" s="2" t="s">
        <v>935</v>
      </c>
      <c r="B1122" s="2" t="s">
        <v>2357</v>
      </c>
    </row>
    <row r="1123" spans="1:2" ht="15.75" customHeight="1" x14ac:dyDescent="0.3">
      <c r="A1123" s="2" t="s">
        <v>1200</v>
      </c>
      <c r="B1123" s="2" t="s">
        <v>2357</v>
      </c>
    </row>
    <row r="1124" spans="1:2" ht="15.75" customHeight="1" x14ac:dyDescent="0.3">
      <c r="A1124" s="2" t="s">
        <v>717</v>
      </c>
      <c r="B1124" s="2" t="s">
        <v>2357</v>
      </c>
    </row>
    <row r="1125" spans="1:2" ht="15.75" customHeight="1" x14ac:dyDescent="0.3">
      <c r="A1125" s="2" t="s">
        <v>528</v>
      </c>
      <c r="B1125" s="2" t="s">
        <v>2356</v>
      </c>
    </row>
    <row r="1126" spans="1:2" ht="15.75" customHeight="1" x14ac:dyDescent="0.3">
      <c r="A1126" s="2" t="s">
        <v>533</v>
      </c>
      <c r="B1126" s="2" t="s">
        <v>2357</v>
      </c>
    </row>
    <row r="1127" spans="1:2" ht="15.75" customHeight="1" x14ac:dyDescent="0.3">
      <c r="A1127" s="2" t="s">
        <v>1141</v>
      </c>
      <c r="B1127" s="2" t="s">
        <v>2357</v>
      </c>
    </row>
    <row r="1128" spans="1:2" ht="15.75" customHeight="1" x14ac:dyDescent="0.3">
      <c r="A1128" s="2" t="s">
        <v>1070</v>
      </c>
      <c r="B1128" s="2" t="s">
        <v>2357</v>
      </c>
    </row>
    <row r="1129" spans="1:2" ht="15.75" customHeight="1" x14ac:dyDescent="0.3">
      <c r="A1129" s="2" t="s">
        <v>139</v>
      </c>
      <c r="B1129" s="2" t="s">
        <v>2356</v>
      </c>
    </row>
    <row r="1130" spans="1:2" ht="15.75" customHeight="1" x14ac:dyDescent="0.3">
      <c r="A1130" s="2" t="s">
        <v>1977</v>
      </c>
      <c r="B1130" s="2" t="s">
        <v>2356</v>
      </c>
    </row>
    <row r="1131" spans="1:2" ht="15.75" customHeight="1" x14ac:dyDescent="0.3">
      <c r="A1131" s="2" t="s">
        <v>1673</v>
      </c>
      <c r="B1131" s="2" t="s">
        <v>2357</v>
      </c>
    </row>
    <row r="1132" spans="1:2" ht="15.75" customHeight="1" x14ac:dyDescent="0.3">
      <c r="A1132" s="2" t="s">
        <v>725</v>
      </c>
      <c r="B1132" s="2" t="s">
        <v>2357</v>
      </c>
    </row>
    <row r="1133" spans="1:2" ht="15.75" customHeight="1" x14ac:dyDescent="0.3">
      <c r="A1133" s="2" t="s">
        <v>1350</v>
      </c>
      <c r="B1133" s="2" t="s">
        <v>2359</v>
      </c>
    </row>
    <row r="1134" spans="1:2" ht="15.75" customHeight="1" x14ac:dyDescent="0.3">
      <c r="A1134" s="2" t="s">
        <v>965</v>
      </c>
      <c r="B1134" s="2" t="s">
        <v>2357</v>
      </c>
    </row>
    <row r="1135" spans="1:2" ht="15.75" customHeight="1" x14ac:dyDescent="0.3">
      <c r="A1135" s="2" t="s">
        <v>1771</v>
      </c>
      <c r="B1135" s="2" t="s">
        <v>2357</v>
      </c>
    </row>
    <row r="1136" spans="1:2" ht="15.75" customHeight="1" x14ac:dyDescent="0.3">
      <c r="A1136" s="2" t="s">
        <v>1306</v>
      </c>
      <c r="B1136" s="2" t="s">
        <v>2357</v>
      </c>
    </row>
    <row r="1137" spans="1:2" ht="15.75" customHeight="1" x14ac:dyDescent="0.3">
      <c r="A1137" s="2" t="s">
        <v>2000</v>
      </c>
      <c r="B1137" s="2" t="s">
        <v>2357</v>
      </c>
    </row>
    <row r="1138" spans="1:2" ht="15.75" customHeight="1" x14ac:dyDescent="0.3">
      <c r="A1138" s="2" t="s">
        <v>1875</v>
      </c>
      <c r="B1138" s="2" t="s">
        <v>2357</v>
      </c>
    </row>
    <row r="1139" spans="1:2" ht="15.75" customHeight="1" x14ac:dyDescent="0.3">
      <c r="A1139" s="2" t="s">
        <v>785</v>
      </c>
      <c r="B1139" s="2" t="s">
        <v>2357</v>
      </c>
    </row>
    <row r="1140" spans="1:2" ht="15.75" customHeight="1" x14ac:dyDescent="0.3">
      <c r="A1140" s="2" t="s">
        <v>884</v>
      </c>
      <c r="B1140" s="2" t="s">
        <v>2357</v>
      </c>
    </row>
    <row r="1141" spans="1:2" ht="15.75" customHeight="1" x14ac:dyDescent="0.3">
      <c r="A1141" s="2" t="s">
        <v>1655</v>
      </c>
      <c r="B1141" s="2" t="s">
        <v>2357</v>
      </c>
    </row>
    <row r="1142" spans="1:2" ht="15.75" customHeight="1" x14ac:dyDescent="0.3">
      <c r="A1142" s="2" t="s">
        <v>1489</v>
      </c>
      <c r="B1142" s="2" t="s">
        <v>2356</v>
      </c>
    </row>
    <row r="1143" spans="1:2" ht="15.75" customHeight="1" x14ac:dyDescent="0.3">
      <c r="A1143" s="2" t="s">
        <v>1919</v>
      </c>
      <c r="B1143" s="2" t="s">
        <v>2357</v>
      </c>
    </row>
    <row r="1144" spans="1:2" ht="15.75" customHeight="1" x14ac:dyDescent="0.3">
      <c r="A1144" s="2" t="s">
        <v>1989</v>
      </c>
      <c r="B1144" s="2" t="s">
        <v>2357</v>
      </c>
    </row>
    <row r="1145" spans="1:2" ht="15.75" customHeight="1" x14ac:dyDescent="0.3">
      <c r="A1145" s="2" t="s">
        <v>864</v>
      </c>
      <c r="B1145" s="2" t="s">
        <v>2357</v>
      </c>
    </row>
    <row r="1146" spans="1:2" ht="15.75" customHeight="1" x14ac:dyDescent="0.3">
      <c r="A1146" s="2" t="s">
        <v>183</v>
      </c>
      <c r="B1146" s="2" t="s">
        <v>2357</v>
      </c>
    </row>
    <row r="1147" spans="1:2" ht="15.75" customHeight="1" x14ac:dyDescent="0.3">
      <c r="A1147" s="2" t="s">
        <v>839</v>
      </c>
      <c r="B1147" s="2" t="s">
        <v>2357</v>
      </c>
    </row>
    <row r="1148" spans="1:2" ht="15.75" customHeight="1" x14ac:dyDescent="0.3">
      <c r="A1148" s="2" t="s">
        <v>1246</v>
      </c>
      <c r="B1148" s="2" t="s">
        <v>2357</v>
      </c>
    </row>
    <row r="1149" spans="1:2" ht="15.75" customHeight="1" x14ac:dyDescent="0.3">
      <c r="A1149" s="2" t="s">
        <v>1839</v>
      </c>
      <c r="B1149" s="2" t="s">
        <v>2357</v>
      </c>
    </row>
    <row r="1150" spans="1:2" ht="15.75" customHeight="1" x14ac:dyDescent="0.3">
      <c r="A1150" s="2" t="s">
        <v>366</v>
      </c>
      <c r="B1150" s="2" t="s">
        <v>2357</v>
      </c>
    </row>
    <row r="1151" spans="1:2" ht="15.75" customHeight="1" x14ac:dyDescent="0.3">
      <c r="A1151" s="2" t="s">
        <v>1417</v>
      </c>
      <c r="B1151" s="2" t="s">
        <v>2357</v>
      </c>
    </row>
    <row r="1152" spans="1:2" ht="15.75" customHeight="1" x14ac:dyDescent="0.3">
      <c r="A1152" s="2" t="s">
        <v>217</v>
      </c>
      <c r="B1152" s="2" t="s">
        <v>2357</v>
      </c>
    </row>
    <row r="1153" spans="1:2" ht="15.75" customHeight="1" x14ac:dyDescent="0.3">
      <c r="A1153" s="2" t="s">
        <v>1745</v>
      </c>
      <c r="B1153" s="2" t="s">
        <v>2357</v>
      </c>
    </row>
    <row r="1154" spans="1:2" ht="15.75" customHeight="1" x14ac:dyDescent="0.3">
      <c r="A1154" s="2" t="s">
        <v>2176</v>
      </c>
      <c r="B1154" s="2" t="s">
        <v>2357</v>
      </c>
    </row>
    <row r="1155" spans="1:2" ht="15.75" customHeight="1" x14ac:dyDescent="0.3">
      <c r="A1155" s="2" t="s">
        <v>1280</v>
      </c>
      <c r="B1155" s="2" t="s">
        <v>2357</v>
      </c>
    </row>
    <row r="1156" spans="1:2" ht="15.75" customHeight="1" x14ac:dyDescent="0.3">
      <c r="A1156" s="2" t="s">
        <v>1735</v>
      </c>
      <c r="B1156" s="2" t="s">
        <v>2357</v>
      </c>
    </row>
    <row r="1157" spans="1:2" ht="15.75" customHeight="1" x14ac:dyDescent="0.3">
      <c r="A1157" s="2" t="s">
        <v>405</v>
      </c>
      <c r="B1157" s="2" t="s">
        <v>2357</v>
      </c>
    </row>
    <row r="1158" spans="1:2" ht="15.75" customHeight="1" x14ac:dyDescent="0.3">
      <c r="A1158" s="2" t="s">
        <v>1573</v>
      </c>
      <c r="B1158" s="2" t="s">
        <v>2357</v>
      </c>
    </row>
    <row r="1159" spans="1:2" ht="15.75" customHeight="1" x14ac:dyDescent="0.3">
      <c r="A1159" s="2" t="s">
        <v>2254</v>
      </c>
      <c r="B1159" s="2" t="s">
        <v>2360</v>
      </c>
    </row>
    <row r="1160" spans="1:2" ht="15.75" customHeight="1" x14ac:dyDescent="0.3">
      <c r="A1160" s="2" t="s">
        <v>2167</v>
      </c>
      <c r="B1160" s="2" t="s">
        <v>2357</v>
      </c>
    </row>
    <row r="1161" spans="1:2" ht="15.75" customHeight="1" x14ac:dyDescent="0.3">
      <c r="A1161" s="2" t="s">
        <v>90</v>
      </c>
      <c r="B1161" s="2" t="s">
        <v>2357</v>
      </c>
    </row>
    <row r="1162" spans="1:2" ht="15.75" customHeight="1" x14ac:dyDescent="0.3">
      <c r="A1162" s="2" t="s">
        <v>1607</v>
      </c>
      <c r="B1162" s="2" t="s">
        <v>2357</v>
      </c>
    </row>
    <row r="1163" spans="1:2" ht="15.75" customHeight="1" x14ac:dyDescent="0.3">
      <c r="A1163" s="2" t="s">
        <v>2083</v>
      </c>
      <c r="B1163" s="2" t="s">
        <v>2357</v>
      </c>
    </row>
    <row r="1164" spans="1:2" ht="15.75" customHeight="1" x14ac:dyDescent="0.3">
      <c r="A1164" s="2" t="s">
        <v>300</v>
      </c>
      <c r="B1164" s="2" t="s">
        <v>2356</v>
      </c>
    </row>
    <row r="1165" spans="1:2" ht="15.75" customHeight="1" x14ac:dyDescent="0.3">
      <c r="A1165" s="2" t="s">
        <v>1610</v>
      </c>
      <c r="B1165" s="2" t="s">
        <v>2357</v>
      </c>
    </row>
    <row r="1166" spans="1:2" ht="15.75" customHeight="1" x14ac:dyDescent="0.3">
      <c r="A1166" s="2" t="s">
        <v>1557</v>
      </c>
      <c r="B1166" s="2" t="s">
        <v>2357</v>
      </c>
    </row>
    <row r="1167" spans="1:2" ht="15.75" customHeight="1" x14ac:dyDescent="0.3">
      <c r="A1167" s="2" t="s">
        <v>2169</v>
      </c>
      <c r="B1167" s="2" t="s">
        <v>2358</v>
      </c>
    </row>
    <row r="1168" spans="1:2" ht="15.75" customHeight="1" x14ac:dyDescent="0.3">
      <c r="A1168" s="2" t="s">
        <v>1719</v>
      </c>
      <c r="B1168" s="2" t="s">
        <v>2356</v>
      </c>
    </row>
    <row r="1169" spans="1:2" ht="15.75" customHeight="1" x14ac:dyDescent="0.3">
      <c r="A1169" s="2" t="s">
        <v>1114</v>
      </c>
      <c r="B1169" s="2" t="s">
        <v>2357</v>
      </c>
    </row>
    <row r="1170" spans="1:2" ht="15.75" customHeight="1" x14ac:dyDescent="0.3">
      <c r="A1170" s="2" t="s">
        <v>255</v>
      </c>
      <c r="B1170" s="2" t="s">
        <v>2357</v>
      </c>
    </row>
    <row r="1171" spans="1:2" ht="15.75" customHeight="1" x14ac:dyDescent="0.3">
      <c r="A1171" s="2" t="s">
        <v>1579</v>
      </c>
      <c r="B1171" s="2" t="s">
        <v>2357</v>
      </c>
    </row>
    <row r="1172" spans="1:2" ht="15.75" customHeight="1" x14ac:dyDescent="0.3">
      <c r="A1172" s="2" t="s">
        <v>1168</v>
      </c>
      <c r="B1172" s="2" t="s">
        <v>2357</v>
      </c>
    </row>
    <row r="1173" spans="1:2" ht="15.75" customHeight="1" x14ac:dyDescent="0.3">
      <c r="A1173" s="2" t="s">
        <v>1501</v>
      </c>
      <c r="B1173" s="2" t="s">
        <v>2357</v>
      </c>
    </row>
    <row r="1174" spans="1:2" ht="15.75" customHeight="1" x14ac:dyDescent="0.3">
      <c r="A1174" s="2" t="s">
        <v>1157</v>
      </c>
      <c r="B1174" s="2" t="s">
        <v>2357</v>
      </c>
    </row>
    <row r="1175" spans="1:2" ht="15.75" customHeight="1" x14ac:dyDescent="0.3">
      <c r="A1175" s="2" t="s">
        <v>1695</v>
      </c>
      <c r="B1175" s="2" t="s">
        <v>2357</v>
      </c>
    </row>
    <row r="1176" spans="1:2" ht="15.75" customHeight="1" x14ac:dyDescent="0.3">
      <c r="A1176" s="2" t="s">
        <v>1374</v>
      </c>
      <c r="B1176" s="2" t="s">
        <v>2357</v>
      </c>
    </row>
    <row r="1177" spans="1:2" ht="15.75" customHeight="1" x14ac:dyDescent="0.3">
      <c r="A1177" s="2" t="s">
        <v>1828</v>
      </c>
      <c r="B1177" s="2" t="s">
        <v>2357</v>
      </c>
    </row>
    <row r="1178" spans="1:2" ht="15.75" customHeight="1" x14ac:dyDescent="0.3">
      <c r="A1178" s="2" t="s">
        <v>595</v>
      </c>
      <c r="B1178" s="2" t="s">
        <v>2357</v>
      </c>
    </row>
    <row r="1179" spans="1:2" ht="15.75" customHeight="1" x14ac:dyDescent="0.3">
      <c r="A1179" s="2" t="s">
        <v>1373</v>
      </c>
      <c r="B1179" s="2" t="s">
        <v>2356</v>
      </c>
    </row>
    <row r="1180" spans="1:2" ht="15.75" customHeight="1" x14ac:dyDescent="0.3">
      <c r="A1180" s="2" t="s">
        <v>1760</v>
      </c>
      <c r="B1180" s="2" t="s">
        <v>2357</v>
      </c>
    </row>
    <row r="1181" spans="1:2" ht="15.75" customHeight="1" x14ac:dyDescent="0.3">
      <c r="A1181" s="2" t="s">
        <v>1101</v>
      </c>
      <c r="B1181" s="2" t="s">
        <v>2357</v>
      </c>
    </row>
    <row r="1182" spans="1:2" ht="15.75" customHeight="1" x14ac:dyDescent="0.3">
      <c r="A1182" s="2" t="s">
        <v>1812</v>
      </c>
      <c r="B1182" s="2" t="s">
        <v>2357</v>
      </c>
    </row>
    <row r="1183" spans="1:2" ht="15.75" customHeight="1" x14ac:dyDescent="0.3">
      <c r="A1183" s="2" t="s">
        <v>974</v>
      </c>
      <c r="B1183" s="2" t="s">
        <v>2357</v>
      </c>
    </row>
    <row r="1184" spans="1:2" ht="15.75" customHeight="1" x14ac:dyDescent="0.3">
      <c r="A1184" s="2" t="s">
        <v>2321</v>
      </c>
      <c r="B1184" s="2" t="s">
        <v>2360</v>
      </c>
    </row>
    <row r="1185" spans="1:2" ht="15.75" customHeight="1" x14ac:dyDescent="0.3">
      <c r="A1185" s="2" t="s">
        <v>1916</v>
      </c>
      <c r="B1185" s="2" t="s">
        <v>2357</v>
      </c>
    </row>
    <row r="1186" spans="1:2" ht="15.75" customHeight="1" x14ac:dyDescent="0.3">
      <c r="A1186" s="2" t="s">
        <v>2170</v>
      </c>
      <c r="B1186" s="2" t="s">
        <v>2357</v>
      </c>
    </row>
    <row r="1187" spans="1:2" ht="15.75" customHeight="1" x14ac:dyDescent="0.3">
      <c r="A1187" s="2" t="s">
        <v>1905</v>
      </c>
      <c r="B1187" s="2" t="s">
        <v>2356</v>
      </c>
    </row>
    <row r="1188" spans="1:2" ht="15.75" customHeight="1" x14ac:dyDescent="0.3">
      <c r="A1188" s="2" t="s">
        <v>820</v>
      </c>
      <c r="B1188" s="2" t="s">
        <v>2357</v>
      </c>
    </row>
    <row r="1189" spans="1:2" ht="15.75" customHeight="1" x14ac:dyDescent="0.3">
      <c r="A1189" s="2" t="s">
        <v>1410</v>
      </c>
      <c r="B1189" s="2" t="s">
        <v>2357</v>
      </c>
    </row>
    <row r="1190" spans="1:2" ht="15.75" customHeight="1" x14ac:dyDescent="0.3">
      <c r="A1190" s="2" t="s">
        <v>1119</v>
      </c>
      <c r="B1190" s="2" t="s">
        <v>2357</v>
      </c>
    </row>
    <row r="1191" spans="1:2" ht="15.75" customHeight="1" x14ac:dyDescent="0.3">
      <c r="A1191" s="2" t="s">
        <v>175</v>
      </c>
      <c r="B1191" s="2" t="s">
        <v>2357</v>
      </c>
    </row>
    <row r="1192" spans="1:2" ht="15.75" customHeight="1" x14ac:dyDescent="0.3">
      <c r="A1192" s="2" t="s">
        <v>1170</v>
      </c>
      <c r="B1192" s="2" t="s">
        <v>2357</v>
      </c>
    </row>
    <row r="1193" spans="1:2" ht="15.75" customHeight="1" x14ac:dyDescent="0.3">
      <c r="A1193" s="2" t="s">
        <v>764</v>
      </c>
      <c r="B1193" s="2" t="s">
        <v>2357</v>
      </c>
    </row>
    <row r="1194" spans="1:2" ht="15.75" customHeight="1" x14ac:dyDescent="0.3">
      <c r="A1194" s="2" t="s">
        <v>735</v>
      </c>
      <c r="B1194" s="2" t="s">
        <v>2357</v>
      </c>
    </row>
    <row r="1195" spans="1:2" ht="15.75" customHeight="1" x14ac:dyDescent="0.3">
      <c r="A1195" s="2" t="s">
        <v>1456</v>
      </c>
      <c r="B1195" s="2" t="s">
        <v>2357</v>
      </c>
    </row>
    <row r="1196" spans="1:2" ht="15.75" customHeight="1" x14ac:dyDescent="0.3">
      <c r="A1196" s="2" t="s">
        <v>1683</v>
      </c>
      <c r="B1196" s="2" t="s">
        <v>2357</v>
      </c>
    </row>
    <row r="1197" spans="1:2" ht="15.75" customHeight="1" x14ac:dyDescent="0.3">
      <c r="A1197" s="2" t="s">
        <v>1920</v>
      </c>
      <c r="B1197" s="2" t="s">
        <v>2357</v>
      </c>
    </row>
    <row r="1198" spans="1:2" ht="15.75" customHeight="1" x14ac:dyDescent="0.3">
      <c r="A1198" s="2" t="s">
        <v>198</v>
      </c>
      <c r="B1198" s="2" t="s">
        <v>2357</v>
      </c>
    </row>
    <row r="1199" spans="1:2" ht="15.75" customHeight="1" x14ac:dyDescent="0.3">
      <c r="A1199" s="2" t="s">
        <v>680</v>
      </c>
      <c r="B1199" s="2" t="s">
        <v>2357</v>
      </c>
    </row>
    <row r="1200" spans="1:2" ht="15.75" customHeight="1" x14ac:dyDescent="0.3">
      <c r="A1200" s="2" t="s">
        <v>2264</v>
      </c>
      <c r="B1200" s="2" t="s">
        <v>2360</v>
      </c>
    </row>
    <row r="1201" spans="1:2" ht="15.75" customHeight="1" x14ac:dyDescent="0.3">
      <c r="A1201" s="2" t="s">
        <v>564</v>
      </c>
      <c r="B1201" s="2" t="s">
        <v>2357</v>
      </c>
    </row>
    <row r="1202" spans="1:2" ht="15.75" customHeight="1" x14ac:dyDescent="0.3">
      <c r="A1202" s="2" t="s">
        <v>354</v>
      </c>
      <c r="B1202" s="2" t="s">
        <v>2356</v>
      </c>
    </row>
    <row r="1203" spans="1:2" ht="15.75" customHeight="1" x14ac:dyDescent="0.3">
      <c r="A1203" s="2" t="s">
        <v>418</v>
      </c>
      <c r="B1203" s="2" t="s">
        <v>2356</v>
      </c>
    </row>
    <row r="1204" spans="1:2" ht="15.75" customHeight="1" x14ac:dyDescent="0.3">
      <c r="A1204" s="2" t="s">
        <v>1672</v>
      </c>
      <c r="B1204" s="2" t="s">
        <v>2357</v>
      </c>
    </row>
    <row r="1205" spans="1:2" ht="15.75" customHeight="1" x14ac:dyDescent="0.3">
      <c r="A1205" s="2" t="s">
        <v>1627</v>
      </c>
      <c r="B1205" s="2" t="s">
        <v>2357</v>
      </c>
    </row>
    <row r="1206" spans="1:2" ht="15.75" customHeight="1" x14ac:dyDescent="0.3">
      <c r="A1206" s="2" t="s">
        <v>673</v>
      </c>
      <c r="B1206" s="2" t="s">
        <v>2357</v>
      </c>
    </row>
    <row r="1207" spans="1:2" ht="15.75" customHeight="1" x14ac:dyDescent="0.3">
      <c r="A1207" s="2" t="s">
        <v>514</v>
      </c>
      <c r="B1207" s="2" t="s">
        <v>2357</v>
      </c>
    </row>
    <row r="1208" spans="1:2" ht="15.75" customHeight="1" x14ac:dyDescent="0.3">
      <c r="A1208" s="2" t="s">
        <v>1820</v>
      </c>
      <c r="B1208" s="2" t="s">
        <v>2357</v>
      </c>
    </row>
    <row r="1209" spans="1:2" ht="15.75" customHeight="1" x14ac:dyDescent="0.3">
      <c r="A1209" s="2" t="s">
        <v>47</v>
      </c>
      <c r="B1209" s="2" t="s">
        <v>2357</v>
      </c>
    </row>
    <row r="1210" spans="1:2" ht="15.75" customHeight="1" x14ac:dyDescent="0.3">
      <c r="A1210" s="2" t="s">
        <v>1231</v>
      </c>
      <c r="B1210" s="2" t="s">
        <v>2359</v>
      </c>
    </row>
    <row r="1211" spans="1:2" ht="15.75" customHeight="1" x14ac:dyDescent="0.3">
      <c r="A1211" s="2" t="s">
        <v>1718</v>
      </c>
      <c r="B1211" s="2" t="s">
        <v>2357</v>
      </c>
    </row>
    <row r="1212" spans="1:2" ht="15.75" customHeight="1" x14ac:dyDescent="0.3">
      <c r="A1212" s="2" t="s">
        <v>1404</v>
      </c>
      <c r="B1212" s="2" t="s">
        <v>2357</v>
      </c>
    </row>
    <row r="1213" spans="1:2" ht="15.75" customHeight="1" x14ac:dyDescent="0.3">
      <c r="A1213" s="2" t="s">
        <v>760</v>
      </c>
      <c r="B1213" s="2" t="s">
        <v>2357</v>
      </c>
    </row>
    <row r="1214" spans="1:2" ht="15.75" customHeight="1" x14ac:dyDescent="0.3">
      <c r="A1214" s="2" t="s">
        <v>1715</v>
      </c>
      <c r="B1214" s="2" t="s">
        <v>2357</v>
      </c>
    </row>
    <row r="1215" spans="1:2" ht="15.75" customHeight="1" x14ac:dyDescent="0.3">
      <c r="A1215" s="2" t="s">
        <v>618</v>
      </c>
      <c r="B1215" s="2" t="s">
        <v>2357</v>
      </c>
    </row>
    <row r="1216" spans="1:2" ht="15.75" customHeight="1" x14ac:dyDescent="0.3">
      <c r="A1216" s="2" t="s">
        <v>2150</v>
      </c>
      <c r="B1216" s="2" t="s">
        <v>2357</v>
      </c>
    </row>
    <row r="1217" spans="1:2" ht="15.75" customHeight="1" x14ac:dyDescent="0.3">
      <c r="A1217" s="2" t="s">
        <v>1965</v>
      </c>
      <c r="B1217" s="2" t="s">
        <v>2357</v>
      </c>
    </row>
    <row r="1218" spans="1:2" ht="15.75" customHeight="1" x14ac:dyDescent="0.3">
      <c r="A1218" s="2" t="s">
        <v>1387</v>
      </c>
      <c r="B1218" s="2" t="s">
        <v>2357</v>
      </c>
    </row>
    <row r="1219" spans="1:2" ht="15.75" customHeight="1" x14ac:dyDescent="0.3">
      <c r="A1219" s="2" t="s">
        <v>534</v>
      </c>
      <c r="B1219" s="2" t="s">
        <v>2357</v>
      </c>
    </row>
    <row r="1220" spans="1:2" ht="15.75" customHeight="1" x14ac:dyDescent="0.3">
      <c r="A1220" s="2" t="s">
        <v>1441</v>
      </c>
      <c r="B1220" s="2" t="s">
        <v>2357</v>
      </c>
    </row>
    <row r="1221" spans="1:2" ht="15.75" customHeight="1" x14ac:dyDescent="0.3">
      <c r="A1221" s="2" t="s">
        <v>1267</v>
      </c>
      <c r="B1221" s="2" t="s">
        <v>2357</v>
      </c>
    </row>
    <row r="1222" spans="1:2" ht="15.75" customHeight="1" x14ac:dyDescent="0.3">
      <c r="A1222" s="2" t="s">
        <v>1485</v>
      </c>
      <c r="B1222" s="2" t="s">
        <v>2357</v>
      </c>
    </row>
    <row r="1223" spans="1:2" ht="15.75" customHeight="1" x14ac:dyDescent="0.3">
      <c r="A1223" s="2" t="s">
        <v>1966</v>
      </c>
      <c r="B1223" s="2" t="s">
        <v>2356</v>
      </c>
    </row>
    <row r="1224" spans="1:2" ht="15.75" customHeight="1" x14ac:dyDescent="0.3">
      <c r="A1224" s="2" t="s">
        <v>1184</v>
      </c>
      <c r="B1224" s="2" t="s">
        <v>2359</v>
      </c>
    </row>
    <row r="1225" spans="1:2" ht="15.75" customHeight="1" x14ac:dyDescent="0.3">
      <c r="A1225" s="2" t="s">
        <v>1781</v>
      </c>
      <c r="B1225" s="2" t="s">
        <v>2357</v>
      </c>
    </row>
    <row r="1226" spans="1:2" ht="15.75" customHeight="1" x14ac:dyDescent="0.3">
      <c r="A1226" s="2" t="s">
        <v>1770</v>
      </c>
      <c r="B1226" s="2" t="s">
        <v>2357</v>
      </c>
    </row>
    <row r="1227" spans="1:2" ht="15.75" customHeight="1" x14ac:dyDescent="0.3">
      <c r="A1227" s="2" t="s">
        <v>1369</v>
      </c>
      <c r="B1227" s="2" t="s">
        <v>2357</v>
      </c>
    </row>
    <row r="1228" spans="1:2" ht="15.75" customHeight="1" x14ac:dyDescent="0.3">
      <c r="A1228" s="2" t="s">
        <v>1717</v>
      </c>
      <c r="B1228" s="2" t="s">
        <v>2357</v>
      </c>
    </row>
    <row r="1229" spans="1:2" ht="15.75" customHeight="1" x14ac:dyDescent="0.3">
      <c r="A1229" s="2" t="s">
        <v>1942</v>
      </c>
      <c r="B1229" s="2" t="s">
        <v>2356</v>
      </c>
    </row>
    <row r="1230" spans="1:2" ht="15.75" customHeight="1" x14ac:dyDescent="0.3">
      <c r="A1230" s="2" t="s">
        <v>1863</v>
      </c>
      <c r="B1230" s="2" t="s">
        <v>2357</v>
      </c>
    </row>
    <row r="1231" spans="1:2" ht="15.75" customHeight="1" x14ac:dyDescent="0.3">
      <c r="A1231" s="2" t="s">
        <v>1843</v>
      </c>
      <c r="B1231" s="2" t="s">
        <v>2357</v>
      </c>
    </row>
    <row r="1232" spans="1:2" ht="15.75" customHeight="1" x14ac:dyDescent="0.3">
      <c r="A1232" s="2" t="s">
        <v>1720</v>
      </c>
      <c r="B1232" s="2" t="s">
        <v>2357</v>
      </c>
    </row>
    <row r="1233" spans="1:2" ht="15.75" customHeight="1" x14ac:dyDescent="0.3">
      <c r="A1233" s="2" t="s">
        <v>397</v>
      </c>
      <c r="B1233" s="2" t="s">
        <v>2356</v>
      </c>
    </row>
    <row r="1234" spans="1:2" ht="15.75" customHeight="1" x14ac:dyDescent="0.3">
      <c r="A1234" s="2" t="s">
        <v>253</v>
      </c>
      <c r="B1234" s="2" t="s">
        <v>2357</v>
      </c>
    </row>
    <row r="1235" spans="1:2" ht="15.75" customHeight="1" x14ac:dyDescent="0.3">
      <c r="A1235" s="2" t="s">
        <v>999</v>
      </c>
      <c r="B1235" s="2" t="s">
        <v>2357</v>
      </c>
    </row>
    <row r="1236" spans="1:2" ht="15.75" customHeight="1" x14ac:dyDescent="0.3">
      <c r="A1236" s="2" t="s">
        <v>1085</v>
      </c>
      <c r="B1236" s="2" t="s">
        <v>2357</v>
      </c>
    </row>
    <row r="1237" spans="1:2" ht="15.75" customHeight="1" x14ac:dyDescent="0.3">
      <c r="A1237" s="2" t="s">
        <v>2175</v>
      </c>
      <c r="B1237" s="2" t="s">
        <v>2357</v>
      </c>
    </row>
    <row r="1238" spans="1:2" ht="15.75" customHeight="1" x14ac:dyDescent="0.3">
      <c r="A1238" s="2" t="s">
        <v>1286</v>
      </c>
      <c r="B1238" s="2" t="s">
        <v>2359</v>
      </c>
    </row>
    <row r="1239" spans="1:2" ht="15.75" customHeight="1" x14ac:dyDescent="0.3">
      <c r="A1239" s="2" t="s">
        <v>1081</v>
      </c>
      <c r="B1239" s="2" t="s">
        <v>2357</v>
      </c>
    </row>
    <row r="1240" spans="1:2" ht="15.75" customHeight="1" x14ac:dyDescent="0.3">
      <c r="A1240" s="2" t="s">
        <v>1068</v>
      </c>
      <c r="B1240" s="2" t="s">
        <v>2356</v>
      </c>
    </row>
    <row r="1241" spans="1:2" ht="15.75" customHeight="1" x14ac:dyDescent="0.3">
      <c r="A1241" s="2" t="s">
        <v>1084</v>
      </c>
      <c r="B1241" s="2" t="s">
        <v>2357</v>
      </c>
    </row>
    <row r="1242" spans="1:2" ht="15.75" customHeight="1" x14ac:dyDescent="0.3">
      <c r="A1242" s="2" t="s">
        <v>2199</v>
      </c>
      <c r="B1242" s="2" t="s">
        <v>2358</v>
      </c>
    </row>
    <row r="1243" spans="1:2" ht="15.75" customHeight="1" x14ac:dyDescent="0.3">
      <c r="A1243" s="2" t="s">
        <v>2225</v>
      </c>
      <c r="B1243" s="2" t="s">
        <v>2360</v>
      </c>
    </row>
    <row r="1244" spans="1:2" ht="15.75" customHeight="1" x14ac:dyDescent="0.3">
      <c r="A1244" s="2" t="s">
        <v>2249</v>
      </c>
      <c r="B1244" s="2" t="s">
        <v>2358</v>
      </c>
    </row>
    <row r="1245" spans="1:2" ht="15.75" customHeight="1" x14ac:dyDescent="0.3">
      <c r="A1245" s="2" t="s">
        <v>1230</v>
      </c>
      <c r="B1245" s="2" t="s">
        <v>2357</v>
      </c>
    </row>
    <row r="1246" spans="1:2" ht="15.75" customHeight="1" x14ac:dyDescent="0.3">
      <c r="A1246" s="2" t="s">
        <v>1926</v>
      </c>
      <c r="B1246" s="2" t="s">
        <v>2357</v>
      </c>
    </row>
    <row r="1247" spans="1:2" ht="15.75" customHeight="1" x14ac:dyDescent="0.3">
      <c r="A1247" s="2" t="s">
        <v>743</v>
      </c>
      <c r="B1247" s="2" t="s">
        <v>2357</v>
      </c>
    </row>
    <row r="1248" spans="1:2" ht="15.75" customHeight="1" x14ac:dyDescent="0.3">
      <c r="A1248" s="2" t="s">
        <v>1797</v>
      </c>
      <c r="B1248" s="2" t="s">
        <v>2356</v>
      </c>
    </row>
    <row r="1249" spans="1:2" ht="15.75" customHeight="1" x14ac:dyDescent="0.3">
      <c r="A1249" s="2" t="s">
        <v>813</v>
      </c>
      <c r="B1249" s="2" t="s">
        <v>2357</v>
      </c>
    </row>
    <row r="1250" spans="1:2" ht="15.75" customHeight="1" x14ac:dyDescent="0.3">
      <c r="A1250" s="2" t="s">
        <v>2306</v>
      </c>
      <c r="B1250" s="2" t="s">
        <v>2358</v>
      </c>
    </row>
    <row r="1251" spans="1:2" ht="15.75" customHeight="1" x14ac:dyDescent="0.3">
      <c r="A1251" s="2" t="s">
        <v>2040</v>
      </c>
      <c r="B1251" s="2" t="s">
        <v>2357</v>
      </c>
    </row>
    <row r="1252" spans="1:2" ht="15.75" customHeight="1" x14ac:dyDescent="0.3">
      <c r="A1252" s="2" t="s">
        <v>984</v>
      </c>
      <c r="B1252" s="2" t="s">
        <v>2356</v>
      </c>
    </row>
    <row r="1253" spans="1:2" ht="15.75" customHeight="1" x14ac:dyDescent="0.3">
      <c r="A1253" s="2" t="s">
        <v>1766</v>
      </c>
      <c r="B1253" s="2" t="s">
        <v>2357</v>
      </c>
    </row>
    <row r="1254" spans="1:2" ht="15.75" customHeight="1" x14ac:dyDescent="0.3">
      <c r="A1254" s="2" t="s">
        <v>1986</v>
      </c>
      <c r="B1254" s="2" t="s">
        <v>2357</v>
      </c>
    </row>
    <row r="1255" spans="1:2" ht="15.75" customHeight="1" x14ac:dyDescent="0.3">
      <c r="A1255" s="2" t="s">
        <v>1405</v>
      </c>
      <c r="B1255" s="2" t="s">
        <v>2356</v>
      </c>
    </row>
    <row r="1256" spans="1:2" ht="15.75" customHeight="1" x14ac:dyDescent="0.3">
      <c r="A1256" s="2" t="s">
        <v>1371</v>
      </c>
      <c r="B1256" s="2" t="s">
        <v>2357</v>
      </c>
    </row>
    <row r="1257" spans="1:2" ht="15.75" customHeight="1" x14ac:dyDescent="0.3">
      <c r="A1257" s="2" t="s">
        <v>2164</v>
      </c>
      <c r="B1257" s="2" t="s">
        <v>2358</v>
      </c>
    </row>
    <row r="1258" spans="1:2" ht="15.75" customHeight="1" x14ac:dyDescent="0.3">
      <c r="A1258" s="2" t="s">
        <v>1996</v>
      </c>
      <c r="B1258" s="2" t="s">
        <v>2357</v>
      </c>
    </row>
    <row r="1259" spans="1:2" ht="15.75" customHeight="1" x14ac:dyDescent="0.3">
      <c r="A1259" s="2" t="s">
        <v>1466</v>
      </c>
      <c r="B1259" s="2" t="s">
        <v>2357</v>
      </c>
    </row>
    <row r="1260" spans="1:2" ht="15.75" customHeight="1" x14ac:dyDescent="0.3">
      <c r="A1260" s="2" t="s">
        <v>509</v>
      </c>
      <c r="B1260" s="2" t="s">
        <v>2357</v>
      </c>
    </row>
    <row r="1261" spans="1:2" ht="15.75" customHeight="1" x14ac:dyDescent="0.3">
      <c r="A1261" s="2" t="s">
        <v>2270</v>
      </c>
      <c r="B1261" s="2" t="s">
        <v>2360</v>
      </c>
    </row>
    <row r="1262" spans="1:2" ht="15.75" customHeight="1" x14ac:dyDescent="0.3">
      <c r="A1262" s="2" t="s">
        <v>1963</v>
      </c>
      <c r="B1262" s="2" t="s">
        <v>2357</v>
      </c>
    </row>
    <row r="1263" spans="1:2" ht="15.75" customHeight="1" x14ac:dyDescent="0.3">
      <c r="A1263" s="2" t="s">
        <v>2047</v>
      </c>
      <c r="B1263" s="2" t="s">
        <v>2357</v>
      </c>
    </row>
    <row r="1264" spans="1:2" ht="15.75" customHeight="1" x14ac:dyDescent="0.3">
      <c r="A1264" s="2" t="s">
        <v>440</v>
      </c>
      <c r="B1264" s="2" t="s">
        <v>2357</v>
      </c>
    </row>
    <row r="1265" spans="1:2" ht="15.75" customHeight="1" x14ac:dyDescent="0.3">
      <c r="A1265" s="2" t="s">
        <v>1764</v>
      </c>
      <c r="B1265" s="2" t="s">
        <v>2356</v>
      </c>
    </row>
    <row r="1266" spans="1:2" ht="15.75" customHeight="1" x14ac:dyDescent="0.3">
      <c r="A1266" s="2" t="s">
        <v>871</v>
      </c>
      <c r="B1266" s="2" t="s">
        <v>2356</v>
      </c>
    </row>
    <row r="1267" spans="1:2" ht="15.75" customHeight="1" x14ac:dyDescent="0.3">
      <c r="A1267" s="2" t="s">
        <v>1134</v>
      </c>
      <c r="B1267" s="2" t="s">
        <v>2357</v>
      </c>
    </row>
    <row r="1268" spans="1:2" ht="15.75" customHeight="1" x14ac:dyDescent="0.3">
      <c r="A1268" s="2" t="s">
        <v>1732</v>
      </c>
      <c r="B1268" s="2" t="s">
        <v>2357</v>
      </c>
    </row>
    <row r="1269" spans="1:2" ht="15.75" customHeight="1" x14ac:dyDescent="0.3">
      <c r="A1269" s="2" t="s">
        <v>2106</v>
      </c>
      <c r="B1269" s="2" t="s">
        <v>2356</v>
      </c>
    </row>
    <row r="1270" spans="1:2" ht="15.75" customHeight="1" x14ac:dyDescent="0.3">
      <c r="A1270" s="2" t="s">
        <v>1478</v>
      </c>
      <c r="B1270" s="2" t="s">
        <v>2357</v>
      </c>
    </row>
    <row r="1271" spans="1:2" ht="15.75" customHeight="1" x14ac:dyDescent="0.3">
      <c r="A1271" s="2" t="s">
        <v>2221</v>
      </c>
      <c r="B1271" s="2" t="s">
        <v>2357</v>
      </c>
    </row>
    <row r="1272" spans="1:2" ht="15.75" customHeight="1" x14ac:dyDescent="0.3">
      <c r="A1272" s="2" t="s">
        <v>1343</v>
      </c>
      <c r="B1272" s="2" t="s">
        <v>2357</v>
      </c>
    </row>
    <row r="1273" spans="1:2" ht="15.75" customHeight="1" x14ac:dyDescent="0.3">
      <c r="A1273" s="2" t="s">
        <v>1752</v>
      </c>
      <c r="B1273" s="2" t="s">
        <v>2357</v>
      </c>
    </row>
    <row r="1274" spans="1:2" ht="15.75" customHeight="1" x14ac:dyDescent="0.3">
      <c r="A1274" s="2" t="s">
        <v>2159</v>
      </c>
      <c r="B1274" s="2" t="s">
        <v>2360</v>
      </c>
    </row>
    <row r="1275" spans="1:2" ht="15.75" customHeight="1" x14ac:dyDescent="0.3">
      <c r="A1275" s="2" t="s">
        <v>1439</v>
      </c>
      <c r="B1275" s="2" t="s">
        <v>2359</v>
      </c>
    </row>
    <row r="1276" spans="1:2" ht="15.75" customHeight="1" x14ac:dyDescent="0.3">
      <c r="A1276" s="2" t="s">
        <v>1236</v>
      </c>
      <c r="B1276" s="2" t="s">
        <v>2357</v>
      </c>
    </row>
    <row r="1277" spans="1:2" ht="15.75" customHeight="1" x14ac:dyDescent="0.3">
      <c r="A1277" s="2" t="s">
        <v>1420</v>
      </c>
      <c r="B1277" s="2" t="s">
        <v>2357</v>
      </c>
    </row>
    <row r="1278" spans="1:2" ht="15.75" customHeight="1" x14ac:dyDescent="0.3">
      <c r="A1278" s="2" t="s">
        <v>1859</v>
      </c>
      <c r="B1278" s="2" t="s">
        <v>2357</v>
      </c>
    </row>
    <row r="1279" spans="1:2" ht="15.75" customHeight="1" x14ac:dyDescent="0.3">
      <c r="A1279" s="2" t="s">
        <v>731</v>
      </c>
      <c r="B1279" s="2" t="s">
        <v>2357</v>
      </c>
    </row>
    <row r="1280" spans="1:2" ht="15.75" customHeight="1" x14ac:dyDescent="0.3">
      <c r="A1280" s="2" t="s">
        <v>1428</v>
      </c>
      <c r="B1280" s="2" t="s">
        <v>2357</v>
      </c>
    </row>
    <row r="1281" spans="1:2" ht="15.75" customHeight="1" x14ac:dyDescent="0.3">
      <c r="A1281" s="2" t="s">
        <v>445</v>
      </c>
      <c r="B1281" s="2" t="s">
        <v>2356</v>
      </c>
    </row>
    <row r="1282" spans="1:2" ht="15.75" customHeight="1" x14ac:dyDescent="0.3">
      <c r="A1282" s="2" t="s">
        <v>1225</v>
      </c>
      <c r="B1282" s="2" t="s">
        <v>2357</v>
      </c>
    </row>
    <row r="1283" spans="1:2" ht="15.75" customHeight="1" x14ac:dyDescent="0.3">
      <c r="A1283" s="2" t="s">
        <v>1258</v>
      </c>
      <c r="B1283" s="2" t="s">
        <v>2357</v>
      </c>
    </row>
    <row r="1284" spans="1:2" ht="15.75" customHeight="1" x14ac:dyDescent="0.3">
      <c r="A1284" s="2" t="s">
        <v>241</v>
      </c>
      <c r="B1284" s="2" t="s">
        <v>2359</v>
      </c>
    </row>
    <row r="1285" spans="1:2" ht="15.75" customHeight="1" x14ac:dyDescent="0.3">
      <c r="A1285" s="2" t="s">
        <v>2049</v>
      </c>
      <c r="B1285" s="2" t="s">
        <v>2357</v>
      </c>
    </row>
    <row r="1286" spans="1:2" ht="15.75" customHeight="1" x14ac:dyDescent="0.3">
      <c r="A1286" s="2" t="s">
        <v>2171</v>
      </c>
      <c r="B1286" s="2" t="s">
        <v>2360</v>
      </c>
    </row>
    <row r="1287" spans="1:2" ht="15.75" customHeight="1" x14ac:dyDescent="0.3">
      <c r="A1287" s="2" t="s">
        <v>1515</v>
      </c>
      <c r="B1287" s="2" t="s">
        <v>2357</v>
      </c>
    </row>
    <row r="1288" spans="1:2" ht="15.75" customHeight="1" x14ac:dyDescent="0.3">
      <c r="A1288" s="2" t="s">
        <v>2251</v>
      </c>
      <c r="B1288" s="2" t="s">
        <v>2360</v>
      </c>
    </row>
    <row r="1289" spans="1:2" ht="15.75" customHeight="1" x14ac:dyDescent="0.3">
      <c r="A1289" s="2" t="s">
        <v>1076</v>
      </c>
      <c r="B1289" s="2" t="s">
        <v>2357</v>
      </c>
    </row>
    <row r="1290" spans="1:2" ht="15.75" customHeight="1" x14ac:dyDescent="0.3">
      <c r="A1290" s="2" t="s">
        <v>2214</v>
      </c>
      <c r="B1290" s="2" t="s">
        <v>2357</v>
      </c>
    </row>
    <row r="1291" spans="1:2" ht="15.75" customHeight="1" x14ac:dyDescent="0.3">
      <c r="A1291" s="2" t="s">
        <v>831</v>
      </c>
      <c r="B1291" s="2" t="s">
        <v>2357</v>
      </c>
    </row>
    <row r="1292" spans="1:2" ht="15.75" customHeight="1" x14ac:dyDescent="0.3">
      <c r="A1292" s="2" t="s">
        <v>971</v>
      </c>
      <c r="B1292" s="2" t="s">
        <v>2356</v>
      </c>
    </row>
    <row r="1293" spans="1:2" ht="15.75" customHeight="1" x14ac:dyDescent="0.3">
      <c r="A1293" s="2" t="s">
        <v>1019</v>
      </c>
      <c r="B1293" s="2" t="s">
        <v>2357</v>
      </c>
    </row>
    <row r="1294" spans="1:2" ht="15.75" customHeight="1" x14ac:dyDescent="0.3">
      <c r="A1294" s="2" t="s">
        <v>540</v>
      </c>
      <c r="B1294" s="2" t="s">
        <v>2357</v>
      </c>
    </row>
    <row r="1295" spans="1:2" ht="15.75" customHeight="1" x14ac:dyDescent="0.3">
      <c r="A1295" s="2" t="s">
        <v>1503</v>
      </c>
      <c r="B1295" s="2" t="s">
        <v>2357</v>
      </c>
    </row>
    <row r="1296" spans="1:2" ht="15.75" customHeight="1" x14ac:dyDescent="0.3">
      <c r="A1296" s="2" t="s">
        <v>1600</v>
      </c>
      <c r="B1296" s="2" t="s">
        <v>2357</v>
      </c>
    </row>
    <row r="1297" spans="1:2" ht="15.75" customHeight="1" x14ac:dyDescent="0.3">
      <c r="A1297" s="2" t="s">
        <v>1454</v>
      </c>
      <c r="B1297" s="2" t="s">
        <v>2357</v>
      </c>
    </row>
    <row r="1298" spans="1:2" ht="15.75" customHeight="1" x14ac:dyDescent="0.3">
      <c r="A1298" s="2" t="s">
        <v>1933</v>
      </c>
      <c r="B1298" s="2" t="s">
        <v>2357</v>
      </c>
    </row>
    <row r="1299" spans="1:2" ht="15.75" customHeight="1" x14ac:dyDescent="0.3">
      <c r="A1299" s="2" t="s">
        <v>2299</v>
      </c>
      <c r="B1299" s="2" t="s">
        <v>2357</v>
      </c>
    </row>
    <row r="1300" spans="1:2" ht="15.75" customHeight="1" x14ac:dyDescent="0.3">
      <c r="A1300" s="2" t="s">
        <v>2303</v>
      </c>
      <c r="B1300" s="2" t="s">
        <v>2357</v>
      </c>
    </row>
    <row r="1301" spans="1:2" ht="15.75" customHeight="1" x14ac:dyDescent="0.3">
      <c r="A1301" s="2" t="s">
        <v>1147</v>
      </c>
      <c r="B1301" s="2" t="s">
        <v>2357</v>
      </c>
    </row>
    <row r="1302" spans="1:2" ht="15.75" customHeight="1" x14ac:dyDescent="0.3">
      <c r="A1302" s="2" t="s">
        <v>1423</v>
      </c>
      <c r="B1302" s="2" t="s">
        <v>2357</v>
      </c>
    </row>
    <row r="1303" spans="1:2" ht="15.75" customHeight="1" x14ac:dyDescent="0.3">
      <c r="A1303" s="2" t="s">
        <v>1588</v>
      </c>
      <c r="B1303" s="2" t="s">
        <v>2357</v>
      </c>
    </row>
    <row r="1304" spans="1:2" ht="15.75" customHeight="1" x14ac:dyDescent="0.3">
      <c r="A1304" s="2" t="s">
        <v>1598</v>
      </c>
      <c r="B1304" s="2" t="s">
        <v>2357</v>
      </c>
    </row>
    <row r="1305" spans="1:2" ht="15.75" customHeight="1" x14ac:dyDescent="0.3">
      <c r="A1305" s="2" t="s">
        <v>737</v>
      </c>
      <c r="B1305" s="2" t="s">
        <v>2359</v>
      </c>
    </row>
    <row r="1306" spans="1:2" ht="15.75" customHeight="1" x14ac:dyDescent="0.3">
      <c r="A1306" s="2" t="s">
        <v>2069</v>
      </c>
      <c r="B1306" s="2" t="s">
        <v>2357</v>
      </c>
    </row>
    <row r="1307" spans="1:2" ht="15.75" customHeight="1" x14ac:dyDescent="0.3">
      <c r="A1307" s="2" t="s">
        <v>1159</v>
      </c>
      <c r="B1307" s="2" t="s">
        <v>2356</v>
      </c>
    </row>
    <row r="1308" spans="1:2" ht="15.75" customHeight="1" x14ac:dyDescent="0.3">
      <c r="A1308" s="2" t="s">
        <v>535</v>
      </c>
      <c r="B1308" s="2" t="s">
        <v>2357</v>
      </c>
    </row>
    <row r="1309" spans="1:2" ht="15.75" customHeight="1" x14ac:dyDescent="0.3">
      <c r="A1309" s="2" t="s">
        <v>334</v>
      </c>
      <c r="B1309" s="2" t="s">
        <v>2357</v>
      </c>
    </row>
    <row r="1310" spans="1:2" ht="15.75" customHeight="1" x14ac:dyDescent="0.3">
      <c r="A1310" s="2" t="s">
        <v>2265</v>
      </c>
      <c r="B1310" s="2" t="s">
        <v>2360</v>
      </c>
    </row>
    <row r="1311" spans="1:2" ht="15.75" customHeight="1" x14ac:dyDescent="0.3">
      <c r="A1311" s="2" t="s">
        <v>850</v>
      </c>
      <c r="B1311" s="2" t="s">
        <v>2357</v>
      </c>
    </row>
    <row r="1312" spans="1:2" ht="15.75" customHeight="1" x14ac:dyDescent="0.3">
      <c r="A1312" s="2" t="s">
        <v>1217</v>
      </c>
      <c r="B1312" s="2" t="s">
        <v>2357</v>
      </c>
    </row>
    <row r="1313" spans="1:2" ht="15.75" customHeight="1" x14ac:dyDescent="0.3">
      <c r="A1313" s="2" t="s">
        <v>1556</v>
      </c>
      <c r="B1313" s="2" t="s">
        <v>2357</v>
      </c>
    </row>
    <row r="1314" spans="1:2" ht="15.75" customHeight="1" x14ac:dyDescent="0.3">
      <c r="A1314" s="2" t="s">
        <v>1496</v>
      </c>
      <c r="B1314" s="2" t="s">
        <v>2357</v>
      </c>
    </row>
    <row r="1315" spans="1:2" ht="15.75" customHeight="1" x14ac:dyDescent="0.3">
      <c r="A1315" s="2" t="s">
        <v>2347</v>
      </c>
      <c r="B1315" s="2" t="s">
        <v>2359</v>
      </c>
    </row>
    <row r="1316" spans="1:2" ht="15.75" customHeight="1" x14ac:dyDescent="0.3">
      <c r="A1316" s="2" t="s">
        <v>1938</v>
      </c>
      <c r="B1316" s="2" t="s">
        <v>2357</v>
      </c>
    </row>
    <row r="1317" spans="1:2" ht="15.75" customHeight="1" x14ac:dyDescent="0.3">
      <c r="A1317" s="2" t="s">
        <v>545</v>
      </c>
      <c r="B1317" s="2" t="s">
        <v>2357</v>
      </c>
    </row>
    <row r="1318" spans="1:2" ht="15.75" customHeight="1" x14ac:dyDescent="0.3">
      <c r="A1318" s="2" t="s">
        <v>1427</v>
      </c>
      <c r="B1318" s="2" t="s">
        <v>2357</v>
      </c>
    </row>
    <row r="1319" spans="1:2" ht="15.75" customHeight="1" x14ac:dyDescent="0.3">
      <c r="A1319" s="2" t="s">
        <v>1092</v>
      </c>
      <c r="B1319" s="2" t="s">
        <v>2357</v>
      </c>
    </row>
    <row r="1320" spans="1:2" ht="15.75" customHeight="1" x14ac:dyDescent="0.3">
      <c r="A1320" s="2" t="s">
        <v>1513</v>
      </c>
      <c r="B1320" s="2" t="s">
        <v>2357</v>
      </c>
    </row>
    <row r="1321" spans="1:2" ht="15.75" customHeight="1" x14ac:dyDescent="0.3">
      <c r="A1321" s="2" t="s">
        <v>1056</v>
      </c>
      <c r="B1321" s="2" t="s">
        <v>2357</v>
      </c>
    </row>
    <row r="1322" spans="1:2" ht="15.75" customHeight="1" x14ac:dyDescent="0.3">
      <c r="A1322" s="2" t="s">
        <v>2160</v>
      </c>
      <c r="B1322" s="2" t="s">
        <v>2357</v>
      </c>
    </row>
    <row r="1323" spans="1:2" ht="15.75" customHeight="1" x14ac:dyDescent="0.3">
      <c r="A1323" s="2" t="s">
        <v>2212</v>
      </c>
      <c r="B1323" s="2" t="s">
        <v>2358</v>
      </c>
    </row>
    <row r="1324" spans="1:2" ht="15.75" customHeight="1" x14ac:dyDescent="0.3">
      <c r="A1324" s="2" t="s">
        <v>485</v>
      </c>
      <c r="B1324" s="2" t="s">
        <v>2357</v>
      </c>
    </row>
    <row r="1325" spans="1:2" ht="15.75" customHeight="1" x14ac:dyDescent="0.3">
      <c r="A1325" s="2" t="s">
        <v>2183</v>
      </c>
      <c r="B1325" s="2" t="s">
        <v>2357</v>
      </c>
    </row>
    <row r="1326" spans="1:2" ht="15.75" customHeight="1" x14ac:dyDescent="0.3">
      <c r="A1326" s="2" t="s">
        <v>474</v>
      </c>
      <c r="B1326" s="2" t="s">
        <v>2357</v>
      </c>
    </row>
    <row r="1327" spans="1:2" ht="15.75" customHeight="1" x14ac:dyDescent="0.3">
      <c r="A1327" s="2" t="s">
        <v>1701</v>
      </c>
      <c r="B1327" s="2" t="s">
        <v>2356</v>
      </c>
    </row>
    <row r="1328" spans="1:2" ht="15.75" customHeight="1" x14ac:dyDescent="0.3">
      <c r="A1328" s="2" t="s">
        <v>561</v>
      </c>
      <c r="B1328" s="2" t="s">
        <v>2357</v>
      </c>
    </row>
    <row r="1329" spans="1:2" ht="15.75" customHeight="1" x14ac:dyDescent="0.3">
      <c r="A1329" s="2" t="s">
        <v>507</v>
      </c>
      <c r="B1329" s="2" t="s">
        <v>2357</v>
      </c>
    </row>
    <row r="1330" spans="1:2" ht="15.75" customHeight="1" x14ac:dyDescent="0.3">
      <c r="A1330" s="2" t="s">
        <v>2015</v>
      </c>
      <c r="B1330" s="2" t="s">
        <v>2357</v>
      </c>
    </row>
    <row r="1331" spans="1:2" ht="15.75" customHeight="1" x14ac:dyDescent="0.3">
      <c r="A1331" s="2" t="s">
        <v>701</v>
      </c>
      <c r="B1331" s="2" t="s">
        <v>2357</v>
      </c>
    </row>
    <row r="1332" spans="1:2" ht="15.75" customHeight="1" x14ac:dyDescent="0.3">
      <c r="A1332" s="2" t="s">
        <v>1896</v>
      </c>
      <c r="B1332" s="2" t="s">
        <v>2357</v>
      </c>
    </row>
    <row r="1333" spans="1:2" ht="15.75" customHeight="1" x14ac:dyDescent="0.3">
      <c r="A1333" s="2" t="s">
        <v>2243</v>
      </c>
      <c r="B1333" s="2" t="s">
        <v>2358</v>
      </c>
    </row>
    <row r="1334" spans="1:2" ht="15.75" customHeight="1" x14ac:dyDescent="0.3">
      <c r="A1334" s="2" t="s">
        <v>1656</v>
      </c>
      <c r="B1334" s="2" t="s">
        <v>2359</v>
      </c>
    </row>
    <row r="1335" spans="1:2" ht="15.75" customHeight="1" x14ac:dyDescent="0.3">
      <c r="A1335" s="2" t="s">
        <v>390</v>
      </c>
      <c r="B1335" s="2" t="s">
        <v>2357</v>
      </c>
    </row>
    <row r="1336" spans="1:2" ht="15.75" customHeight="1" x14ac:dyDescent="0.3">
      <c r="A1336" s="2" t="s">
        <v>1097</v>
      </c>
      <c r="B1336" s="2" t="s">
        <v>2357</v>
      </c>
    </row>
    <row r="1337" spans="1:2" ht="15.75" customHeight="1" x14ac:dyDescent="0.3">
      <c r="A1337" s="2" t="s">
        <v>1479</v>
      </c>
      <c r="B1337" s="2" t="s">
        <v>2357</v>
      </c>
    </row>
    <row r="1338" spans="1:2" ht="15.75" customHeight="1" x14ac:dyDescent="0.3">
      <c r="A1338" s="2" t="s">
        <v>946</v>
      </c>
      <c r="B1338" s="2" t="s">
        <v>2357</v>
      </c>
    </row>
    <row r="1339" spans="1:2" ht="15.75" customHeight="1" x14ac:dyDescent="0.3">
      <c r="A1339" s="2" t="s">
        <v>2168</v>
      </c>
      <c r="B1339" s="2" t="s">
        <v>2357</v>
      </c>
    </row>
    <row r="1340" spans="1:2" ht="15.75" customHeight="1" x14ac:dyDescent="0.3">
      <c r="A1340" s="2" t="s">
        <v>1618</v>
      </c>
      <c r="B1340" s="2" t="s">
        <v>2357</v>
      </c>
    </row>
    <row r="1341" spans="1:2" ht="15.75" customHeight="1" x14ac:dyDescent="0.3">
      <c r="A1341" s="2" t="s">
        <v>581</v>
      </c>
      <c r="B1341" s="2" t="s">
        <v>2356</v>
      </c>
    </row>
    <row r="1342" spans="1:2" ht="15.75" customHeight="1" x14ac:dyDescent="0.3">
      <c r="A1342" s="2" t="s">
        <v>1118</v>
      </c>
      <c r="B1342" s="2" t="s">
        <v>2357</v>
      </c>
    </row>
    <row r="1343" spans="1:2" ht="15.75" customHeight="1" x14ac:dyDescent="0.3">
      <c r="A1343" s="2" t="s">
        <v>1017</v>
      </c>
      <c r="B1343" s="2" t="s">
        <v>2357</v>
      </c>
    </row>
    <row r="1344" spans="1:2" ht="15.75" customHeight="1" x14ac:dyDescent="0.3">
      <c r="A1344" s="2" t="s">
        <v>2148</v>
      </c>
      <c r="B1344" s="2" t="s">
        <v>2357</v>
      </c>
    </row>
    <row r="1345" spans="1:2" ht="15.75" customHeight="1" x14ac:dyDescent="0.3">
      <c r="A1345" s="2" t="s">
        <v>2041</v>
      </c>
      <c r="B1345" s="2" t="s">
        <v>2357</v>
      </c>
    </row>
    <row r="1346" spans="1:2" ht="15.75" customHeight="1" x14ac:dyDescent="0.3">
      <c r="A1346" s="2" t="s">
        <v>849</v>
      </c>
      <c r="B1346" s="2" t="s">
        <v>2357</v>
      </c>
    </row>
    <row r="1347" spans="1:2" ht="15.75" customHeight="1" x14ac:dyDescent="0.3">
      <c r="A1347" s="2" t="s">
        <v>2317</v>
      </c>
      <c r="B1347" s="2" t="s">
        <v>2358</v>
      </c>
    </row>
    <row r="1348" spans="1:2" ht="15.75" customHeight="1" x14ac:dyDescent="0.3">
      <c r="A1348" s="2" t="s">
        <v>493</v>
      </c>
      <c r="B1348" s="2" t="s">
        <v>2357</v>
      </c>
    </row>
    <row r="1349" spans="1:2" ht="15.75" customHeight="1" x14ac:dyDescent="0.3">
      <c r="A1349" s="2" t="s">
        <v>1432</v>
      </c>
      <c r="B1349" s="2" t="s">
        <v>2359</v>
      </c>
    </row>
    <row r="1350" spans="1:2" ht="15.75" customHeight="1" x14ac:dyDescent="0.3">
      <c r="A1350" s="2" t="s">
        <v>1208</v>
      </c>
      <c r="B1350" s="2" t="s">
        <v>2357</v>
      </c>
    </row>
    <row r="1351" spans="1:2" ht="15.75" customHeight="1" x14ac:dyDescent="0.3">
      <c r="A1351" s="2" t="s">
        <v>2234</v>
      </c>
      <c r="B1351" s="2" t="s">
        <v>2358</v>
      </c>
    </row>
    <row r="1352" spans="1:2" ht="15.75" customHeight="1" x14ac:dyDescent="0.3">
      <c r="A1352" s="2" t="s">
        <v>1721</v>
      </c>
      <c r="B1352" s="2" t="s">
        <v>2357</v>
      </c>
    </row>
    <row r="1353" spans="1:2" ht="15.75" customHeight="1" x14ac:dyDescent="0.3">
      <c r="A1353" s="2" t="s">
        <v>925</v>
      </c>
      <c r="B1353" s="2" t="s">
        <v>2357</v>
      </c>
    </row>
    <row r="1354" spans="1:2" ht="15.75" customHeight="1" x14ac:dyDescent="0.3">
      <c r="A1354" s="2" t="s">
        <v>630</v>
      </c>
      <c r="B1354" s="2" t="s">
        <v>2357</v>
      </c>
    </row>
    <row r="1355" spans="1:2" ht="15.75" customHeight="1" x14ac:dyDescent="0.3">
      <c r="A1355" s="2" t="s">
        <v>1669</v>
      </c>
      <c r="B1355" s="2" t="s">
        <v>2357</v>
      </c>
    </row>
    <row r="1356" spans="1:2" ht="15.75" customHeight="1" x14ac:dyDescent="0.3">
      <c r="A1356" s="2" t="s">
        <v>1468</v>
      </c>
      <c r="B1356" s="2" t="s">
        <v>2357</v>
      </c>
    </row>
    <row r="1357" spans="1:2" ht="15.75" customHeight="1" x14ac:dyDescent="0.3">
      <c r="A1357" s="2" t="s">
        <v>204</v>
      </c>
      <c r="B1357" s="2" t="s">
        <v>2357</v>
      </c>
    </row>
    <row r="1358" spans="1:2" ht="15.75" customHeight="1" x14ac:dyDescent="0.3">
      <c r="A1358" s="2" t="s">
        <v>879</v>
      </c>
      <c r="B1358" s="2" t="s">
        <v>2357</v>
      </c>
    </row>
    <row r="1359" spans="1:2" ht="15.75" customHeight="1" x14ac:dyDescent="0.3">
      <c r="A1359" s="2" t="s">
        <v>1894</v>
      </c>
      <c r="B1359" s="2" t="s">
        <v>2357</v>
      </c>
    </row>
    <row r="1360" spans="1:2" ht="15.75" customHeight="1" x14ac:dyDescent="0.3">
      <c r="A1360" s="2" t="s">
        <v>1911</v>
      </c>
      <c r="B1360" s="2" t="s">
        <v>2357</v>
      </c>
    </row>
    <row r="1361" spans="1:2" ht="15.75" customHeight="1" x14ac:dyDescent="0.3">
      <c r="A1361" s="2" t="s">
        <v>1937</v>
      </c>
      <c r="B1361" s="2" t="s">
        <v>2356</v>
      </c>
    </row>
    <row r="1362" spans="1:2" ht="15.75" customHeight="1" x14ac:dyDescent="0.3">
      <c r="A1362" s="2" t="s">
        <v>1356</v>
      </c>
      <c r="B1362" s="2" t="s">
        <v>2357</v>
      </c>
    </row>
    <row r="1363" spans="1:2" ht="15.75" customHeight="1" x14ac:dyDescent="0.3">
      <c r="A1363" s="2" t="s">
        <v>1661</v>
      </c>
      <c r="B1363" s="2" t="s">
        <v>2356</v>
      </c>
    </row>
    <row r="1364" spans="1:2" ht="15.75" customHeight="1" x14ac:dyDescent="0.3">
      <c r="A1364" s="2" t="s">
        <v>1064</v>
      </c>
      <c r="B1364" s="2" t="s">
        <v>2357</v>
      </c>
    </row>
    <row r="1365" spans="1:2" ht="15.75" customHeight="1" x14ac:dyDescent="0.3">
      <c r="A1365" s="2" t="s">
        <v>1357</v>
      </c>
      <c r="B1365" s="2" t="s">
        <v>2357</v>
      </c>
    </row>
    <row r="1366" spans="1:2" ht="15.75" customHeight="1" x14ac:dyDescent="0.3">
      <c r="A1366" s="2" t="s">
        <v>1976</v>
      </c>
      <c r="B1366" s="2" t="s">
        <v>2357</v>
      </c>
    </row>
    <row r="1367" spans="1:2" ht="15.75" customHeight="1" x14ac:dyDescent="0.3">
      <c r="A1367" s="2" t="s">
        <v>1946</v>
      </c>
      <c r="B1367" s="2" t="s">
        <v>2357</v>
      </c>
    </row>
    <row r="1368" spans="1:2" ht="15.75" customHeight="1" x14ac:dyDescent="0.3">
      <c r="A1368" s="2" t="s">
        <v>2029</v>
      </c>
      <c r="B1368" s="2" t="s">
        <v>2357</v>
      </c>
    </row>
    <row r="1369" spans="1:2" ht="15.75" customHeight="1" x14ac:dyDescent="0.3">
      <c r="A1369" s="2" t="s">
        <v>2039</v>
      </c>
      <c r="B1369" s="2" t="s">
        <v>2356</v>
      </c>
    </row>
    <row r="1370" spans="1:2" ht="15.75" customHeight="1" x14ac:dyDescent="0.3">
      <c r="A1370" s="2" t="s">
        <v>1028</v>
      </c>
      <c r="B1370" s="2" t="s">
        <v>2357</v>
      </c>
    </row>
    <row r="1371" spans="1:2" ht="15.75" customHeight="1" x14ac:dyDescent="0.3">
      <c r="A1371" s="2" t="s">
        <v>1553</v>
      </c>
      <c r="B1371" s="2" t="s">
        <v>2356</v>
      </c>
    </row>
    <row r="1372" spans="1:2" ht="15.75" customHeight="1" x14ac:dyDescent="0.3">
      <c r="A1372" s="2" t="s">
        <v>1086</v>
      </c>
      <c r="B1372" s="2" t="s">
        <v>2357</v>
      </c>
    </row>
    <row r="1373" spans="1:2" ht="15.75" customHeight="1" x14ac:dyDescent="0.3">
      <c r="A1373" s="2" t="s">
        <v>1540</v>
      </c>
      <c r="B1373" s="2" t="s">
        <v>2357</v>
      </c>
    </row>
    <row r="1374" spans="1:2" ht="15.75" customHeight="1" x14ac:dyDescent="0.3">
      <c r="A1374" s="2" t="s">
        <v>801</v>
      </c>
      <c r="B1374" s="2" t="s">
        <v>2357</v>
      </c>
    </row>
    <row r="1375" spans="1:2" ht="15.75" customHeight="1" x14ac:dyDescent="0.3">
      <c r="A1375" s="2" t="s">
        <v>1354</v>
      </c>
      <c r="B1375" s="2" t="s">
        <v>2357</v>
      </c>
    </row>
    <row r="1376" spans="1:2" ht="15.75" customHeight="1" x14ac:dyDescent="0.3">
      <c r="A1376" s="2" t="s">
        <v>768</v>
      </c>
      <c r="B1376" s="2" t="s">
        <v>2357</v>
      </c>
    </row>
    <row r="1377" spans="1:2" ht="15.75" customHeight="1" x14ac:dyDescent="0.3">
      <c r="A1377" s="2" t="s">
        <v>1089</v>
      </c>
      <c r="B1377" s="2" t="s">
        <v>2356</v>
      </c>
    </row>
    <row r="1378" spans="1:2" ht="15.75" customHeight="1" x14ac:dyDescent="0.3">
      <c r="A1378" s="2" t="s">
        <v>236</v>
      </c>
      <c r="B1378" s="2" t="s">
        <v>2357</v>
      </c>
    </row>
    <row r="1379" spans="1:2" ht="15.75" customHeight="1" x14ac:dyDescent="0.3">
      <c r="A1379" s="2" t="s">
        <v>1616</v>
      </c>
      <c r="B1379" s="2" t="s">
        <v>2357</v>
      </c>
    </row>
    <row r="1380" spans="1:2" ht="15.75" customHeight="1" x14ac:dyDescent="0.3">
      <c r="A1380" s="2" t="s">
        <v>1608</v>
      </c>
      <c r="B1380" s="2" t="s">
        <v>2357</v>
      </c>
    </row>
    <row r="1381" spans="1:2" ht="15.75" customHeight="1" x14ac:dyDescent="0.3">
      <c r="A1381" s="2" t="s">
        <v>833</v>
      </c>
      <c r="B1381" s="2" t="s">
        <v>2357</v>
      </c>
    </row>
    <row r="1382" spans="1:2" ht="15.75" customHeight="1" x14ac:dyDescent="0.3">
      <c r="A1382" s="2" t="s">
        <v>2060</v>
      </c>
      <c r="B1382" s="2" t="s">
        <v>2357</v>
      </c>
    </row>
    <row r="1383" spans="1:2" ht="15.75" customHeight="1" x14ac:dyDescent="0.3">
      <c r="A1383" s="2" t="s">
        <v>1837</v>
      </c>
      <c r="B1383" s="2" t="s">
        <v>2359</v>
      </c>
    </row>
    <row r="1384" spans="1:2" ht="15.75" customHeight="1" x14ac:dyDescent="0.3">
      <c r="A1384" s="2" t="s">
        <v>1499</v>
      </c>
      <c r="B1384" s="2" t="s">
        <v>2356</v>
      </c>
    </row>
    <row r="1385" spans="1:2" ht="15.75" customHeight="1" x14ac:dyDescent="0.3">
      <c r="A1385" s="2" t="s">
        <v>1815</v>
      </c>
      <c r="B1385" s="2" t="s">
        <v>2357</v>
      </c>
    </row>
    <row r="1386" spans="1:2" ht="15.75" customHeight="1" x14ac:dyDescent="0.3">
      <c r="A1386" s="2" t="s">
        <v>2272</v>
      </c>
      <c r="B1386" s="2" t="s">
        <v>2360</v>
      </c>
    </row>
    <row r="1387" spans="1:2" ht="15.75" customHeight="1" x14ac:dyDescent="0.3">
      <c r="A1387" s="2" t="s">
        <v>2163</v>
      </c>
      <c r="B1387" s="2" t="s">
        <v>2357</v>
      </c>
    </row>
    <row r="1388" spans="1:2" ht="15.75" customHeight="1" x14ac:dyDescent="0.3">
      <c r="A1388" s="2" t="s">
        <v>1782</v>
      </c>
      <c r="B1388" s="2" t="s">
        <v>2357</v>
      </c>
    </row>
    <row r="1389" spans="1:2" ht="15.75" customHeight="1" x14ac:dyDescent="0.3">
      <c r="A1389" s="2" t="s">
        <v>1398</v>
      </c>
      <c r="B1389" s="2" t="s">
        <v>2357</v>
      </c>
    </row>
    <row r="1390" spans="1:2" ht="15.75" customHeight="1" x14ac:dyDescent="0.3">
      <c r="A1390" s="2" t="s">
        <v>1262</v>
      </c>
      <c r="B1390" s="2" t="s">
        <v>2357</v>
      </c>
    </row>
    <row r="1391" spans="1:2" ht="15.75" customHeight="1" x14ac:dyDescent="0.3">
      <c r="A1391" s="2" t="s">
        <v>2063</v>
      </c>
      <c r="B1391" s="2" t="s">
        <v>2357</v>
      </c>
    </row>
    <row r="1392" spans="1:2" ht="15.75" customHeight="1" x14ac:dyDescent="0.3">
      <c r="A1392" s="2" t="s">
        <v>2294</v>
      </c>
      <c r="B1392" s="2" t="s">
        <v>2358</v>
      </c>
    </row>
    <row r="1393" spans="1:2" ht="15.75" customHeight="1" x14ac:dyDescent="0.3">
      <c r="A1393" s="2" t="s">
        <v>1272</v>
      </c>
      <c r="B1393" s="2" t="s">
        <v>2357</v>
      </c>
    </row>
    <row r="1394" spans="1:2" ht="15.75" customHeight="1" x14ac:dyDescent="0.3">
      <c r="A1394" s="2" t="s">
        <v>1681</v>
      </c>
      <c r="B1394" s="2" t="s">
        <v>2357</v>
      </c>
    </row>
    <row r="1395" spans="1:2" ht="15.75" customHeight="1" x14ac:dyDescent="0.3">
      <c r="A1395" s="2" t="s">
        <v>936</v>
      </c>
      <c r="B1395" s="2" t="s">
        <v>2357</v>
      </c>
    </row>
    <row r="1396" spans="1:2" ht="15.75" customHeight="1" x14ac:dyDescent="0.3">
      <c r="A1396" s="2" t="s">
        <v>230</v>
      </c>
      <c r="B1396" s="2" t="s">
        <v>2357</v>
      </c>
    </row>
    <row r="1397" spans="1:2" ht="15.75" customHeight="1" x14ac:dyDescent="0.3">
      <c r="A1397" s="2" t="s">
        <v>1796</v>
      </c>
      <c r="B1397" s="2" t="s">
        <v>2356</v>
      </c>
    </row>
    <row r="1398" spans="1:2" ht="15.75" customHeight="1" x14ac:dyDescent="0.3">
      <c r="A1398" s="2" t="s">
        <v>1881</v>
      </c>
      <c r="B1398" s="2" t="s">
        <v>2357</v>
      </c>
    </row>
    <row r="1399" spans="1:2" ht="15.75" customHeight="1" x14ac:dyDescent="0.3">
      <c r="A1399" s="2" t="s">
        <v>2235</v>
      </c>
      <c r="B1399" s="2" t="s">
        <v>2360</v>
      </c>
    </row>
    <row r="1400" spans="1:2" ht="15.75" customHeight="1" x14ac:dyDescent="0.3">
      <c r="A1400" s="2" t="s">
        <v>2003</v>
      </c>
      <c r="B1400" s="2" t="s">
        <v>2357</v>
      </c>
    </row>
    <row r="1401" spans="1:2" ht="15.75" customHeight="1" x14ac:dyDescent="0.3">
      <c r="A1401" s="2" t="s">
        <v>2104</v>
      </c>
      <c r="B1401" s="2" t="s">
        <v>2356</v>
      </c>
    </row>
    <row r="1402" spans="1:2" ht="15.75" customHeight="1" x14ac:dyDescent="0.3">
      <c r="A1402" s="2" t="s">
        <v>1274</v>
      </c>
      <c r="B1402" s="2" t="s">
        <v>2356</v>
      </c>
    </row>
    <row r="1403" spans="1:2" ht="15.75" customHeight="1" x14ac:dyDescent="0.3">
      <c r="A1403" s="2" t="s">
        <v>1425</v>
      </c>
      <c r="B1403" s="2" t="s">
        <v>2357</v>
      </c>
    </row>
    <row r="1404" spans="1:2" ht="15.75" customHeight="1" x14ac:dyDescent="0.3">
      <c r="A1404" s="2" t="s">
        <v>663</v>
      </c>
      <c r="B1404" s="2" t="s">
        <v>2356</v>
      </c>
    </row>
    <row r="1405" spans="1:2" ht="15.75" customHeight="1" x14ac:dyDescent="0.3">
      <c r="A1405" s="2" t="s">
        <v>809</v>
      </c>
      <c r="B1405" s="2" t="s">
        <v>2357</v>
      </c>
    </row>
    <row r="1406" spans="1:2" ht="15.75" customHeight="1" x14ac:dyDescent="0.3">
      <c r="A1406" s="2" t="s">
        <v>2107</v>
      </c>
      <c r="B1406" s="2" t="s">
        <v>2357</v>
      </c>
    </row>
    <row r="1407" spans="1:2" ht="15.75" customHeight="1" x14ac:dyDescent="0.3">
      <c r="A1407" s="2" t="s">
        <v>655</v>
      </c>
      <c r="B1407" s="2" t="s">
        <v>2357</v>
      </c>
    </row>
    <row r="1408" spans="1:2" ht="15.75" customHeight="1" x14ac:dyDescent="0.3">
      <c r="A1408" s="2" t="s">
        <v>1113</v>
      </c>
      <c r="B1408" s="2" t="s">
        <v>2357</v>
      </c>
    </row>
    <row r="1409" spans="1:2" ht="15.75" customHeight="1" x14ac:dyDescent="0.3">
      <c r="A1409" s="2" t="s">
        <v>1662</v>
      </c>
      <c r="B1409" s="2" t="s">
        <v>2356</v>
      </c>
    </row>
    <row r="1410" spans="1:2" ht="15.75" customHeight="1" x14ac:dyDescent="0.3">
      <c r="A1410" s="2" t="s">
        <v>399</v>
      </c>
      <c r="B1410" s="2" t="s">
        <v>2356</v>
      </c>
    </row>
    <row r="1411" spans="1:2" ht="15.75" customHeight="1" x14ac:dyDescent="0.3">
      <c r="A1411" s="2" t="s">
        <v>522</v>
      </c>
      <c r="B1411" s="2" t="s">
        <v>2357</v>
      </c>
    </row>
    <row r="1412" spans="1:2" ht="15.75" customHeight="1" x14ac:dyDescent="0.3">
      <c r="A1412" s="2" t="s">
        <v>1698</v>
      </c>
      <c r="B1412" s="2" t="s">
        <v>2357</v>
      </c>
    </row>
    <row r="1413" spans="1:2" ht="15.75" customHeight="1" x14ac:dyDescent="0.3">
      <c r="A1413" s="2" t="s">
        <v>2102</v>
      </c>
      <c r="B1413" s="2" t="s">
        <v>2357</v>
      </c>
    </row>
    <row r="1414" spans="1:2" ht="15.75" customHeight="1" x14ac:dyDescent="0.3">
      <c r="A1414" s="2" t="s">
        <v>590</v>
      </c>
      <c r="B1414" s="2" t="s">
        <v>2357</v>
      </c>
    </row>
    <row r="1415" spans="1:2" ht="15.75" customHeight="1" x14ac:dyDescent="0.3">
      <c r="A1415" s="2" t="s">
        <v>124</v>
      </c>
      <c r="B1415" s="2" t="s">
        <v>2357</v>
      </c>
    </row>
    <row r="1416" spans="1:2" ht="15.75" customHeight="1" x14ac:dyDescent="0.3">
      <c r="A1416" s="2" t="s">
        <v>1292</v>
      </c>
      <c r="B1416" s="2" t="s">
        <v>2357</v>
      </c>
    </row>
    <row r="1417" spans="1:2" ht="15.75" customHeight="1" x14ac:dyDescent="0.3">
      <c r="A1417" s="2" t="s">
        <v>1449</v>
      </c>
      <c r="B1417" s="2" t="s">
        <v>2356</v>
      </c>
    </row>
    <row r="1418" spans="1:2" ht="15.75" customHeight="1" x14ac:dyDescent="0.3">
      <c r="A1418" s="2" t="s">
        <v>1518</v>
      </c>
      <c r="B1418" s="2" t="s">
        <v>2357</v>
      </c>
    </row>
    <row r="1419" spans="1:2" ht="15.75" customHeight="1" x14ac:dyDescent="0.3">
      <c r="A1419" s="2" t="s">
        <v>1778</v>
      </c>
      <c r="B1419" s="2" t="s">
        <v>2357</v>
      </c>
    </row>
    <row r="1420" spans="1:2" ht="15.75" customHeight="1" x14ac:dyDescent="0.3">
      <c r="A1420" s="2" t="s">
        <v>1740</v>
      </c>
      <c r="B1420" s="2" t="s">
        <v>2356</v>
      </c>
    </row>
    <row r="1421" spans="1:2" ht="15.75" customHeight="1" x14ac:dyDescent="0.3">
      <c r="A1421" s="2" t="s">
        <v>263</v>
      </c>
      <c r="B1421" s="2" t="s">
        <v>2357</v>
      </c>
    </row>
    <row r="1422" spans="1:2" ht="15.75" customHeight="1" x14ac:dyDescent="0.3">
      <c r="A1422" s="2" t="s">
        <v>1704</v>
      </c>
      <c r="B1422" s="2" t="s">
        <v>2356</v>
      </c>
    </row>
    <row r="1423" spans="1:2" ht="15.75" customHeight="1" x14ac:dyDescent="0.3">
      <c r="A1423" s="2" t="s">
        <v>517</v>
      </c>
      <c r="B1423" s="2" t="s">
        <v>2356</v>
      </c>
    </row>
    <row r="1424" spans="1:2" ht="15.75" customHeight="1" x14ac:dyDescent="0.3">
      <c r="A1424" s="2" t="s">
        <v>1838</v>
      </c>
      <c r="B1424" s="2" t="s">
        <v>2356</v>
      </c>
    </row>
    <row r="1425" spans="1:2" ht="15.75" customHeight="1" x14ac:dyDescent="0.3">
      <c r="A1425" s="2" t="s">
        <v>1014</v>
      </c>
      <c r="B1425" s="2" t="s">
        <v>2357</v>
      </c>
    </row>
    <row r="1426" spans="1:2" ht="15.75" customHeight="1" x14ac:dyDescent="0.3">
      <c r="A1426" s="2" t="s">
        <v>1694</v>
      </c>
      <c r="B1426" s="2" t="s">
        <v>2357</v>
      </c>
    </row>
    <row r="1427" spans="1:2" ht="15.75" customHeight="1" x14ac:dyDescent="0.3">
      <c r="A1427" s="2" t="s">
        <v>1743</v>
      </c>
      <c r="B1427" s="2" t="s">
        <v>2356</v>
      </c>
    </row>
    <row r="1428" spans="1:2" ht="15.75" customHeight="1" x14ac:dyDescent="0.3">
      <c r="A1428" s="2" t="s">
        <v>1264</v>
      </c>
      <c r="B1428" s="2" t="s">
        <v>2357</v>
      </c>
    </row>
    <row r="1429" spans="1:2" ht="15.75" customHeight="1" x14ac:dyDescent="0.3">
      <c r="A1429" s="2" t="s">
        <v>783</v>
      </c>
      <c r="B1429" s="2" t="s">
        <v>2356</v>
      </c>
    </row>
    <row r="1430" spans="1:2" ht="15.75" customHeight="1" x14ac:dyDescent="0.3">
      <c r="A1430" s="2" t="s">
        <v>2177</v>
      </c>
      <c r="B1430" s="2" t="s">
        <v>2359</v>
      </c>
    </row>
    <row r="1431" spans="1:2" ht="15.75" customHeight="1" x14ac:dyDescent="0.3">
      <c r="A1431" s="2" t="s">
        <v>1158</v>
      </c>
      <c r="B1431" s="2" t="s">
        <v>2357</v>
      </c>
    </row>
    <row r="1432" spans="1:2" ht="15.75" customHeight="1" x14ac:dyDescent="0.3">
      <c r="A1432" s="2" t="s">
        <v>1589</v>
      </c>
      <c r="B1432" s="2" t="s">
        <v>2357</v>
      </c>
    </row>
    <row r="1433" spans="1:2" ht="15.75" customHeight="1" x14ac:dyDescent="0.3">
      <c r="A1433" s="2" t="s">
        <v>1866</v>
      </c>
      <c r="B1433" s="2" t="s">
        <v>2357</v>
      </c>
    </row>
    <row r="1434" spans="1:2" ht="15.75" customHeight="1" x14ac:dyDescent="0.3">
      <c r="A1434" s="2" t="s">
        <v>942</v>
      </c>
      <c r="B1434" s="2" t="s">
        <v>2357</v>
      </c>
    </row>
    <row r="1435" spans="1:2" ht="15.75" customHeight="1" x14ac:dyDescent="0.3">
      <c r="A1435" s="2" t="s">
        <v>2275</v>
      </c>
      <c r="B1435" s="2" t="s">
        <v>2356</v>
      </c>
    </row>
    <row r="1436" spans="1:2" ht="15.75" customHeight="1" x14ac:dyDescent="0.3">
      <c r="A1436" s="2" t="s">
        <v>401</v>
      </c>
      <c r="B1436" s="2" t="s">
        <v>2357</v>
      </c>
    </row>
    <row r="1437" spans="1:2" ht="15.75" customHeight="1" x14ac:dyDescent="0.3">
      <c r="A1437" s="2" t="s">
        <v>2081</v>
      </c>
      <c r="B1437" s="2" t="s">
        <v>2357</v>
      </c>
    </row>
    <row r="1438" spans="1:2" ht="15.75" customHeight="1" x14ac:dyDescent="0.3">
      <c r="A1438" s="2" t="s">
        <v>1302</v>
      </c>
      <c r="B1438" s="2" t="s">
        <v>2357</v>
      </c>
    </row>
    <row r="1439" spans="1:2" ht="15.75" customHeight="1" x14ac:dyDescent="0.3">
      <c r="A1439" s="2" t="s">
        <v>628</v>
      </c>
      <c r="B1439" s="2" t="s">
        <v>2357</v>
      </c>
    </row>
    <row r="1440" spans="1:2" ht="15.75" customHeight="1" x14ac:dyDescent="0.3">
      <c r="A1440" s="2" t="s">
        <v>698</v>
      </c>
      <c r="B1440" s="2" t="s">
        <v>2356</v>
      </c>
    </row>
    <row r="1441" spans="1:2" ht="15.75" customHeight="1" x14ac:dyDescent="0.3">
      <c r="A1441" s="2" t="s">
        <v>2134</v>
      </c>
      <c r="B1441" s="2" t="s">
        <v>2358</v>
      </c>
    </row>
    <row r="1442" spans="1:2" ht="15.75" customHeight="1" x14ac:dyDescent="0.3">
      <c r="A1442" s="2" t="s">
        <v>1529</v>
      </c>
      <c r="B1442" s="2" t="s">
        <v>2356</v>
      </c>
    </row>
    <row r="1443" spans="1:2" ht="15.75" customHeight="1" x14ac:dyDescent="0.3">
      <c r="A1443" s="2" t="s">
        <v>1912</v>
      </c>
      <c r="B1443" s="2" t="s">
        <v>2356</v>
      </c>
    </row>
    <row r="1444" spans="1:2" ht="15.75" customHeight="1" x14ac:dyDescent="0.3">
      <c r="A1444" s="2" t="s">
        <v>1865</v>
      </c>
      <c r="B1444" s="2" t="s">
        <v>2357</v>
      </c>
    </row>
    <row r="1445" spans="1:2" ht="15.75" customHeight="1" x14ac:dyDescent="0.3">
      <c r="A1445" s="2" t="s">
        <v>2280</v>
      </c>
      <c r="B1445" s="2" t="s">
        <v>2359</v>
      </c>
    </row>
    <row r="1446" spans="1:2" ht="15.75" customHeight="1" x14ac:dyDescent="0.3">
      <c r="A1446" s="2" t="s">
        <v>1442</v>
      </c>
      <c r="B1446" s="2" t="s">
        <v>2357</v>
      </c>
    </row>
    <row r="1447" spans="1:2" ht="15.75" customHeight="1" x14ac:dyDescent="0.3">
      <c r="A1447" s="2" t="s">
        <v>1641</v>
      </c>
      <c r="B1447" s="2" t="s">
        <v>2357</v>
      </c>
    </row>
    <row r="1448" spans="1:2" ht="15.75" customHeight="1" x14ac:dyDescent="0.3">
      <c r="A1448" s="2" t="s">
        <v>1151</v>
      </c>
      <c r="B1448" s="2" t="s">
        <v>2357</v>
      </c>
    </row>
    <row r="1449" spans="1:2" ht="15.75" customHeight="1" x14ac:dyDescent="0.3">
      <c r="A1449" s="2" t="s">
        <v>1535</v>
      </c>
      <c r="B1449" s="2" t="s">
        <v>2357</v>
      </c>
    </row>
    <row r="1450" spans="1:2" ht="15.75" customHeight="1" x14ac:dyDescent="0.3">
      <c r="A1450" s="2" t="s">
        <v>863</v>
      </c>
      <c r="B1450" s="2" t="s">
        <v>2357</v>
      </c>
    </row>
    <row r="1451" spans="1:2" ht="15.75" customHeight="1" x14ac:dyDescent="0.3">
      <c r="A1451" s="2" t="s">
        <v>1444</v>
      </c>
      <c r="B1451" s="2" t="s">
        <v>2357</v>
      </c>
    </row>
    <row r="1452" spans="1:2" ht="15.75" customHeight="1" x14ac:dyDescent="0.3">
      <c r="A1452" s="2" t="s">
        <v>987</v>
      </c>
      <c r="B1452" s="2" t="s">
        <v>2356</v>
      </c>
    </row>
    <row r="1453" spans="1:2" ht="15.75" customHeight="1" x14ac:dyDescent="0.3">
      <c r="A1453" s="2" t="s">
        <v>1537</v>
      </c>
      <c r="B1453" s="2" t="s">
        <v>2357</v>
      </c>
    </row>
    <row r="1454" spans="1:2" ht="15.75" customHeight="1" x14ac:dyDescent="0.3">
      <c r="A1454" s="2" t="s">
        <v>1296</v>
      </c>
      <c r="B1454" s="2" t="s">
        <v>2357</v>
      </c>
    </row>
    <row r="1455" spans="1:2" ht="15.75" customHeight="1" x14ac:dyDescent="0.3">
      <c r="A1455" s="2" t="s">
        <v>145</v>
      </c>
      <c r="B1455" s="2" t="s">
        <v>2357</v>
      </c>
    </row>
    <row r="1456" spans="1:2" ht="15.75" customHeight="1" x14ac:dyDescent="0.3">
      <c r="A1456" s="2" t="s">
        <v>279</v>
      </c>
      <c r="B1456" s="2" t="s">
        <v>2357</v>
      </c>
    </row>
    <row r="1457" spans="1:2" ht="15.75" customHeight="1" x14ac:dyDescent="0.3">
      <c r="A1457" s="2" t="s">
        <v>2241</v>
      </c>
      <c r="B1457" s="2" t="s">
        <v>2360</v>
      </c>
    </row>
    <row r="1458" spans="1:2" ht="15.75" customHeight="1" x14ac:dyDescent="0.3">
      <c r="A1458" s="2" t="s">
        <v>1754</v>
      </c>
      <c r="B1458" s="2" t="s">
        <v>2357</v>
      </c>
    </row>
    <row r="1459" spans="1:2" ht="15.75" customHeight="1" x14ac:dyDescent="0.3">
      <c r="A1459" s="2" t="s">
        <v>1927</v>
      </c>
      <c r="B1459" s="2" t="s">
        <v>2357</v>
      </c>
    </row>
    <row r="1460" spans="1:2" ht="15.75" customHeight="1" x14ac:dyDescent="0.3">
      <c r="A1460" s="2" t="s">
        <v>1393</v>
      </c>
      <c r="B1460" s="2" t="s">
        <v>2356</v>
      </c>
    </row>
    <row r="1461" spans="1:2" ht="15.75" customHeight="1" x14ac:dyDescent="0.3">
      <c r="A1461" s="2" t="s">
        <v>622</v>
      </c>
      <c r="B1461" s="2" t="s">
        <v>2357</v>
      </c>
    </row>
    <row r="1462" spans="1:2" ht="15.75" customHeight="1" x14ac:dyDescent="0.3">
      <c r="A1462" s="2" t="s">
        <v>1024</v>
      </c>
      <c r="B1462" s="2" t="s">
        <v>2357</v>
      </c>
    </row>
    <row r="1463" spans="1:2" ht="15.75" customHeight="1" x14ac:dyDescent="0.3">
      <c r="A1463" s="2" t="s">
        <v>1238</v>
      </c>
      <c r="B1463" s="2" t="s">
        <v>2356</v>
      </c>
    </row>
    <row r="1464" spans="1:2" ht="15.75" customHeight="1" x14ac:dyDescent="0.3">
      <c r="A1464" s="2" t="s">
        <v>1844</v>
      </c>
      <c r="B1464" s="2" t="s">
        <v>2357</v>
      </c>
    </row>
    <row r="1465" spans="1:2" ht="15.75" customHeight="1" x14ac:dyDescent="0.3">
      <c r="A1465" s="2" t="s">
        <v>750</v>
      </c>
      <c r="B1465" s="2" t="s">
        <v>2357</v>
      </c>
    </row>
    <row r="1466" spans="1:2" ht="15.75" customHeight="1" x14ac:dyDescent="0.3">
      <c r="A1466" s="2" t="s">
        <v>876</v>
      </c>
      <c r="B1466" s="2" t="s">
        <v>2356</v>
      </c>
    </row>
    <row r="1467" spans="1:2" ht="15.75" customHeight="1" x14ac:dyDescent="0.3">
      <c r="A1467" s="2" t="s">
        <v>1856</v>
      </c>
      <c r="B1467" s="2" t="s">
        <v>2357</v>
      </c>
    </row>
    <row r="1468" spans="1:2" ht="15.75" customHeight="1" x14ac:dyDescent="0.3">
      <c r="A1468" s="2" t="s">
        <v>2034</v>
      </c>
      <c r="B1468" s="2" t="s">
        <v>2357</v>
      </c>
    </row>
    <row r="1469" spans="1:2" ht="15.75" customHeight="1" x14ac:dyDescent="0.3">
      <c r="A1469" s="2" t="s">
        <v>2281</v>
      </c>
      <c r="B1469" s="2" t="s">
        <v>2360</v>
      </c>
    </row>
    <row r="1470" spans="1:2" ht="15.75" customHeight="1" x14ac:dyDescent="0.3">
      <c r="A1470" s="2" t="s">
        <v>1682</v>
      </c>
      <c r="B1470" s="2" t="s">
        <v>2357</v>
      </c>
    </row>
    <row r="1471" spans="1:2" ht="15.75" customHeight="1" x14ac:dyDescent="0.3">
      <c r="A1471" s="2" t="s">
        <v>1928</v>
      </c>
      <c r="B1471" s="2" t="s">
        <v>2357</v>
      </c>
    </row>
    <row r="1472" spans="1:2" ht="15.75" customHeight="1" x14ac:dyDescent="0.3">
      <c r="A1472" s="2" t="s">
        <v>1224</v>
      </c>
      <c r="B1472" s="2" t="s">
        <v>2357</v>
      </c>
    </row>
    <row r="1473" spans="1:2" ht="15.75" customHeight="1" x14ac:dyDescent="0.3">
      <c r="A1473" s="2" t="s">
        <v>2307</v>
      </c>
      <c r="B1473" s="2" t="s">
        <v>2358</v>
      </c>
    </row>
    <row r="1474" spans="1:2" ht="15.75" customHeight="1" x14ac:dyDescent="0.3">
      <c r="A1474" s="2" t="s">
        <v>1480</v>
      </c>
      <c r="B1474" s="2" t="s">
        <v>2357</v>
      </c>
    </row>
    <row r="1475" spans="1:2" ht="15.75" customHeight="1" x14ac:dyDescent="0.3">
      <c r="A1475" s="2" t="s">
        <v>1756</v>
      </c>
      <c r="B1475" s="2" t="s">
        <v>2357</v>
      </c>
    </row>
    <row r="1476" spans="1:2" ht="15.75" customHeight="1" x14ac:dyDescent="0.3">
      <c r="A1476" s="2" t="s">
        <v>1189</v>
      </c>
      <c r="B1476" s="2" t="s">
        <v>2357</v>
      </c>
    </row>
    <row r="1477" spans="1:2" ht="15.75" customHeight="1" x14ac:dyDescent="0.3">
      <c r="A1477" s="2" t="s">
        <v>1143</v>
      </c>
      <c r="B1477" s="2" t="s">
        <v>2357</v>
      </c>
    </row>
    <row r="1478" spans="1:2" ht="15.75" customHeight="1" x14ac:dyDescent="0.3">
      <c r="A1478" s="2" t="s">
        <v>395</v>
      </c>
      <c r="B1478" s="2" t="s">
        <v>2357</v>
      </c>
    </row>
    <row r="1479" spans="1:2" ht="15.75" customHeight="1" x14ac:dyDescent="0.3">
      <c r="A1479" s="2" t="s">
        <v>1416</v>
      </c>
      <c r="B1479" s="2" t="s">
        <v>2357</v>
      </c>
    </row>
    <row r="1480" spans="1:2" ht="15.75" customHeight="1" x14ac:dyDescent="0.3">
      <c r="A1480" s="2" t="s">
        <v>2320</v>
      </c>
      <c r="B1480" s="2" t="s">
        <v>2357</v>
      </c>
    </row>
    <row r="1481" spans="1:2" ht="15.75" customHeight="1" x14ac:dyDescent="0.3">
      <c r="A1481" s="2" t="s">
        <v>1129</v>
      </c>
      <c r="B1481" s="2" t="s">
        <v>2357</v>
      </c>
    </row>
    <row r="1482" spans="1:2" ht="15.75" customHeight="1" x14ac:dyDescent="0.3">
      <c r="A1482" s="2" t="s">
        <v>247</v>
      </c>
      <c r="B1482" s="2" t="s">
        <v>2357</v>
      </c>
    </row>
    <row r="1483" spans="1:2" ht="15.75" customHeight="1" x14ac:dyDescent="0.3">
      <c r="A1483" s="2" t="s">
        <v>2314</v>
      </c>
      <c r="B1483" s="2" t="s">
        <v>2357</v>
      </c>
    </row>
    <row r="1484" spans="1:2" ht="15.75" customHeight="1" x14ac:dyDescent="0.3">
      <c r="A1484" s="2" t="s">
        <v>1337</v>
      </c>
      <c r="B1484" s="2" t="s">
        <v>2356</v>
      </c>
    </row>
    <row r="1485" spans="1:2" ht="15.75" customHeight="1" x14ac:dyDescent="0.3">
      <c r="A1485" s="2" t="s">
        <v>1448</v>
      </c>
      <c r="B1485" s="2" t="s">
        <v>2357</v>
      </c>
    </row>
    <row r="1486" spans="1:2" ht="15.75" customHeight="1" x14ac:dyDescent="0.3">
      <c r="A1486" s="2" t="s">
        <v>362</v>
      </c>
      <c r="B1486" s="2" t="s">
        <v>2357</v>
      </c>
    </row>
    <row r="1487" spans="1:2" ht="15.75" customHeight="1" x14ac:dyDescent="0.3">
      <c r="A1487" s="2" t="s">
        <v>1646</v>
      </c>
      <c r="B1487" s="2" t="s">
        <v>2356</v>
      </c>
    </row>
    <row r="1488" spans="1:2" ht="15.75" customHeight="1" x14ac:dyDescent="0.3">
      <c r="A1488" s="2" t="s">
        <v>837</v>
      </c>
      <c r="B1488" s="2" t="s">
        <v>2357</v>
      </c>
    </row>
    <row r="1489" spans="1:2" ht="15.75" customHeight="1" x14ac:dyDescent="0.3">
      <c r="A1489" s="2" t="s">
        <v>1395</v>
      </c>
      <c r="B1489" s="2" t="s">
        <v>2357</v>
      </c>
    </row>
    <row r="1490" spans="1:2" ht="15.75" customHeight="1" x14ac:dyDescent="0.3">
      <c r="A1490" s="2" t="s">
        <v>1082</v>
      </c>
      <c r="B1490" s="2" t="s">
        <v>2357</v>
      </c>
    </row>
    <row r="1491" spans="1:2" ht="15.75" customHeight="1" x14ac:dyDescent="0.3">
      <c r="A1491" s="2" t="s">
        <v>1281</v>
      </c>
      <c r="B1491" s="2" t="s">
        <v>2357</v>
      </c>
    </row>
    <row r="1492" spans="1:2" ht="15.75" customHeight="1" x14ac:dyDescent="0.3">
      <c r="A1492" s="2" t="s">
        <v>914</v>
      </c>
      <c r="B1492" s="2" t="s">
        <v>2357</v>
      </c>
    </row>
    <row r="1493" spans="1:2" ht="15.75" customHeight="1" x14ac:dyDescent="0.3">
      <c r="A1493" s="2" t="s">
        <v>1555</v>
      </c>
      <c r="B1493" s="2" t="s">
        <v>2357</v>
      </c>
    </row>
    <row r="1494" spans="1:2" ht="15.75" customHeight="1" x14ac:dyDescent="0.3">
      <c r="A1494" s="2" t="s">
        <v>1255</v>
      </c>
      <c r="B1494" s="2" t="s">
        <v>2357</v>
      </c>
    </row>
    <row r="1495" spans="1:2" ht="15.75" customHeight="1" x14ac:dyDescent="0.3">
      <c r="A1495" s="2" t="s">
        <v>2196</v>
      </c>
      <c r="B1495" s="2" t="s">
        <v>2360</v>
      </c>
    </row>
    <row r="1496" spans="1:2" ht="15.75" customHeight="1" x14ac:dyDescent="0.3">
      <c r="A1496" s="2" t="s">
        <v>712</v>
      </c>
      <c r="B1496" s="2" t="s">
        <v>2356</v>
      </c>
    </row>
    <row r="1497" spans="1:2" ht="15.75" customHeight="1" x14ac:dyDescent="0.3">
      <c r="A1497" s="2" t="s">
        <v>2187</v>
      </c>
      <c r="B1497" s="2" t="s">
        <v>2356</v>
      </c>
    </row>
    <row r="1498" spans="1:2" ht="15.75" customHeight="1" x14ac:dyDescent="0.3">
      <c r="A1498" s="2" t="s">
        <v>857</v>
      </c>
      <c r="B1498" s="2" t="s">
        <v>2357</v>
      </c>
    </row>
    <row r="1499" spans="1:2" ht="15.75" customHeight="1" x14ac:dyDescent="0.3">
      <c r="A1499" s="2" t="s">
        <v>749</v>
      </c>
      <c r="B1499" s="2" t="s">
        <v>2356</v>
      </c>
    </row>
    <row r="1500" spans="1:2" ht="15.75" customHeight="1" x14ac:dyDescent="0.3">
      <c r="A1500" s="2" t="s">
        <v>1483</v>
      </c>
      <c r="B1500" s="2" t="s">
        <v>2356</v>
      </c>
    </row>
    <row r="1501" spans="1:2" ht="15.75" customHeight="1" x14ac:dyDescent="0.3">
      <c r="A1501" s="2" t="s">
        <v>1015</v>
      </c>
      <c r="B1501" s="2" t="s">
        <v>2357</v>
      </c>
    </row>
    <row r="1502" spans="1:2" ht="15.75" customHeight="1" x14ac:dyDescent="0.3">
      <c r="A1502" s="2" t="s">
        <v>2141</v>
      </c>
      <c r="B1502" s="2" t="s">
        <v>2360</v>
      </c>
    </row>
    <row r="1503" spans="1:2" ht="15.75" customHeight="1" x14ac:dyDescent="0.3">
      <c r="A1503" s="2" t="s">
        <v>1408</v>
      </c>
      <c r="B1503" s="2" t="s">
        <v>2356</v>
      </c>
    </row>
    <row r="1504" spans="1:2" ht="15.75" customHeight="1" x14ac:dyDescent="0.3">
      <c r="A1504" s="2" t="s">
        <v>2261</v>
      </c>
      <c r="B1504" s="2" t="s">
        <v>2359</v>
      </c>
    </row>
    <row r="1505" spans="1:2" ht="15.75" customHeight="1" x14ac:dyDescent="0.3">
      <c r="A1505" s="2" t="s">
        <v>1126</v>
      </c>
      <c r="B1505" s="2" t="s">
        <v>2357</v>
      </c>
    </row>
    <row r="1506" spans="1:2" ht="15.75" customHeight="1" x14ac:dyDescent="0.3">
      <c r="A1506" s="2" t="s">
        <v>608</v>
      </c>
      <c r="B1506" s="2" t="s">
        <v>2357</v>
      </c>
    </row>
    <row r="1507" spans="1:2" ht="15.75" customHeight="1" x14ac:dyDescent="0.3">
      <c r="A1507" s="2" t="s">
        <v>694</v>
      </c>
      <c r="B1507" s="2" t="s">
        <v>2357</v>
      </c>
    </row>
    <row r="1508" spans="1:2" ht="15.75" customHeight="1" x14ac:dyDescent="0.3">
      <c r="A1508" s="2" t="s">
        <v>120</v>
      </c>
      <c r="B1508" s="2" t="s">
        <v>2359</v>
      </c>
    </row>
    <row r="1509" spans="1:2" ht="15.75" customHeight="1" x14ac:dyDescent="0.3">
      <c r="A1509" s="2" t="s">
        <v>2059</v>
      </c>
      <c r="B1509" s="2" t="s">
        <v>2357</v>
      </c>
    </row>
    <row r="1510" spans="1:2" ht="15.75" customHeight="1" x14ac:dyDescent="0.3">
      <c r="A1510" s="2" t="s">
        <v>1544</v>
      </c>
      <c r="B1510" s="2" t="s">
        <v>2357</v>
      </c>
    </row>
    <row r="1511" spans="1:2" ht="15.75" customHeight="1" x14ac:dyDescent="0.3">
      <c r="A1511" s="2" t="s">
        <v>2088</v>
      </c>
      <c r="B1511" s="2" t="s">
        <v>2357</v>
      </c>
    </row>
    <row r="1512" spans="1:2" ht="15.75" customHeight="1" x14ac:dyDescent="0.3">
      <c r="A1512" s="2" t="s">
        <v>721</v>
      </c>
      <c r="B1512" s="2" t="s">
        <v>2357</v>
      </c>
    </row>
    <row r="1513" spans="1:2" ht="15.75" customHeight="1" x14ac:dyDescent="0.3">
      <c r="A1513" s="2" t="s">
        <v>1522</v>
      </c>
      <c r="B1513" s="2" t="s">
        <v>2357</v>
      </c>
    </row>
    <row r="1514" spans="1:2" ht="15.75" customHeight="1" x14ac:dyDescent="0.3">
      <c r="A1514" s="2" t="s">
        <v>1854</v>
      </c>
      <c r="B1514" s="2" t="s">
        <v>2357</v>
      </c>
    </row>
    <row r="1515" spans="1:2" ht="15.75" customHeight="1" x14ac:dyDescent="0.3">
      <c r="A1515" s="2" t="s">
        <v>767</v>
      </c>
      <c r="B1515" s="2" t="s">
        <v>2356</v>
      </c>
    </row>
    <row r="1516" spans="1:2" ht="15.75" customHeight="1" x14ac:dyDescent="0.3">
      <c r="A1516" s="2" t="s">
        <v>862</v>
      </c>
      <c r="B1516" s="2" t="s">
        <v>2357</v>
      </c>
    </row>
    <row r="1517" spans="1:2" ht="15.75" customHeight="1" x14ac:dyDescent="0.3">
      <c r="A1517" s="2" t="s">
        <v>1059</v>
      </c>
      <c r="B1517" s="2" t="s">
        <v>2357</v>
      </c>
    </row>
    <row r="1518" spans="1:2" ht="15.75" customHeight="1" x14ac:dyDescent="0.3">
      <c r="A1518" s="2" t="s">
        <v>1832</v>
      </c>
      <c r="B1518" s="2" t="s">
        <v>2357</v>
      </c>
    </row>
    <row r="1519" spans="1:2" ht="15.75" customHeight="1" x14ac:dyDescent="0.3">
      <c r="A1519" s="2" t="s">
        <v>994</v>
      </c>
      <c r="B1519" s="2" t="s">
        <v>2357</v>
      </c>
    </row>
    <row r="1520" spans="1:2" ht="15.75" customHeight="1" x14ac:dyDescent="0.3">
      <c r="A1520" s="2" t="s">
        <v>740</v>
      </c>
      <c r="B1520" s="2" t="s">
        <v>2356</v>
      </c>
    </row>
    <row r="1521" spans="1:2" ht="15.75" customHeight="1" x14ac:dyDescent="0.3">
      <c r="A1521" s="2" t="s">
        <v>940</v>
      </c>
      <c r="B1521" s="2" t="s">
        <v>2357</v>
      </c>
    </row>
    <row r="1522" spans="1:2" ht="15.75" customHeight="1" x14ac:dyDescent="0.3">
      <c r="A1522" s="2" t="s">
        <v>1167</v>
      </c>
      <c r="B1522" s="2" t="s">
        <v>2356</v>
      </c>
    </row>
    <row r="1523" spans="1:2" ht="15.75" customHeight="1" x14ac:dyDescent="0.3">
      <c r="A1523" s="2" t="s">
        <v>1908</v>
      </c>
      <c r="B1523" s="2" t="s">
        <v>2357</v>
      </c>
    </row>
    <row r="1524" spans="1:2" ht="15.75" customHeight="1" x14ac:dyDescent="0.3">
      <c r="A1524" s="2" t="s">
        <v>1826</v>
      </c>
      <c r="B1524" s="2" t="s">
        <v>2357</v>
      </c>
    </row>
    <row r="1525" spans="1:2" ht="15.75" customHeight="1" x14ac:dyDescent="0.3">
      <c r="A1525" s="2" t="s">
        <v>1559</v>
      </c>
      <c r="B1525" s="2" t="s">
        <v>2357</v>
      </c>
    </row>
    <row r="1526" spans="1:2" ht="15.75" customHeight="1" x14ac:dyDescent="0.3">
      <c r="A1526" s="2" t="s">
        <v>2244</v>
      </c>
      <c r="B1526" s="2" t="s">
        <v>2358</v>
      </c>
    </row>
    <row r="1527" spans="1:2" ht="15.75" customHeight="1" x14ac:dyDescent="0.3">
      <c r="A1527" s="2" t="s">
        <v>1476</v>
      </c>
      <c r="B1527" s="2" t="s">
        <v>2359</v>
      </c>
    </row>
    <row r="1528" spans="1:2" ht="15.75" customHeight="1" x14ac:dyDescent="0.3">
      <c r="A1528" s="2" t="s">
        <v>1440</v>
      </c>
      <c r="B1528" s="2" t="s">
        <v>2357</v>
      </c>
    </row>
    <row r="1529" spans="1:2" ht="15.75" customHeight="1" x14ac:dyDescent="0.3">
      <c r="A1529" s="2" t="s">
        <v>2051</v>
      </c>
      <c r="B1529" s="2" t="s">
        <v>2357</v>
      </c>
    </row>
    <row r="1530" spans="1:2" ht="15.75" customHeight="1" x14ac:dyDescent="0.3">
      <c r="A1530" s="2" t="s">
        <v>105</v>
      </c>
      <c r="B1530" s="2" t="s">
        <v>2357</v>
      </c>
    </row>
    <row r="1531" spans="1:2" ht="15.75" customHeight="1" x14ac:dyDescent="0.3">
      <c r="A1531" s="2" t="s">
        <v>89</v>
      </c>
      <c r="B1531" s="2" t="s">
        <v>2357</v>
      </c>
    </row>
    <row r="1532" spans="1:2" ht="15.75" customHeight="1" x14ac:dyDescent="0.3">
      <c r="A1532" s="2" t="s">
        <v>1783</v>
      </c>
      <c r="B1532" s="2" t="s">
        <v>2357</v>
      </c>
    </row>
    <row r="1533" spans="1:2" ht="15.75" customHeight="1" x14ac:dyDescent="0.3">
      <c r="A1533" s="2" t="s">
        <v>1726</v>
      </c>
      <c r="B1533" s="2" t="s">
        <v>2356</v>
      </c>
    </row>
    <row r="1534" spans="1:2" ht="15.75" customHeight="1" x14ac:dyDescent="0.3">
      <c r="A1534" s="2" t="s">
        <v>1932</v>
      </c>
      <c r="B1534" s="2" t="s">
        <v>2357</v>
      </c>
    </row>
    <row r="1535" spans="1:2" ht="15.75" customHeight="1" x14ac:dyDescent="0.3">
      <c r="A1535" s="2" t="s">
        <v>1534</v>
      </c>
      <c r="B1535" s="2" t="s">
        <v>2359</v>
      </c>
    </row>
    <row r="1536" spans="1:2" ht="15.75" customHeight="1" x14ac:dyDescent="0.3">
      <c r="A1536" s="2" t="s">
        <v>757</v>
      </c>
      <c r="B1536" s="2" t="s">
        <v>2359</v>
      </c>
    </row>
    <row r="1537" spans="1:2" ht="15.75" customHeight="1" x14ac:dyDescent="0.3">
      <c r="A1537" s="2" t="s">
        <v>1342</v>
      </c>
      <c r="B1537" s="2" t="s">
        <v>2357</v>
      </c>
    </row>
    <row r="1538" spans="1:2" ht="15.75" customHeight="1" x14ac:dyDescent="0.3">
      <c r="A1538" s="2" t="s">
        <v>1307</v>
      </c>
      <c r="B1538" s="2" t="s">
        <v>2357</v>
      </c>
    </row>
    <row r="1539" spans="1:2" ht="15.75" customHeight="1" x14ac:dyDescent="0.3">
      <c r="A1539" s="2" t="s">
        <v>797</v>
      </c>
      <c r="B1539" s="2" t="s">
        <v>2357</v>
      </c>
    </row>
    <row r="1540" spans="1:2" ht="15.75" customHeight="1" x14ac:dyDescent="0.3">
      <c r="A1540" s="2" t="s">
        <v>678</v>
      </c>
      <c r="B1540" s="2" t="s">
        <v>2357</v>
      </c>
    </row>
    <row r="1541" spans="1:2" ht="15.75" customHeight="1" x14ac:dyDescent="0.3">
      <c r="A1541" s="2" t="s">
        <v>1206</v>
      </c>
      <c r="B1541" s="2" t="s">
        <v>2357</v>
      </c>
    </row>
    <row r="1542" spans="1:2" ht="15.75" customHeight="1" x14ac:dyDescent="0.3">
      <c r="A1542" s="2" t="s">
        <v>1145</v>
      </c>
      <c r="B1542" s="2" t="s">
        <v>2357</v>
      </c>
    </row>
    <row r="1543" spans="1:2" ht="15.75" customHeight="1" x14ac:dyDescent="0.3">
      <c r="A1543" s="2" t="s">
        <v>2172</v>
      </c>
      <c r="B1543" s="2" t="s">
        <v>2360</v>
      </c>
    </row>
    <row r="1544" spans="1:2" ht="15.75" customHeight="1" x14ac:dyDescent="0.3">
      <c r="A1544" s="2" t="s">
        <v>448</v>
      </c>
      <c r="B1544" s="2" t="s">
        <v>2357</v>
      </c>
    </row>
    <row r="1545" spans="1:2" ht="15.75" customHeight="1" x14ac:dyDescent="0.3">
      <c r="A1545" s="2" t="s">
        <v>272</v>
      </c>
      <c r="B1545" s="2" t="s">
        <v>2357</v>
      </c>
    </row>
    <row r="1546" spans="1:2" ht="15.75" customHeight="1" x14ac:dyDescent="0.3">
      <c r="A1546" s="2" t="s">
        <v>1239</v>
      </c>
      <c r="B1546" s="2" t="s">
        <v>2357</v>
      </c>
    </row>
    <row r="1547" spans="1:2" ht="15.75" customHeight="1" x14ac:dyDescent="0.3">
      <c r="A1547" s="2" t="s">
        <v>2116</v>
      </c>
      <c r="B1547" s="2" t="s">
        <v>2358</v>
      </c>
    </row>
    <row r="1548" spans="1:2" ht="15.75" customHeight="1" x14ac:dyDescent="0.3">
      <c r="A1548" s="2" t="s">
        <v>462</v>
      </c>
      <c r="B1548" s="2" t="s">
        <v>2357</v>
      </c>
    </row>
    <row r="1549" spans="1:2" ht="15.75" customHeight="1" x14ac:dyDescent="0.3">
      <c r="A1549" s="2" t="s">
        <v>1148</v>
      </c>
      <c r="B1549" s="2" t="s">
        <v>2356</v>
      </c>
    </row>
    <row r="1550" spans="1:2" ht="15.75" customHeight="1" x14ac:dyDescent="0.3">
      <c r="A1550" s="2" t="s">
        <v>920</v>
      </c>
      <c r="B1550" s="2" t="s">
        <v>2357</v>
      </c>
    </row>
    <row r="1551" spans="1:2" ht="15.75" customHeight="1" x14ac:dyDescent="0.3">
      <c r="A1551" s="2" t="s">
        <v>129</v>
      </c>
      <c r="B1551" s="2" t="s">
        <v>2357</v>
      </c>
    </row>
    <row r="1552" spans="1:2" ht="15.75" customHeight="1" x14ac:dyDescent="0.3">
      <c r="A1552" s="2" t="s">
        <v>2204</v>
      </c>
      <c r="B1552" s="2" t="s">
        <v>2357</v>
      </c>
    </row>
    <row r="1553" spans="1:2" ht="15.75" customHeight="1" x14ac:dyDescent="0.3">
      <c r="A1553" s="2" t="s">
        <v>1498</v>
      </c>
      <c r="B1553" s="2" t="s">
        <v>2357</v>
      </c>
    </row>
    <row r="1554" spans="1:2" ht="15.75" customHeight="1" x14ac:dyDescent="0.3">
      <c r="A1554" s="2" t="s">
        <v>2260</v>
      </c>
      <c r="B1554" s="2" t="s">
        <v>2357</v>
      </c>
    </row>
    <row r="1555" spans="1:2" ht="15.75" customHeight="1" x14ac:dyDescent="0.3">
      <c r="A1555" s="2" t="s">
        <v>536</v>
      </c>
      <c r="B1555" s="2" t="s">
        <v>2357</v>
      </c>
    </row>
    <row r="1556" spans="1:2" ht="15.75" customHeight="1" x14ac:dyDescent="0.3">
      <c r="A1556" s="2" t="s">
        <v>2274</v>
      </c>
      <c r="B1556" s="2" t="s">
        <v>2358</v>
      </c>
    </row>
    <row r="1557" spans="1:2" ht="15.75" customHeight="1" x14ac:dyDescent="0.3">
      <c r="A1557" s="2" t="s">
        <v>282</v>
      </c>
      <c r="B1557" s="2" t="s">
        <v>2357</v>
      </c>
    </row>
    <row r="1558" spans="1:2" ht="15.75" customHeight="1" x14ac:dyDescent="0.3">
      <c r="A1558" s="2" t="s">
        <v>1193</v>
      </c>
      <c r="B1558" s="2" t="s">
        <v>2357</v>
      </c>
    </row>
    <row r="1559" spans="1:2" ht="15.75" customHeight="1" x14ac:dyDescent="0.3">
      <c r="A1559" s="2" t="s">
        <v>293</v>
      </c>
      <c r="B1559" s="2" t="s">
        <v>2357</v>
      </c>
    </row>
    <row r="1560" spans="1:2" ht="15.75" customHeight="1" x14ac:dyDescent="0.3">
      <c r="A1560" s="2" t="s">
        <v>141</v>
      </c>
      <c r="B1560" s="2" t="s">
        <v>2356</v>
      </c>
    </row>
    <row r="1561" spans="1:2" ht="15.75" customHeight="1" x14ac:dyDescent="0.3">
      <c r="A1561" s="2" t="s">
        <v>168</v>
      </c>
      <c r="B1561" s="2" t="s">
        <v>2357</v>
      </c>
    </row>
    <row r="1562" spans="1:2" ht="15.75" customHeight="1" x14ac:dyDescent="0.3">
      <c r="A1562" s="2" t="s">
        <v>789</v>
      </c>
      <c r="B1562" s="2" t="s">
        <v>2357</v>
      </c>
    </row>
    <row r="1563" spans="1:2" ht="15.75" customHeight="1" x14ac:dyDescent="0.3">
      <c r="A1563" s="2" t="s">
        <v>1552</v>
      </c>
      <c r="B1563" s="2" t="s">
        <v>2356</v>
      </c>
    </row>
    <row r="1564" spans="1:2" ht="15.75" customHeight="1" x14ac:dyDescent="0.3">
      <c r="A1564" s="2" t="s">
        <v>1474</v>
      </c>
      <c r="B1564" s="2" t="s">
        <v>2356</v>
      </c>
    </row>
    <row r="1565" spans="1:2" ht="15.75" customHeight="1" x14ac:dyDescent="0.3">
      <c r="A1565" s="2" t="s">
        <v>1992</v>
      </c>
      <c r="B1565" s="2" t="s">
        <v>2357</v>
      </c>
    </row>
    <row r="1566" spans="1:2" ht="15.75" customHeight="1" x14ac:dyDescent="0.3">
      <c r="A1566" s="2" t="s">
        <v>444</v>
      </c>
      <c r="B1566" s="2" t="s">
        <v>2357</v>
      </c>
    </row>
    <row r="1567" spans="1:2" ht="15.75" customHeight="1" x14ac:dyDescent="0.3">
      <c r="A1567" s="2" t="s">
        <v>2353</v>
      </c>
      <c r="B1567" s="2" t="s">
        <v>2358</v>
      </c>
    </row>
    <row r="1568" spans="1:2" ht="15.75" customHeight="1" x14ac:dyDescent="0.3">
      <c r="A1568" s="2" t="s">
        <v>1080</v>
      </c>
      <c r="B1568" s="2" t="s">
        <v>2357</v>
      </c>
    </row>
    <row r="1569" spans="1:2" ht="15.75" customHeight="1" x14ac:dyDescent="0.3">
      <c r="A1569" s="2" t="s">
        <v>1381</v>
      </c>
      <c r="B1569" s="2" t="s">
        <v>2357</v>
      </c>
    </row>
    <row r="1570" spans="1:2" ht="15.75" customHeight="1" x14ac:dyDescent="0.3">
      <c r="A1570" s="2" t="s">
        <v>1060</v>
      </c>
      <c r="B1570" s="2" t="s">
        <v>2357</v>
      </c>
    </row>
    <row r="1571" spans="1:2" ht="15.75" customHeight="1" x14ac:dyDescent="0.3">
      <c r="A1571" s="2" t="s">
        <v>1829</v>
      </c>
      <c r="B1571" s="2" t="s">
        <v>2359</v>
      </c>
    </row>
    <row r="1572" spans="1:2" ht="15.75" customHeight="1" x14ac:dyDescent="0.3">
      <c r="A1572" s="2" t="s">
        <v>2271</v>
      </c>
      <c r="B1572" s="2" t="s">
        <v>2360</v>
      </c>
    </row>
    <row r="1573" spans="1:2" ht="15.75" customHeight="1" x14ac:dyDescent="0.3">
      <c r="A1573" s="2" t="s">
        <v>1282</v>
      </c>
      <c r="B1573" s="2" t="s">
        <v>2357</v>
      </c>
    </row>
    <row r="1574" spans="1:2" ht="15.75" customHeight="1" x14ac:dyDescent="0.3">
      <c r="A1574" s="2" t="s">
        <v>1135</v>
      </c>
      <c r="B1574" s="2" t="s">
        <v>2357</v>
      </c>
    </row>
    <row r="1575" spans="1:2" ht="15.75" customHeight="1" x14ac:dyDescent="0.3">
      <c r="A1575" s="2" t="s">
        <v>810</v>
      </c>
      <c r="B1575" s="2" t="s">
        <v>2357</v>
      </c>
    </row>
    <row r="1576" spans="1:2" ht="15.75" customHeight="1" x14ac:dyDescent="0.3">
      <c r="A1576" s="2" t="s">
        <v>1234</v>
      </c>
      <c r="B1576" s="2" t="s">
        <v>2356</v>
      </c>
    </row>
    <row r="1577" spans="1:2" ht="15.75" customHeight="1" x14ac:dyDescent="0.3">
      <c r="A1577" s="2" t="s">
        <v>226</v>
      </c>
      <c r="B1577" s="2" t="s">
        <v>2356</v>
      </c>
    </row>
    <row r="1578" spans="1:2" ht="15.75" customHeight="1" x14ac:dyDescent="0.3">
      <c r="A1578" s="2" t="s">
        <v>1446</v>
      </c>
      <c r="B1578" s="2" t="s">
        <v>2357</v>
      </c>
    </row>
    <row r="1579" spans="1:2" ht="15.75" customHeight="1" x14ac:dyDescent="0.3">
      <c r="A1579" s="2" t="s">
        <v>1346</v>
      </c>
      <c r="B1579" s="2" t="s">
        <v>2357</v>
      </c>
    </row>
    <row r="1580" spans="1:2" ht="15.75" customHeight="1" x14ac:dyDescent="0.3">
      <c r="A1580" s="2" t="s">
        <v>664</v>
      </c>
      <c r="B1580" s="2" t="s">
        <v>2357</v>
      </c>
    </row>
    <row r="1581" spans="1:2" ht="15.75" customHeight="1" x14ac:dyDescent="0.3">
      <c r="A1581" s="2" t="s">
        <v>621</v>
      </c>
      <c r="B1581" s="2" t="s">
        <v>2357</v>
      </c>
    </row>
    <row r="1582" spans="1:2" ht="15.75" customHeight="1" x14ac:dyDescent="0.3">
      <c r="A1582" s="2" t="s">
        <v>1327</v>
      </c>
      <c r="B1582" s="2" t="s">
        <v>2357</v>
      </c>
    </row>
    <row r="1583" spans="1:2" ht="15.75" customHeight="1" x14ac:dyDescent="0.3">
      <c r="A1583" s="2" t="s">
        <v>803</v>
      </c>
      <c r="B1583" s="2" t="s">
        <v>2359</v>
      </c>
    </row>
    <row r="1584" spans="1:2" ht="15.75" customHeight="1" x14ac:dyDescent="0.3">
      <c r="A1584" s="2" t="s">
        <v>1290</v>
      </c>
      <c r="B1584" s="2" t="s">
        <v>2357</v>
      </c>
    </row>
    <row r="1585" spans="1:2" ht="15.75" customHeight="1" x14ac:dyDescent="0.3">
      <c r="A1585" s="2" t="s">
        <v>625</v>
      </c>
      <c r="B1585" s="2" t="s">
        <v>2357</v>
      </c>
    </row>
    <row r="1586" spans="1:2" ht="15.75" customHeight="1" x14ac:dyDescent="0.3">
      <c r="A1586" s="2" t="s">
        <v>489</v>
      </c>
      <c r="B1586" s="2" t="s">
        <v>2357</v>
      </c>
    </row>
    <row r="1587" spans="1:2" ht="15.75" customHeight="1" x14ac:dyDescent="0.3">
      <c r="A1587" s="2" t="s">
        <v>700</v>
      </c>
      <c r="B1587" s="2" t="s">
        <v>2357</v>
      </c>
    </row>
    <row r="1588" spans="1:2" ht="15.75" customHeight="1" x14ac:dyDescent="0.3">
      <c r="A1588" s="2" t="s">
        <v>2337</v>
      </c>
      <c r="B1588" s="2" t="s">
        <v>2357</v>
      </c>
    </row>
    <row r="1589" spans="1:2" ht="15.75" customHeight="1" x14ac:dyDescent="0.3">
      <c r="A1589" s="2" t="s">
        <v>2318</v>
      </c>
      <c r="B1589" s="2" t="s">
        <v>2360</v>
      </c>
    </row>
    <row r="1590" spans="1:2" ht="15.75" customHeight="1" x14ac:dyDescent="0.3">
      <c r="A1590" s="2" t="s">
        <v>2252</v>
      </c>
      <c r="B1590" s="2" t="s">
        <v>2357</v>
      </c>
    </row>
    <row r="1591" spans="1:2" ht="15.75" customHeight="1" x14ac:dyDescent="0.3">
      <c r="A1591" s="2" t="s">
        <v>1842</v>
      </c>
      <c r="B1591" s="2" t="s">
        <v>2357</v>
      </c>
    </row>
    <row r="1592" spans="1:2" ht="15.75" customHeight="1" x14ac:dyDescent="0.3">
      <c r="A1592" s="2" t="s">
        <v>1885</v>
      </c>
      <c r="B1592" s="2" t="s">
        <v>2356</v>
      </c>
    </row>
    <row r="1593" spans="1:2" ht="15.75" customHeight="1" x14ac:dyDescent="0.3">
      <c r="A1593" s="2" t="s">
        <v>1527</v>
      </c>
      <c r="B1593" s="2" t="s">
        <v>2357</v>
      </c>
    </row>
    <row r="1594" spans="1:2" ht="15.75" customHeight="1" x14ac:dyDescent="0.3">
      <c r="A1594" s="2" t="s">
        <v>1902</v>
      </c>
      <c r="B1594" s="2" t="s">
        <v>2357</v>
      </c>
    </row>
    <row r="1595" spans="1:2" ht="15.75" customHeight="1" x14ac:dyDescent="0.3">
      <c r="A1595" s="2" t="s">
        <v>1595</v>
      </c>
      <c r="B1595" s="2" t="s">
        <v>2356</v>
      </c>
    </row>
    <row r="1596" spans="1:2" ht="15.75" customHeight="1" x14ac:dyDescent="0.3">
      <c r="A1596" s="2" t="s">
        <v>1736</v>
      </c>
      <c r="B1596" s="2" t="s">
        <v>2357</v>
      </c>
    </row>
    <row r="1597" spans="1:2" ht="15.75" customHeight="1" x14ac:dyDescent="0.3">
      <c r="A1597" s="2" t="s">
        <v>1216</v>
      </c>
      <c r="B1597" s="2" t="s">
        <v>2357</v>
      </c>
    </row>
    <row r="1598" spans="1:2" ht="15.75" customHeight="1" x14ac:dyDescent="0.3">
      <c r="A1598" s="2" t="s">
        <v>2010</v>
      </c>
      <c r="B1598" s="2" t="s">
        <v>2357</v>
      </c>
    </row>
    <row r="1599" spans="1:2" ht="15.75" customHeight="1" x14ac:dyDescent="0.3">
      <c r="A1599" s="2" t="s">
        <v>2190</v>
      </c>
      <c r="B1599" s="2" t="s">
        <v>2357</v>
      </c>
    </row>
    <row r="1600" spans="1:2" ht="15.75" customHeight="1" x14ac:dyDescent="0.3">
      <c r="A1600" s="2" t="s">
        <v>2229</v>
      </c>
      <c r="B1600" s="2" t="s">
        <v>2358</v>
      </c>
    </row>
    <row r="1601" spans="1:2" ht="15.75" customHeight="1" x14ac:dyDescent="0.3">
      <c r="A1601" s="2" t="s">
        <v>838</v>
      </c>
      <c r="B1601" s="2" t="s">
        <v>2356</v>
      </c>
    </row>
    <row r="1602" spans="1:2" ht="15.75" customHeight="1" x14ac:dyDescent="0.3">
      <c r="A1602" s="2" t="s">
        <v>393</v>
      </c>
      <c r="B1602" s="2" t="s">
        <v>2357</v>
      </c>
    </row>
    <row r="1603" spans="1:2" ht="15.75" customHeight="1" x14ac:dyDescent="0.3">
      <c r="A1603" s="2" t="s">
        <v>1755</v>
      </c>
      <c r="B1603" s="2" t="s">
        <v>2357</v>
      </c>
    </row>
    <row r="1604" spans="1:2" ht="15.75" customHeight="1" x14ac:dyDescent="0.3">
      <c r="A1604" s="2" t="s">
        <v>1334</v>
      </c>
      <c r="B1604" s="2" t="s">
        <v>2359</v>
      </c>
    </row>
    <row r="1605" spans="1:2" ht="15.75" customHeight="1" x14ac:dyDescent="0.3">
      <c r="A1605" s="2" t="s">
        <v>1744</v>
      </c>
      <c r="B1605" s="2" t="s">
        <v>2357</v>
      </c>
    </row>
    <row r="1606" spans="1:2" ht="15.75" customHeight="1" x14ac:dyDescent="0.3">
      <c r="A1606" s="2" t="s">
        <v>591</v>
      </c>
      <c r="B1606" s="2" t="s">
        <v>2357</v>
      </c>
    </row>
    <row r="1607" spans="1:2" ht="15.75" customHeight="1" x14ac:dyDescent="0.3">
      <c r="A1607" s="2" t="s">
        <v>1088</v>
      </c>
      <c r="B1607" s="2" t="s">
        <v>2357</v>
      </c>
    </row>
    <row r="1608" spans="1:2" ht="15.75" customHeight="1" x14ac:dyDescent="0.3">
      <c r="A1608" s="2" t="s">
        <v>745</v>
      </c>
      <c r="B1608" s="2" t="s">
        <v>2357</v>
      </c>
    </row>
    <row r="1609" spans="1:2" ht="15.75" customHeight="1" x14ac:dyDescent="0.3">
      <c r="A1609" s="2" t="s">
        <v>1458</v>
      </c>
      <c r="B1609" s="2" t="s">
        <v>2357</v>
      </c>
    </row>
    <row r="1610" spans="1:2" ht="15.75" customHeight="1" x14ac:dyDescent="0.3">
      <c r="A1610" s="2" t="s">
        <v>1685</v>
      </c>
      <c r="B1610" s="2" t="s">
        <v>2357</v>
      </c>
    </row>
    <row r="1611" spans="1:2" ht="15.75" customHeight="1" x14ac:dyDescent="0.3">
      <c r="A1611" s="2" t="s">
        <v>298</v>
      </c>
      <c r="B1611" s="2" t="s">
        <v>2356</v>
      </c>
    </row>
    <row r="1612" spans="1:2" ht="15.75" customHeight="1" x14ac:dyDescent="0.3">
      <c r="A1612" s="2" t="s">
        <v>1569</v>
      </c>
      <c r="B1612" s="2" t="s">
        <v>2359</v>
      </c>
    </row>
    <row r="1613" spans="1:2" ht="15.75" customHeight="1" x14ac:dyDescent="0.3">
      <c r="A1613" s="2" t="s">
        <v>2007</v>
      </c>
      <c r="B1613" s="2" t="s">
        <v>2357</v>
      </c>
    </row>
    <row r="1614" spans="1:2" ht="15.75" customHeight="1" x14ac:dyDescent="0.3">
      <c r="A1614" s="2" t="s">
        <v>2157</v>
      </c>
      <c r="B1614" s="2" t="s">
        <v>2357</v>
      </c>
    </row>
    <row r="1615" spans="1:2" ht="15.75" customHeight="1" x14ac:dyDescent="0.3">
      <c r="A1615" s="2" t="s">
        <v>2185</v>
      </c>
      <c r="B1615" s="2" t="s">
        <v>2359</v>
      </c>
    </row>
    <row r="1616" spans="1:2" ht="15.75" customHeight="1" x14ac:dyDescent="0.3">
      <c r="A1616" s="2" t="s">
        <v>1975</v>
      </c>
      <c r="B1616" s="2" t="s">
        <v>2357</v>
      </c>
    </row>
    <row r="1617" spans="1:2" ht="15.75" customHeight="1" x14ac:dyDescent="0.3">
      <c r="A1617" s="2" t="s">
        <v>676</v>
      </c>
      <c r="B1617" s="2" t="s">
        <v>2357</v>
      </c>
    </row>
    <row r="1618" spans="1:2" ht="15.75" customHeight="1" x14ac:dyDescent="0.3">
      <c r="A1618" s="2" t="s">
        <v>1226</v>
      </c>
      <c r="B1618" s="2" t="s">
        <v>2357</v>
      </c>
    </row>
    <row r="1619" spans="1:2" ht="15.75" customHeight="1" x14ac:dyDescent="0.3">
      <c r="A1619" s="2" t="s">
        <v>2250</v>
      </c>
      <c r="B1619" s="2" t="s">
        <v>2358</v>
      </c>
    </row>
    <row r="1620" spans="1:2" ht="15.75" customHeight="1" x14ac:dyDescent="0.3">
      <c r="A1620" s="2" t="s">
        <v>566</v>
      </c>
      <c r="B1620" s="2" t="s">
        <v>2357</v>
      </c>
    </row>
    <row r="1621" spans="1:2" ht="15.75" customHeight="1" x14ac:dyDescent="0.3">
      <c r="A1621" s="2" t="s">
        <v>1788</v>
      </c>
      <c r="B1621" s="2" t="s">
        <v>2357</v>
      </c>
    </row>
    <row r="1622" spans="1:2" ht="15.75" customHeight="1" x14ac:dyDescent="0.3">
      <c r="A1622" s="2" t="s">
        <v>1847</v>
      </c>
      <c r="B1622" s="2" t="s">
        <v>2356</v>
      </c>
    </row>
    <row r="1623" spans="1:2" ht="15.75" customHeight="1" x14ac:dyDescent="0.3">
      <c r="A1623" s="2" t="s">
        <v>2258</v>
      </c>
      <c r="B1623" s="2" t="s">
        <v>2358</v>
      </c>
    </row>
    <row r="1624" spans="1:2" ht="15.75" customHeight="1" x14ac:dyDescent="0.3">
      <c r="A1624" s="2" t="s">
        <v>1799</v>
      </c>
      <c r="B1624" s="2" t="s">
        <v>2357</v>
      </c>
    </row>
    <row r="1625" spans="1:2" ht="15.75" customHeight="1" x14ac:dyDescent="0.3">
      <c r="A1625" s="2" t="s">
        <v>1968</v>
      </c>
      <c r="B1625" s="2" t="s">
        <v>2356</v>
      </c>
    </row>
    <row r="1626" spans="1:2" ht="15.75" customHeight="1" x14ac:dyDescent="0.3">
      <c r="A1626" s="2" t="s">
        <v>2121</v>
      </c>
      <c r="B1626" s="2" t="s">
        <v>2356</v>
      </c>
    </row>
    <row r="1627" spans="1:2" ht="15.75" customHeight="1" x14ac:dyDescent="0.3">
      <c r="A1627" s="2" t="s">
        <v>1205</v>
      </c>
      <c r="B1627" s="2" t="s">
        <v>2357</v>
      </c>
    </row>
    <row r="1628" spans="1:2" ht="15.75" customHeight="1" x14ac:dyDescent="0.3">
      <c r="A1628" s="2" t="s">
        <v>2151</v>
      </c>
      <c r="B1628" s="2" t="s">
        <v>2357</v>
      </c>
    </row>
    <row r="1629" spans="1:2" ht="15.75" customHeight="1" x14ac:dyDescent="0.3">
      <c r="A1629" s="2" t="s">
        <v>2005</v>
      </c>
      <c r="B1629" s="2" t="s">
        <v>2357</v>
      </c>
    </row>
    <row r="1630" spans="1:2" ht="15.75" customHeight="1" x14ac:dyDescent="0.3">
      <c r="A1630" s="2" t="s">
        <v>1612</v>
      </c>
      <c r="B1630" s="2" t="s">
        <v>2356</v>
      </c>
    </row>
    <row r="1631" spans="1:2" ht="15.75" customHeight="1" x14ac:dyDescent="0.3">
      <c r="A1631" s="2" t="s">
        <v>360</v>
      </c>
      <c r="B1631" s="2" t="s">
        <v>2357</v>
      </c>
    </row>
    <row r="1632" spans="1:2" ht="15.75" customHeight="1" x14ac:dyDescent="0.3">
      <c r="A1632" s="2" t="s">
        <v>1973</v>
      </c>
      <c r="B1632" s="2" t="s">
        <v>2356</v>
      </c>
    </row>
    <row r="1633" spans="1:2" ht="15.75" customHeight="1" x14ac:dyDescent="0.3">
      <c r="A1633" s="2" t="s">
        <v>1421</v>
      </c>
      <c r="B1633" s="2" t="s">
        <v>2356</v>
      </c>
    </row>
    <row r="1634" spans="1:2" ht="15.75" customHeight="1" x14ac:dyDescent="0.3">
      <c r="A1634" s="2" t="s">
        <v>1273</v>
      </c>
      <c r="B1634" s="2" t="s">
        <v>2357</v>
      </c>
    </row>
    <row r="1635" spans="1:2" ht="15.75" customHeight="1" x14ac:dyDescent="0.3">
      <c r="A1635" s="2" t="s">
        <v>2273</v>
      </c>
      <c r="B1635" s="2" t="s">
        <v>2360</v>
      </c>
    </row>
    <row r="1636" spans="1:2" ht="15.75" customHeight="1" x14ac:dyDescent="0.3">
      <c r="A1636" s="2" t="s">
        <v>1789</v>
      </c>
      <c r="B1636" s="2" t="s">
        <v>2357</v>
      </c>
    </row>
    <row r="1637" spans="1:2" ht="15.75" customHeight="1" x14ac:dyDescent="0.3">
      <c r="A1637" s="2" t="s">
        <v>647</v>
      </c>
      <c r="B1637" s="2" t="s">
        <v>2357</v>
      </c>
    </row>
    <row r="1638" spans="1:2" ht="15.75" customHeight="1" x14ac:dyDescent="0.3">
      <c r="A1638" s="2" t="s">
        <v>2067</v>
      </c>
      <c r="B1638" s="2" t="s">
        <v>2357</v>
      </c>
    </row>
    <row r="1639" spans="1:2" ht="15.75" customHeight="1" x14ac:dyDescent="0.3">
      <c r="A1639" s="2" t="s">
        <v>338</v>
      </c>
      <c r="B1639" s="2" t="s">
        <v>2357</v>
      </c>
    </row>
    <row r="1640" spans="1:2" ht="15.75" customHeight="1" x14ac:dyDescent="0.3">
      <c r="A1640" s="2" t="s">
        <v>986</v>
      </c>
      <c r="B1640" s="2" t="s">
        <v>2357</v>
      </c>
    </row>
    <row r="1641" spans="1:2" ht="15.75" customHeight="1" x14ac:dyDescent="0.3">
      <c r="A1641" s="2" t="s">
        <v>1572</v>
      </c>
      <c r="B1641" s="2" t="s">
        <v>2357</v>
      </c>
    </row>
    <row r="1642" spans="1:2" ht="15.75" customHeight="1" x14ac:dyDescent="0.3">
      <c r="A1642" s="2" t="s">
        <v>1708</v>
      </c>
      <c r="B1642" s="2" t="s">
        <v>2359</v>
      </c>
    </row>
    <row r="1643" spans="1:2" ht="15.75" customHeight="1" x14ac:dyDescent="0.3">
      <c r="A1643" s="2" t="s">
        <v>2057</v>
      </c>
      <c r="B1643" s="2" t="s">
        <v>2357</v>
      </c>
    </row>
    <row r="1644" spans="1:2" ht="15.75" customHeight="1" x14ac:dyDescent="0.3">
      <c r="A1644" s="2" t="s">
        <v>284</v>
      </c>
      <c r="B1644" s="2" t="s">
        <v>2357</v>
      </c>
    </row>
    <row r="1645" spans="1:2" ht="15.75" customHeight="1" x14ac:dyDescent="0.3">
      <c r="A1645" s="2" t="s">
        <v>816</v>
      </c>
      <c r="B1645" s="2" t="s">
        <v>2357</v>
      </c>
    </row>
    <row r="1646" spans="1:2" ht="15.75" customHeight="1" x14ac:dyDescent="0.3">
      <c r="A1646" s="2" t="s">
        <v>1958</v>
      </c>
      <c r="B1646" s="2" t="s">
        <v>2356</v>
      </c>
    </row>
    <row r="1647" spans="1:2" ht="15.75" customHeight="1" x14ac:dyDescent="0.3">
      <c r="A1647" s="2" t="s">
        <v>196</v>
      </c>
      <c r="B1647" s="2" t="s">
        <v>2359</v>
      </c>
    </row>
    <row r="1648" spans="1:2" ht="15.75" customHeight="1" x14ac:dyDescent="0.3">
      <c r="A1648" s="2" t="s">
        <v>1277</v>
      </c>
      <c r="B1648" s="2" t="s">
        <v>2356</v>
      </c>
    </row>
    <row r="1649" spans="1:2" ht="15.75" customHeight="1" x14ac:dyDescent="0.3">
      <c r="A1649" s="2" t="s">
        <v>1943</v>
      </c>
      <c r="B1649" s="2" t="s">
        <v>2357</v>
      </c>
    </row>
    <row r="1650" spans="1:2" ht="15.75" customHeight="1" x14ac:dyDescent="0.3">
      <c r="A1650" s="2" t="s">
        <v>788</v>
      </c>
      <c r="B1650" s="2" t="s">
        <v>2356</v>
      </c>
    </row>
    <row r="1651" spans="1:2" ht="15.75" customHeight="1" x14ac:dyDescent="0.3">
      <c r="A1651" s="2" t="s">
        <v>1550</v>
      </c>
      <c r="B1651" s="2" t="s">
        <v>2357</v>
      </c>
    </row>
    <row r="1652" spans="1:2" ht="15.75" customHeight="1" x14ac:dyDescent="0.3">
      <c r="A1652" s="2" t="s">
        <v>1819</v>
      </c>
      <c r="B1652" s="2" t="s">
        <v>2357</v>
      </c>
    </row>
    <row r="1653" spans="1:2" ht="15.75" customHeight="1" x14ac:dyDescent="0.3">
      <c r="A1653" s="2" t="s">
        <v>902</v>
      </c>
      <c r="B1653" s="2" t="s">
        <v>2356</v>
      </c>
    </row>
    <row r="1654" spans="1:2" ht="15.75" customHeight="1" x14ac:dyDescent="0.3">
      <c r="A1654" s="2" t="s">
        <v>1153</v>
      </c>
      <c r="B1654" s="2" t="s">
        <v>2357</v>
      </c>
    </row>
    <row r="1655" spans="1:2" ht="15.75" customHeight="1" x14ac:dyDescent="0.3">
      <c r="A1655" s="2" t="s">
        <v>1784</v>
      </c>
      <c r="B1655" s="2" t="s">
        <v>2357</v>
      </c>
    </row>
    <row r="1656" spans="1:2" ht="15.75" customHeight="1" x14ac:dyDescent="0.3">
      <c r="A1656" s="2" t="s">
        <v>799</v>
      </c>
      <c r="B1656" s="2" t="s">
        <v>2357</v>
      </c>
    </row>
    <row r="1657" spans="1:2" ht="15.75" customHeight="1" x14ac:dyDescent="0.3">
      <c r="A1657" s="2" t="s">
        <v>1385</v>
      </c>
      <c r="B1657" s="2" t="s">
        <v>2357</v>
      </c>
    </row>
    <row r="1658" spans="1:2" ht="15.75" customHeight="1" x14ac:dyDescent="0.3">
      <c r="A1658" s="2" t="s">
        <v>1223</v>
      </c>
      <c r="B1658" s="2" t="s">
        <v>2357</v>
      </c>
    </row>
    <row r="1659" spans="1:2" ht="15.75" customHeight="1" x14ac:dyDescent="0.3">
      <c r="A1659" s="2" t="s">
        <v>781</v>
      </c>
      <c r="B1659" s="2" t="s">
        <v>2357</v>
      </c>
    </row>
    <row r="1660" spans="1:2" ht="15.75" customHeight="1" x14ac:dyDescent="0.3">
      <c r="A1660" s="2" t="s">
        <v>730</v>
      </c>
      <c r="B1660" s="2" t="s">
        <v>2357</v>
      </c>
    </row>
    <row r="1661" spans="1:2" ht="15.75" customHeight="1" x14ac:dyDescent="0.3">
      <c r="A1661" s="2" t="s">
        <v>1166</v>
      </c>
      <c r="B1661" s="2" t="s">
        <v>2357</v>
      </c>
    </row>
    <row r="1662" spans="1:2" ht="15.75" customHeight="1" x14ac:dyDescent="0.3">
      <c r="A1662" s="2" t="s">
        <v>826</v>
      </c>
      <c r="B1662" s="2" t="s">
        <v>2357</v>
      </c>
    </row>
    <row r="1663" spans="1:2" ht="15.75" customHeight="1" x14ac:dyDescent="0.3">
      <c r="A1663" s="2" t="s">
        <v>1227</v>
      </c>
      <c r="B1663" s="2" t="s">
        <v>2357</v>
      </c>
    </row>
    <row r="1664" spans="1:2" ht="15.75" customHeight="1" x14ac:dyDescent="0.3">
      <c r="A1664" s="2" t="s">
        <v>1645</v>
      </c>
      <c r="B1664" s="2" t="s">
        <v>2357</v>
      </c>
    </row>
    <row r="1665" spans="1:2" ht="15.75" customHeight="1" x14ac:dyDescent="0.3">
      <c r="A1665" s="2" t="s">
        <v>51</v>
      </c>
      <c r="B1665" s="2" t="s">
        <v>2357</v>
      </c>
    </row>
    <row r="1666" spans="1:2" ht="15.75" customHeight="1" x14ac:dyDescent="0.3">
      <c r="A1666" s="2" t="s">
        <v>1748</v>
      </c>
      <c r="B1666" s="2" t="s">
        <v>2357</v>
      </c>
    </row>
    <row r="1667" spans="1:2" ht="15.75" customHeight="1" x14ac:dyDescent="0.3">
      <c r="A1667" s="2" t="s">
        <v>2173</v>
      </c>
      <c r="B1667" s="2" t="s">
        <v>2358</v>
      </c>
    </row>
    <row r="1668" spans="1:2" ht="15.75" customHeight="1" x14ac:dyDescent="0.3">
      <c r="A1668" s="2" t="s">
        <v>667</v>
      </c>
      <c r="B1668" s="2" t="s">
        <v>2357</v>
      </c>
    </row>
    <row r="1669" spans="1:2" ht="15.75" customHeight="1" x14ac:dyDescent="0.3">
      <c r="A1669" s="2" t="s">
        <v>101</v>
      </c>
      <c r="B1669" s="2" t="s">
        <v>2357</v>
      </c>
    </row>
    <row r="1670" spans="1:2" ht="15.75" customHeight="1" x14ac:dyDescent="0.3">
      <c r="A1670" s="2" t="s">
        <v>1288</v>
      </c>
      <c r="B1670" s="2" t="s">
        <v>2357</v>
      </c>
    </row>
    <row r="1671" spans="1:2" ht="15.75" customHeight="1" x14ac:dyDescent="0.3">
      <c r="A1671" s="2" t="s">
        <v>719</v>
      </c>
      <c r="B1671" s="2" t="s">
        <v>2357</v>
      </c>
    </row>
    <row r="1672" spans="1:2" ht="15.75" customHeight="1" x14ac:dyDescent="0.3">
      <c r="A1672" s="2" t="s">
        <v>108</v>
      </c>
      <c r="B1672" s="2" t="s">
        <v>2357</v>
      </c>
    </row>
    <row r="1673" spans="1:2" ht="15.75" customHeight="1" x14ac:dyDescent="0.3">
      <c r="A1673" s="2" t="s">
        <v>578</v>
      </c>
      <c r="B1673" s="2" t="s">
        <v>2357</v>
      </c>
    </row>
    <row r="1674" spans="1:2" ht="15.75" customHeight="1" x14ac:dyDescent="0.3">
      <c r="A1674" s="2" t="s">
        <v>1057</v>
      </c>
      <c r="B1674" s="2" t="s">
        <v>2356</v>
      </c>
    </row>
    <row r="1675" spans="1:2" ht="15.75" customHeight="1" x14ac:dyDescent="0.3">
      <c r="A1675" s="2" t="s">
        <v>317</v>
      </c>
      <c r="B1675" s="2" t="s">
        <v>2356</v>
      </c>
    </row>
    <row r="1676" spans="1:2" ht="15.75" customHeight="1" x14ac:dyDescent="0.3">
      <c r="A1676" s="2" t="s">
        <v>967</v>
      </c>
      <c r="B1676" s="2" t="s">
        <v>2357</v>
      </c>
    </row>
    <row r="1677" spans="1:2" ht="15.75" customHeight="1" x14ac:dyDescent="0.3">
      <c r="A1677" s="2" t="s">
        <v>2002</v>
      </c>
      <c r="B1677" s="2" t="s">
        <v>2357</v>
      </c>
    </row>
    <row r="1678" spans="1:2" ht="15.75" customHeight="1" x14ac:dyDescent="0.3">
      <c r="A1678" s="2" t="s">
        <v>560</v>
      </c>
      <c r="B1678" s="2" t="s">
        <v>2357</v>
      </c>
    </row>
    <row r="1679" spans="1:2" ht="15.75" customHeight="1" x14ac:dyDescent="0.3">
      <c r="A1679" s="2" t="s">
        <v>779</v>
      </c>
      <c r="B1679" s="2" t="s">
        <v>2357</v>
      </c>
    </row>
    <row r="1680" spans="1:2" ht="15.75" customHeight="1" x14ac:dyDescent="0.3">
      <c r="A1680" s="2" t="s">
        <v>1543</v>
      </c>
      <c r="B1680" s="2" t="s">
        <v>2359</v>
      </c>
    </row>
    <row r="1681" spans="1:2" ht="15.75" customHeight="1" x14ac:dyDescent="0.3">
      <c r="A1681" s="2" t="s">
        <v>2180</v>
      </c>
      <c r="B1681" s="2" t="s">
        <v>2360</v>
      </c>
    </row>
    <row r="1682" spans="1:2" ht="15.75" customHeight="1" x14ac:dyDescent="0.3">
      <c r="A1682" s="2" t="s">
        <v>1036</v>
      </c>
      <c r="B1682" s="2" t="s">
        <v>2357</v>
      </c>
    </row>
    <row r="1683" spans="1:2" ht="15.75" customHeight="1" x14ac:dyDescent="0.3">
      <c r="A1683" s="2" t="s">
        <v>1739</v>
      </c>
      <c r="B1683" s="2" t="s">
        <v>2357</v>
      </c>
    </row>
    <row r="1684" spans="1:2" ht="15.75" customHeight="1" x14ac:dyDescent="0.3">
      <c r="A1684" s="2" t="s">
        <v>2153</v>
      </c>
      <c r="B1684" s="2" t="s">
        <v>2358</v>
      </c>
    </row>
    <row r="1685" spans="1:2" ht="15.75" customHeight="1" x14ac:dyDescent="0.3">
      <c r="A1685" s="2" t="s">
        <v>1935</v>
      </c>
      <c r="B1685" s="2" t="s">
        <v>2356</v>
      </c>
    </row>
    <row r="1686" spans="1:2" ht="15.75" customHeight="1" x14ac:dyDescent="0.3">
      <c r="A1686" s="2" t="s">
        <v>2230</v>
      </c>
      <c r="B1686" s="2" t="s">
        <v>2358</v>
      </c>
    </row>
    <row r="1687" spans="1:2" ht="15.75" customHeight="1" x14ac:dyDescent="0.3">
      <c r="A1687" s="2" t="s">
        <v>1470</v>
      </c>
      <c r="B1687" s="2" t="s">
        <v>2357</v>
      </c>
    </row>
    <row r="1688" spans="1:2" ht="15.75" customHeight="1" x14ac:dyDescent="0.3">
      <c r="A1688" s="2" t="s">
        <v>1625</v>
      </c>
      <c r="B1688" s="2" t="s">
        <v>2357</v>
      </c>
    </row>
    <row r="1689" spans="1:2" ht="15.75" customHeight="1" x14ac:dyDescent="0.3">
      <c r="A1689" s="2" t="s">
        <v>2312</v>
      </c>
      <c r="B1689" s="2" t="s">
        <v>2358</v>
      </c>
    </row>
    <row r="1690" spans="1:2" ht="15.75" customHeight="1" x14ac:dyDescent="0.3">
      <c r="A1690" s="2" t="s">
        <v>1858</v>
      </c>
      <c r="B1690" s="2" t="s">
        <v>2357</v>
      </c>
    </row>
    <row r="1691" spans="1:2" ht="15.75" customHeight="1" x14ac:dyDescent="0.3">
      <c r="A1691" s="2" t="s">
        <v>2129</v>
      </c>
      <c r="B1691" s="2" t="s">
        <v>2360</v>
      </c>
    </row>
    <row r="1692" spans="1:2" ht="15.75" customHeight="1" x14ac:dyDescent="0.3">
      <c r="A1692" s="2" t="s">
        <v>1115</v>
      </c>
      <c r="B1692" s="2" t="s">
        <v>2357</v>
      </c>
    </row>
    <row r="1693" spans="1:2" ht="15.75" customHeight="1" x14ac:dyDescent="0.3">
      <c r="A1693" s="2" t="s">
        <v>1495</v>
      </c>
      <c r="B1693" s="2" t="s">
        <v>2357</v>
      </c>
    </row>
    <row r="1694" spans="1:2" ht="15.75" customHeight="1" x14ac:dyDescent="0.3">
      <c r="A1694" s="2" t="s">
        <v>152</v>
      </c>
      <c r="B1694" s="2" t="s">
        <v>2357</v>
      </c>
    </row>
    <row r="1695" spans="1:2" ht="15.75" customHeight="1" x14ac:dyDescent="0.3">
      <c r="A1695" s="2" t="s">
        <v>1993</v>
      </c>
      <c r="B1695" s="2" t="s">
        <v>2357</v>
      </c>
    </row>
    <row r="1696" spans="1:2" ht="15.75" customHeight="1" x14ac:dyDescent="0.3">
      <c r="A1696" s="2" t="s">
        <v>734</v>
      </c>
      <c r="B1696" s="2" t="s">
        <v>2359</v>
      </c>
    </row>
    <row r="1697" spans="1:2" ht="15.75" customHeight="1" x14ac:dyDescent="0.3">
      <c r="A1697" s="2" t="s">
        <v>1252</v>
      </c>
      <c r="B1697" s="2" t="s">
        <v>2357</v>
      </c>
    </row>
    <row r="1698" spans="1:2" ht="15.75" customHeight="1" x14ac:dyDescent="0.3">
      <c r="A1698" s="2" t="s">
        <v>369</v>
      </c>
      <c r="B1698" s="2" t="s">
        <v>2357</v>
      </c>
    </row>
    <row r="1699" spans="1:2" ht="15.75" customHeight="1" x14ac:dyDescent="0.3">
      <c r="A1699" s="2" t="s">
        <v>1787</v>
      </c>
      <c r="B1699" s="2" t="s">
        <v>2357</v>
      </c>
    </row>
    <row r="1700" spans="1:2" ht="15.75" customHeight="1" x14ac:dyDescent="0.3">
      <c r="A1700" s="2" t="s">
        <v>2218</v>
      </c>
      <c r="B1700" s="2" t="s">
        <v>2357</v>
      </c>
    </row>
    <row r="1701" spans="1:2" ht="15.75" customHeight="1" x14ac:dyDescent="0.3">
      <c r="A1701" s="2" t="s">
        <v>521</v>
      </c>
      <c r="B1701" s="2" t="s">
        <v>2359</v>
      </c>
    </row>
    <row r="1702" spans="1:2" ht="15.75" customHeight="1" x14ac:dyDescent="0.3">
      <c r="A1702" s="2" t="s">
        <v>2336</v>
      </c>
      <c r="B1702" s="2" t="s">
        <v>2357</v>
      </c>
    </row>
    <row r="1703" spans="1:2" ht="15.75" customHeight="1" x14ac:dyDescent="0.3">
      <c r="A1703" s="2" t="s">
        <v>1027</v>
      </c>
      <c r="B1703" s="2" t="s">
        <v>2356</v>
      </c>
    </row>
    <row r="1704" spans="1:2" ht="15.75" customHeight="1" x14ac:dyDescent="0.3">
      <c r="A1704" s="2" t="s">
        <v>1330</v>
      </c>
      <c r="B1704" s="2" t="s">
        <v>2359</v>
      </c>
    </row>
    <row r="1705" spans="1:2" ht="15.75" customHeight="1" x14ac:dyDescent="0.3">
      <c r="A1705" s="2" t="s">
        <v>592</v>
      </c>
      <c r="B1705" s="2" t="s">
        <v>2357</v>
      </c>
    </row>
    <row r="1706" spans="1:2" ht="15.75" customHeight="1" x14ac:dyDescent="0.3">
      <c r="A1706" s="2" t="s">
        <v>1472</v>
      </c>
      <c r="B1706" s="2" t="s">
        <v>2357</v>
      </c>
    </row>
    <row r="1707" spans="1:2" ht="15.75" customHeight="1" x14ac:dyDescent="0.3">
      <c r="A1707" s="2" t="s">
        <v>1152</v>
      </c>
      <c r="B1707" s="2" t="s">
        <v>2357</v>
      </c>
    </row>
    <row r="1708" spans="1:2" ht="15.75" customHeight="1" x14ac:dyDescent="0.3">
      <c r="A1708" s="2" t="s">
        <v>367</v>
      </c>
      <c r="B1708" s="2" t="s">
        <v>2357</v>
      </c>
    </row>
    <row r="1709" spans="1:2" ht="15.75" customHeight="1" x14ac:dyDescent="0.3">
      <c r="A1709" s="2" t="s">
        <v>452</v>
      </c>
      <c r="B1709" s="2" t="s">
        <v>2357</v>
      </c>
    </row>
    <row r="1710" spans="1:2" ht="15.75" customHeight="1" x14ac:dyDescent="0.3">
      <c r="A1710" s="2" t="s">
        <v>1712</v>
      </c>
      <c r="B1710" s="2" t="s">
        <v>2357</v>
      </c>
    </row>
    <row r="1711" spans="1:2" ht="15.75" customHeight="1" x14ac:dyDescent="0.3">
      <c r="A1711" s="2" t="s">
        <v>738</v>
      </c>
      <c r="B1711" s="2" t="s">
        <v>2356</v>
      </c>
    </row>
    <row r="1712" spans="1:2" ht="15.75" customHeight="1" x14ac:dyDescent="0.3">
      <c r="A1712" s="2" t="s">
        <v>727</v>
      </c>
      <c r="B1712" s="2" t="s">
        <v>2357</v>
      </c>
    </row>
    <row r="1713" spans="1:2" ht="15.75" customHeight="1" x14ac:dyDescent="0.3">
      <c r="A1713" s="2" t="s">
        <v>482</v>
      </c>
      <c r="B1713" s="2" t="s">
        <v>2357</v>
      </c>
    </row>
    <row r="1714" spans="1:2" ht="15.75" customHeight="1" x14ac:dyDescent="0.3">
      <c r="A1714" s="2" t="s">
        <v>1749</v>
      </c>
      <c r="B1714" s="2" t="s">
        <v>2357</v>
      </c>
    </row>
    <row r="1715" spans="1:2" ht="15.75" customHeight="1" x14ac:dyDescent="0.3">
      <c r="A1715" s="2" t="s">
        <v>1591</v>
      </c>
      <c r="B1715" s="2" t="s">
        <v>2357</v>
      </c>
    </row>
    <row r="1716" spans="1:2" ht="15.75" customHeight="1" x14ac:dyDescent="0.3">
      <c r="A1716" s="2" t="s">
        <v>998</v>
      </c>
      <c r="B1716" s="2" t="s">
        <v>2357</v>
      </c>
    </row>
    <row r="1717" spans="1:2" ht="15.75" customHeight="1" x14ac:dyDescent="0.3">
      <c r="A1717" s="2" t="s">
        <v>193</v>
      </c>
      <c r="B1717" s="2" t="s">
        <v>2356</v>
      </c>
    </row>
    <row r="1718" spans="1:2" ht="15.75" customHeight="1" x14ac:dyDescent="0.3">
      <c r="A1718" s="2" t="s">
        <v>1676</v>
      </c>
      <c r="B1718" s="2" t="s">
        <v>2357</v>
      </c>
    </row>
    <row r="1719" spans="1:2" ht="15.75" customHeight="1" x14ac:dyDescent="0.3">
      <c r="A1719" s="2" t="s">
        <v>2138</v>
      </c>
      <c r="B1719" s="2" t="s">
        <v>2360</v>
      </c>
    </row>
    <row r="1720" spans="1:2" ht="15.75" customHeight="1" x14ac:dyDescent="0.3">
      <c r="A1720" s="2" t="s">
        <v>1622</v>
      </c>
      <c r="B1720" s="2" t="s">
        <v>2357</v>
      </c>
    </row>
    <row r="1721" spans="1:2" ht="15.75" customHeight="1" x14ac:dyDescent="0.3">
      <c r="A1721" s="2" t="s">
        <v>458</v>
      </c>
      <c r="B1721" s="2" t="s">
        <v>2357</v>
      </c>
    </row>
    <row r="1722" spans="1:2" ht="15.75" customHeight="1" x14ac:dyDescent="0.3">
      <c r="A1722" s="2" t="s">
        <v>1412</v>
      </c>
      <c r="B1722" s="2" t="s">
        <v>2357</v>
      </c>
    </row>
    <row r="1723" spans="1:2" ht="15.75" customHeight="1" x14ac:dyDescent="0.3">
      <c r="A1723" s="2" t="s">
        <v>1775</v>
      </c>
      <c r="B1723" s="2" t="s">
        <v>2357</v>
      </c>
    </row>
    <row r="1724" spans="1:2" ht="15.75" customHeight="1" x14ac:dyDescent="0.3">
      <c r="A1724" s="2" t="s">
        <v>343</v>
      </c>
      <c r="B1724" s="2" t="s">
        <v>2357</v>
      </c>
    </row>
    <row r="1725" spans="1:2" ht="15.75" customHeight="1" x14ac:dyDescent="0.3">
      <c r="A1725" s="2" t="s">
        <v>2024</v>
      </c>
      <c r="B1725" s="2" t="s">
        <v>2357</v>
      </c>
    </row>
    <row r="1726" spans="1:2" ht="15.75" customHeight="1" x14ac:dyDescent="0.3">
      <c r="A1726" s="2" t="s">
        <v>614</v>
      </c>
      <c r="B1726" s="2" t="s">
        <v>2357</v>
      </c>
    </row>
    <row r="1727" spans="1:2" ht="15.75" customHeight="1" x14ac:dyDescent="0.3">
      <c r="A1727" s="2" t="s">
        <v>239</v>
      </c>
      <c r="B1727" s="2" t="s">
        <v>2357</v>
      </c>
    </row>
    <row r="1728" spans="1:2" ht="15.75" customHeight="1" x14ac:dyDescent="0.3">
      <c r="A1728" s="2" t="s">
        <v>1889</v>
      </c>
      <c r="B1728" s="2" t="s">
        <v>2357</v>
      </c>
    </row>
    <row r="1729" spans="1:2" ht="15.75" customHeight="1" x14ac:dyDescent="0.3">
      <c r="A1729" s="2" t="s">
        <v>895</v>
      </c>
      <c r="B1729" s="2" t="s">
        <v>2359</v>
      </c>
    </row>
    <row r="1730" spans="1:2" ht="15.75" customHeight="1" x14ac:dyDescent="0.3">
      <c r="A1730" s="2" t="s">
        <v>1037</v>
      </c>
      <c r="B1730" s="2" t="s">
        <v>2357</v>
      </c>
    </row>
    <row r="1731" spans="1:2" ht="15.75" customHeight="1" x14ac:dyDescent="0.3">
      <c r="A1731" s="2" t="s">
        <v>99</v>
      </c>
      <c r="B1731" s="2" t="s">
        <v>2356</v>
      </c>
    </row>
    <row r="1732" spans="1:2" ht="15.75" customHeight="1" x14ac:dyDescent="0.3">
      <c r="A1732" s="2" t="s">
        <v>1235</v>
      </c>
      <c r="B1732" s="2" t="s">
        <v>2357</v>
      </c>
    </row>
    <row r="1733" spans="1:2" ht="15.75" customHeight="1" x14ac:dyDescent="0.3">
      <c r="A1733" s="2" t="s">
        <v>519</v>
      </c>
      <c r="B1733" s="2" t="s">
        <v>2357</v>
      </c>
    </row>
    <row r="1734" spans="1:2" ht="15.75" customHeight="1" x14ac:dyDescent="0.3">
      <c r="A1734" s="2" t="s">
        <v>1692</v>
      </c>
      <c r="B1734" s="2" t="s">
        <v>2357</v>
      </c>
    </row>
    <row r="1735" spans="1:2" ht="15.75" customHeight="1" x14ac:dyDescent="0.3">
      <c r="A1735" s="2" t="s">
        <v>1320</v>
      </c>
      <c r="B1735" s="2" t="s">
        <v>2357</v>
      </c>
    </row>
    <row r="1736" spans="1:2" ht="15.75" customHeight="1" x14ac:dyDescent="0.3">
      <c r="A1736" s="2" t="s">
        <v>1218</v>
      </c>
      <c r="B1736" s="2" t="s">
        <v>2357</v>
      </c>
    </row>
    <row r="1737" spans="1:2" ht="15.75" customHeight="1" x14ac:dyDescent="0.3">
      <c r="A1737" s="2" t="s">
        <v>2016</v>
      </c>
      <c r="B1737" s="2" t="s">
        <v>2357</v>
      </c>
    </row>
    <row r="1738" spans="1:2" ht="15.75" customHeight="1" x14ac:dyDescent="0.3">
      <c r="A1738" s="2" t="s">
        <v>1899</v>
      </c>
      <c r="B1738" s="2" t="s">
        <v>2357</v>
      </c>
    </row>
    <row r="1739" spans="1:2" ht="15.75" customHeight="1" x14ac:dyDescent="0.3">
      <c r="A1739" s="2" t="s">
        <v>1312</v>
      </c>
      <c r="B1739" s="2" t="s">
        <v>2356</v>
      </c>
    </row>
    <row r="1740" spans="1:2" ht="15.75" customHeight="1" x14ac:dyDescent="0.3">
      <c r="A1740" s="2" t="s">
        <v>423</v>
      </c>
      <c r="B1740" s="2" t="s">
        <v>2357</v>
      </c>
    </row>
    <row r="1741" spans="1:2" ht="15.75" customHeight="1" x14ac:dyDescent="0.3">
      <c r="A1741" s="2" t="s">
        <v>1834</v>
      </c>
      <c r="B1741" s="2" t="s">
        <v>2357</v>
      </c>
    </row>
    <row r="1742" spans="1:2" ht="15.75" customHeight="1" x14ac:dyDescent="0.3">
      <c r="A1742" s="2" t="s">
        <v>25</v>
      </c>
      <c r="B1742" s="2" t="s">
        <v>2357</v>
      </c>
    </row>
    <row r="1743" spans="1:2" ht="15.75" customHeight="1" x14ac:dyDescent="0.3">
      <c r="A1743" s="2" t="s">
        <v>2158</v>
      </c>
      <c r="B1743" s="2" t="s">
        <v>2360</v>
      </c>
    </row>
    <row r="1744" spans="1:2" ht="15.75" customHeight="1" x14ac:dyDescent="0.3">
      <c r="A1744" s="2" t="s">
        <v>2297</v>
      </c>
      <c r="B1744" s="2" t="s">
        <v>2360</v>
      </c>
    </row>
    <row r="1745" spans="1:2" ht="15.75" customHeight="1" x14ac:dyDescent="0.3">
      <c r="A1745" s="2" t="s">
        <v>1810</v>
      </c>
      <c r="B1745" s="2" t="s">
        <v>2357</v>
      </c>
    </row>
    <row r="1746" spans="1:2" ht="15.75" customHeight="1" x14ac:dyDescent="0.3">
      <c r="A1746" s="2" t="s">
        <v>2084</v>
      </c>
      <c r="B1746" s="2" t="s">
        <v>2357</v>
      </c>
    </row>
    <row r="1747" spans="1:2" ht="15.75" customHeight="1" x14ac:dyDescent="0.3">
      <c r="A1747" s="2" t="s">
        <v>1514</v>
      </c>
      <c r="B1747" s="2" t="s">
        <v>2357</v>
      </c>
    </row>
    <row r="1748" spans="1:2" ht="15.75" customHeight="1" x14ac:dyDescent="0.3">
      <c r="A1748" s="2" t="s">
        <v>1707</v>
      </c>
      <c r="B1748" s="2" t="s">
        <v>2357</v>
      </c>
    </row>
    <row r="1749" spans="1:2" ht="15.75" customHeight="1" x14ac:dyDescent="0.3">
      <c r="A1749" s="2" t="s">
        <v>2206</v>
      </c>
      <c r="B1749" s="2" t="s">
        <v>2358</v>
      </c>
    </row>
    <row r="1750" spans="1:2" ht="15.75" customHeight="1" x14ac:dyDescent="0.3">
      <c r="A1750" s="2" t="s">
        <v>1922</v>
      </c>
      <c r="B1750" s="2" t="s">
        <v>2359</v>
      </c>
    </row>
    <row r="1751" spans="1:2" ht="15.75" customHeight="1" x14ac:dyDescent="0.3">
      <c r="A1751" s="2" t="s">
        <v>1747</v>
      </c>
      <c r="B1751" s="2" t="s">
        <v>2356</v>
      </c>
    </row>
    <row r="1752" spans="1:2" ht="15.75" customHeight="1" x14ac:dyDescent="0.3">
      <c r="A1752" s="2" t="s">
        <v>308</v>
      </c>
      <c r="B1752" s="2" t="s">
        <v>2357</v>
      </c>
    </row>
    <row r="1753" spans="1:2" ht="15.75" customHeight="1" x14ac:dyDescent="0.3">
      <c r="A1753" s="2" t="s">
        <v>1477</v>
      </c>
      <c r="B1753" s="2" t="s">
        <v>2357</v>
      </c>
    </row>
    <row r="1754" spans="1:2" ht="15.75" customHeight="1" x14ac:dyDescent="0.3">
      <c r="A1754" s="2" t="s">
        <v>848</v>
      </c>
      <c r="B1754" s="2" t="s">
        <v>2356</v>
      </c>
    </row>
    <row r="1755" spans="1:2" ht="15.75" customHeight="1" x14ac:dyDescent="0.3">
      <c r="A1755" s="2" t="s">
        <v>1684</v>
      </c>
      <c r="B1755" s="2" t="s">
        <v>2356</v>
      </c>
    </row>
    <row r="1756" spans="1:2" ht="15.75" customHeight="1" x14ac:dyDescent="0.3">
      <c r="A1756" s="2" t="s">
        <v>1558</v>
      </c>
      <c r="B1756" s="2" t="s">
        <v>2357</v>
      </c>
    </row>
    <row r="1757" spans="1:2" ht="15.75" customHeight="1" x14ac:dyDescent="0.3">
      <c r="A1757" s="2" t="s">
        <v>1891</v>
      </c>
      <c r="B1757" s="2" t="s">
        <v>2357</v>
      </c>
    </row>
    <row r="1758" spans="1:2" ht="15.75" customHeight="1" x14ac:dyDescent="0.3">
      <c r="A1758" s="2" t="s">
        <v>1586</v>
      </c>
      <c r="B1758" s="2" t="s">
        <v>2357</v>
      </c>
    </row>
    <row r="1759" spans="1:2" ht="15.75" customHeight="1" x14ac:dyDescent="0.3">
      <c r="A1759" s="2" t="s">
        <v>937</v>
      </c>
      <c r="B1759" s="2" t="s">
        <v>2357</v>
      </c>
    </row>
    <row r="1760" spans="1:2" ht="15.75" customHeight="1" x14ac:dyDescent="0.3">
      <c r="A1760" s="2" t="s">
        <v>1469</v>
      </c>
      <c r="B1760" s="2" t="s">
        <v>2357</v>
      </c>
    </row>
    <row r="1761" spans="1:2" ht="15.75" customHeight="1" x14ac:dyDescent="0.3">
      <c r="A1761" s="2" t="s">
        <v>2223</v>
      </c>
      <c r="B1761" s="2" t="s">
        <v>2357</v>
      </c>
    </row>
    <row r="1762" spans="1:2" ht="15.75" customHeight="1" x14ac:dyDescent="0.3">
      <c r="A1762" s="2" t="s">
        <v>1190</v>
      </c>
      <c r="B1762" s="2" t="s">
        <v>2357</v>
      </c>
    </row>
    <row r="1763" spans="1:2" ht="15.75" customHeight="1" x14ac:dyDescent="0.3">
      <c r="A1763" s="2" t="s">
        <v>1104</v>
      </c>
      <c r="B1763" s="2" t="s">
        <v>2357</v>
      </c>
    </row>
    <row r="1764" spans="1:2" ht="15.75" customHeight="1" x14ac:dyDescent="0.3">
      <c r="A1764" s="2" t="s">
        <v>187</v>
      </c>
      <c r="B1764" s="2" t="s">
        <v>2356</v>
      </c>
    </row>
    <row r="1765" spans="1:2" ht="15.75" customHeight="1" x14ac:dyDescent="0.3">
      <c r="A1765" s="2" t="s">
        <v>910</v>
      </c>
      <c r="B1765" s="2" t="s">
        <v>2356</v>
      </c>
    </row>
    <row r="1766" spans="1:2" ht="15.75" customHeight="1" x14ac:dyDescent="0.3">
      <c r="A1766" s="2" t="s">
        <v>2054</v>
      </c>
      <c r="B1766" s="2" t="s">
        <v>2357</v>
      </c>
    </row>
    <row r="1767" spans="1:2" ht="15.75" customHeight="1" x14ac:dyDescent="0.3">
      <c r="A1767" s="2" t="s">
        <v>1836</v>
      </c>
      <c r="B1767" s="2" t="s">
        <v>2357</v>
      </c>
    </row>
    <row r="1768" spans="1:2" ht="15.75" customHeight="1" x14ac:dyDescent="0.3">
      <c r="A1768" s="2" t="s">
        <v>775</v>
      </c>
      <c r="B1768" s="2" t="s">
        <v>2357</v>
      </c>
    </row>
    <row r="1769" spans="1:2" ht="15.75" customHeight="1" x14ac:dyDescent="0.3">
      <c r="A1769" s="2" t="s">
        <v>640</v>
      </c>
      <c r="B1769" s="2" t="s">
        <v>2357</v>
      </c>
    </row>
    <row r="1770" spans="1:2" ht="15.75" customHeight="1" x14ac:dyDescent="0.3">
      <c r="A1770" s="2" t="s">
        <v>646</v>
      </c>
      <c r="B1770" s="2" t="s">
        <v>2357</v>
      </c>
    </row>
    <row r="1771" spans="1:2" ht="15.75" customHeight="1" x14ac:dyDescent="0.3">
      <c r="A1771" s="2" t="s">
        <v>325</v>
      </c>
      <c r="B1771" s="2" t="s">
        <v>2357</v>
      </c>
    </row>
    <row r="1772" spans="1:2" ht="15.75" customHeight="1" x14ac:dyDescent="0.3">
      <c r="A1772" s="2" t="s">
        <v>2108</v>
      </c>
      <c r="B1772" s="2" t="s">
        <v>2356</v>
      </c>
    </row>
    <row r="1773" spans="1:2" ht="15.75" customHeight="1" x14ac:dyDescent="0.3">
      <c r="A1773" s="2" t="s">
        <v>1447</v>
      </c>
      <c r="B1773" s="2" t="s">
        <v>2357</v>
      </c>
    </row>
    <row r="1774" spans="1:2" ht="15.75" customHeight="1" x14ac:dyDescent="0.3">
      <c r="A1774" s="2" t="s">
        <v>733</v>
      </c>
      <c r="B1774" s="2" t="s">
        <v>2357</v>
      </c>
    </row>
    <row r="1775" spans="1:2" ht="15.75" customHeight="1" x14ac:dyDescent="0.3">
      <c r="A1775" s="2" t="s">
        <v>1493</v>
      </c>
      <c r="B1775" s="2" t="s">
        <v>2356</v>
      </c>
    </row>
    <row r="1776" spans="1:2" ht="15.75" customHeight="1" x14ac:dyDescent="0.3">
      <c r="A1776" s="2" t="s">
        <v>539</v>
      </c>
      <c r="B1776" s="2" t="s">
        <v>2357</v>
      </c>
    </row>
    <row r="1777" spans="1:2" ht="15.75" customHeight="1" x14ac:dyDescent="0.3">
      <c r="A1777" s="2" t="s">
        <v>1402</v>
      </c>
      <c r="B1777" s="2" t="s">
        <v>2357</v>
      </c>
    </row>
    <row r="1778" spans="1:2" ht="15.75" customHeight="1" x14ac:dyDescent="0.3">
      <c r="A1778" s="2" t="s">
        <v>1773</v>
      </c>
      <c r="B1778" s="2" t="s">
        <v>2357</v>
      </c>
    </row>
    <row r="1779" spans="1:2" ht="15.75" customHeight="1" x14ac:dyDescent="0.3">
      <c r="A1779" s="2" t="s">
        <v>1131</v>
      </c>
      <c r="B1779" s="2" t="s">
        <v>2357</v>
      </c>
    </row>
    <row r="1780" spans="1:2" ht="15.75" customHeight="1" x14ac:dyDescent="0.3">
      <c r="A1780" s="2" t="s">
        <v>1650</v>
      </c>
      <c r="B1780" s="2" t="s">
        <v>2356</v>
      </c>
    </row>
    <row r="1781" spans="1:2" ht="15.75" customHeight="1" x14ac:dyDescent="0.3">
      <c r="A1781" s="2" t="s">
        <v>1776</v>
      </c>
      <c r="B1781" s="2" t="s">
        <v>2357</v>
      </c>
    </row>
    <row r="1782" spans="1:2" ht="15.75" customHeight="1" x14ac:dyDescent="0.3">
      <c r="A1782" s="2" t="s">
        <v>268</v>
      </c>
      <c r="B1782" s="2" t="s">
        <v>2357</v>
      </c>
    </row>
    <row r="1783" spans="1:2" ht="15.75" customHeight="1" x14ac:dyDescent="0.3">
      <c r="A1783" s="2" t="s">
        <v>1078</v>
      </c>
      <c r="B1783" s="2" t="s">
        <v>2357</v>
      </c>
    </row>
    <row r="1784" spans="1:2" ht="15.75" customHeight="1" x14ac:dyDescent="0.3">
      <c r="A1784" s="2" t="s">
        <v>2094</v>
      </c>
      <c r="B1784" s="2" t="s">
        <v>2357</v>
      </c>
    </row>
    <row r="1785" spans="1:2" ht="15.75" customHeight="1" x14ac:dyDescent="0.3">
      <c r="A1785" s="2" t="s">
        <v>1674</v>
      </c>
      <c r="B1785" s="2" t="s">
        <v>2357</v>
      </c>
    </row>
    <row r="1786" spans="1:2" ht="15.75" customHeight="1" x14ac:dyDescent="0.3">
      <c r="A1786" s="2" t="s">
        <v>2077</v>
      </c>
      <c r="B1786" s="2" t="s">
        <v>2357</v>
      </c>
    </row>
    <row r="1787" spans="1:2" ht="15.75" customHeight="1" x14ac:dyDescent="0.3">
      <c r="A1787" s="2" t="s">
        <v>1940</v>
      </c>
      <c r="B1787" s="2" t="s">
        <v>2357</v>
      </c>
    </row>
    <row r="1788" spans="1:2" ht="15.75" customHeight="1" x14ac:dyDescent="0.3">
      <c r="A1788" s="2" t="s">
        <v>1967</v>
      </c>
      <c r="B1788" s="2" t="s">
        <v>2357</v>
      </c>
    </row>
    <row r="1789" spans="1:2" ht="15.75" customHeight="1" x14ac:dyDescent="0.3">
      <c r="A1789" s="2" t="s">
        <v>1910</v>
      </c>
      <c r="B1789" s="2" t="s">
        <v>2359</v>
      </c>
    </row>
    <row r="1790" spans="1:2" ht="15.75" customHeight="1" x14ac:dyDescent="0.3">
      <c r="A1790" s="2" t="s">
        <v>1269</v>
      </c>
      <c r="B1790" s="2" t="s">
        <v>2357</v>
      </c>
    </row>
    <row r="1791" spans="1:2" ht="15.75" customHeight="1" x14ac:dyDescent="0.3">
      <c r="A1791" s="2" t="s">
        <v>1888</v>
      </c>
      <c r="B1791" s="2" t="s">
        <v>2357</v>
      </c>
    </row>
    <row r="1792" spans="1:2" ht="15.75" customHeight="1" x14ac:dyDescent="0.3">
      <c r="A1792" s="2" t="s">
        <v>2231</v>
      </c>
      <c r="B1792" s="2" t="s">
        <v>2360</v>
      </c>
    </row>
    <row r="1793" spans="1:2" ht="15.75" customHeight="1" x14ac:dyDescent="0.3">
      <c r="A1793" s="2" t="s">
        <v>1481</v>
      </c>
      <c r="B1793" s="2" t="s">
        <v>2356</v>
      </c>
    </row>
    <row r="1794" spans="1:2" ht="15.75" customHeight="1" x14ac:dyDescent="0.3">
      <c r="A1794" s="2" t="s">
        <v>1560</v>
      </c>
      <c r="B1794" s="2" t="s">
        <v>2357</v>
      </c>
    </row>
    <row r="1795" spans="1:2" ht="15.75" customHeight="1" x14ac:dyDescent="0.3">
      <c r="A1795" s="2" t="s">
        <v>1367</v>
      </c>
      <c r="B1795" s="2" t="s">
        <v>2357</v>
      </c>
    </row>
    <row r="1796" spans="1:2" ht="15.75" customHeight="1" x14ac:dyDescent="0.3">
      <c r="A1796" s="2" t="s">
        <v>1345</v>
      </c>
      <c r="B1796" s="2" t="s">
        <v>2357</v>
      </c>
    </row>
    <row r="1797" spans="1:2" ht="15.75" customHeight="1" x14ac:dyDescent="0.3">
      <c r="A1797" s="2" t="s">
        <v>185</v>
      </c>
      <c r="B1797" s="2" t="s">
        <v>2356</v>
      </c>
    </row>
    <row r="1798" spans="1:2" ht="15.75" customHeight="1" x14ac:dyDescent="0.3">
      <c r="A1798" s="2" t="s">
        <v>2348</v>
      </c>
      <c r="B1798" s="2" t="s">
        <v>2360</v>
      </c>
    </row>
    <row r="1799" spans="1:2" ht="15.75" customHeight="1" x14ac:dyDescent="0.3">
      <c r="A1799" s="2" t="s">
        <v>607</v>
      </c>
      <c r="B1799" s="2" t="s">
        <v>2357</v>
      </c>
    </row>
    <row r="1800" spans="1:2" ht="15.75" customHeight="1" x14ac:dyDescent="0.3">
      <c r="A1800" s="2" t="s">
        <v>1219</v>
      </c>
      <c r="B1800" s="2" t="s">
        <v>2356</v>
      </c>
    </row>
    <row r="1801" spans="1:2" ht="15.75" customHeight="1" x14ac:dyDescent="0.3">
      <c r="A1801" s="2" t="s">
        <v>1568</v>
      </c>
      <c r="B1801" s="2" t="s">
        <v>2357</v>
      </c>
    </row>
    <row r="1802" spans="1:2" ht="15.75" customHeight="1" x14ac:dyDescent="0.3">
      <c r="A1802" s="2" t="s">
        <v>1871</v>
      </c>
      <c r="B1802" s="2" t="s">
        <v>2356</v>
      </c>
    </row>
    <row r="1803" spans="1:2" ht="15.75" customHeight="1" x14ac:dyDescent="0.3">
      <c r="A1803" s="2" t="s">
        <v>2189</v>
      </c>
      <c r="B1803" s="2" t="s">
        <v>2357</v>
      </c>
    </row>
    <row r="1804" spans="1:2" ht="15.75" customHeight="1" x14ac:dyDescent="0.3">
      <c r="A1804" s="2" t="s">
        <v>943</v>
      </c>
      <c r="B1804" s="2" t="s">
        <v>2356</v>
      </c>
    </row>
    <row r="1805" spans="1:2" ht="15.75" customHeight="1" x14ac:dyDescent="0.3">
      <c r="A1805" s="2" t="s">
        <v>403</v>
      </c>
      <c r="B1805" s="2" t="s">
        <v>2359</v>
      </c>
    </row>
    <row r="1806" spans="1:2" ht="15.75" customHeight="1" x14ac:dyDescent="0.3">
      <c r="A1806" s="2" t="s">
        <v>992</v>
      </c>
      <c r="B1806" s="2" t="s">
        <v>2357</v>
      </c>
    </row>
    <row r="1807" spans="1:2" ht="15.75" customHeight="1" x14ac:dyDescent="0.3">
      <c r="A1807" s="2" t="s">
        <v>1401</v>
      </c>
      <c r="B1807" s="2" t="s">
        <v>2357</v>
      </c>
    </row>
    <row r="1808" spans="1:2" ht="15.75" customHeight="1" x14ac:dyDescent="0.3">
      <c r="A1808" s="2" t="s">
        <v>1758</v>
      </c>
      <c r="B1808" s="2" t="s">
        <v>2356</v>
      </c>
    </row>
    <row r="1809" spans="1:2" ht="15.75" customHeight="1" x14ac:dyDescent="0.3">
      <c r="A1809" s="2" t="s">
        <v>2092</v>
      </c>
      <c r="B1809" s="2" t="s">
        <v>2357</v>
      </c>
    </row>
    <row r="1810" spans="1:2" ht="15.75" customHeight="1" x14ac:dyDescent="0.3">
      <c r="A1810" s="2" t="s">
        <v>1936</v>
      </c>
      <c r="B1810" s="2" t="s">
        <v>2357</v>
      </c>
    </row>
    <row r="1811" spans="1:2" ht="15.75" customHeight="1" x14ac:dyDescent="0.3">
      <c r="A1811" s="2" t="s">
        <v>1156</v>
      </c>
      <c r="B1811" s="2" t="s">
        <v>2357</v>
      </c>
    </row>
    <row r="1812" spans="1:2" ht="15.75" customHeight="1" x14ac:dyDescent="0.3">
      <c r="A1812" s="2" t="s">
        <v>2156</v>
      </c>
      <c r="B1812" s="2" t="s">
        <v>2360</v>
      </c>
    </row>
    <row r="1813" spans="1:2" ht="15.75" customHeight="1" x14ac:dyDescent="0.3">
      <c r="A1813" s="2" t="s">
        <v>1639</v>
      </c>
      <c r="B1813" s="2" t="s">
        <v>2357</v>
      </c>
    </row>
    <row r="1814" spans="1:2" ht="15.75" customHeight="1" x14ac:dyDescent="0.3">
      <c r="A1814" s="2" t="s">
        <v>886</v>
      </c>
      <c r="B1814" s="2" t="s">
        <v>2359</v>
      </c>
    </row>
    <row r="1815" spans="1:2" ht="15.75" customHeight="1" x14ac:dyDescent="0.3">
      <c r="A1815" s="2" t="s">
        <v>2259</v>
      </c>
      <c r="B1815" s="2" t="s">
        <v>2360</v>
      </c>
    </row>
    <row r="1816" spans="1:2" ht="15.75" customHeight="1" x14ac:dyDescent="0.3">
      <c r="A1816" s="2" t="s">
        <v>778</v>
      </c>
      <c r="B1816" s="2" t="s">
        <v>2357</v>
      </c>
    </row>
    <row r="1817" spans="1:2" ht="15.75" customHeight="1" x14ac:dyDescent="0.3">
      <c r="A1817" s="2" t="s">
        <v>297</v>
      </c>
      <c r="B1817" s="2" t="s">
        <v>2357</v>
      </c>
    </row>
    <row r="1818" spans="1:2" ht="15.75" customHeight="1" x14ac:dyDescent="0.3">
      <c r="A1818" s="2" t="s">
        <v>1045</v>
      </c>
      <c r="B1818" s="2" t="s">
        <v>2357</v>
      </c>
    </row>
    <row r="1819" spans="1:2" ht="15.75" customHeight="1" x14ac:dyDescent="0.3">
      <c r="A1819" s="2" t="s">
        <v>1451</v>
      </c>
      <c r="B1819" s="2" t="s">
        <v>2357</v>
      </c>
    </row>
    <row r="1820" spans="1:2" ht="15.75" customHeight="1" x14ac:dyDescent="0.3">
      <c r="A1820" s="2" t="s">
        <v>1287</v>
      </c>
      <c r="B1820" s="2" t="s">
        <v>2357</v>
      </c>
    </row>
    <row r="1821" spans="1:2" ht="15.75" customHeight="1" x14ac:dyDescent="0.3">
      <c r="A1821" s="2" t="s">
        <v>2267</v>
      </c>
      <c r="B1821" s="2" t="s">
        <v>2357</v>
      </c>
    </row>
    <row r="1822" spans="1:2" ht="15.75" customHeight="1" x14ac:dyDescent="0.3">
      <c r="A1822" s="2" t="s">
        <v>966</v>
      </c>
      <c r="B1822" s="2" t="s">
        <v>2357</v>
      </c>
    </row>
    <row r="1823" spans="1:2" ht="15.75" customHeight="1" x14ac:dyDescent="0.3">
      <c r="A1823" s="2" t="s">
        <v>490</v>
      </c>
      <c r="B1823" s="2" t="s">
        <v>2357</v>
      </c>
    </row>
    <row r="1824" spans="1:2" ht="15.75" customHeight="1" x14ac:dyDescent="0.3">
      <c r="A1824" s="2" t="s">
        <v>1161</v>
      </c>
      <c r="B1824" s="2" t="s">
        <v>2357</v>
      </c>
    </row>
    <row r="1825" spans="1:2" ht="15.75" customHeight="1" x14ac:dyDescent="0.3">
      <c r="A1825" s="2" t="s">
        <v>1907</v>
      </c>
      <c r="B1825" s="2" t="s">
        <v>2357</v>
      </c>
    </row>
    <row r="1826" spans="1:2" ht="15.75" customHeight="1" x14ac:dyDescent="0.3">
      <c r="A1826" s="2" t="s">
        <v>1982</v>
      </c>
      <c r="B1826" s="2" t="s">
        <v>2357</v>
      </c>
    </row>
    <row r="1827" spans="1:2" ht="15.75" customHeight="1" x14ac:dyDescent="0.3">
      <c r="A1827" s="2" t="s">
        <v>1520</v>
      </c>
      <c r="B1827" s="2" t="s">
        <v>2357</v>
      </c>
    </row>
    <row r="1828" spans="1:2" ht="15.75" customHeight="1" x14ac:dyDescent="0.3">
      <c r="A1828" s="2" t="s">
        <v>685</v>
      </c>
      <c r="B1828" s="2" t="s">
        <v>2357</v>
      </c>
    </row>
    <row r="1829" spans="1:2" ht="15.75" customHeight="1" x14ac:dyDescent="0.3">
      <c r="A1829" s="2" t="s">
        <v>2197</v>
      </c>
      <c r="B1829" s="2" t="s">
        <v>2357</v>
      </c>
    </row>
    <row r="1830" spans="1:2" ht="15.75" customHeight="1" x14ac:dyDescent="0.3">
      <c r="A1830" s="2" t="s">
        <v>1249</v>
      </c>
      <c r="B1830" s="2" t="s">
        <v>2357</v>
      </c>
    </row>
    <row r="1831" spans="1:2" ht="15.75" customHeight="1" x14ac:dyDescent="0.3">
      <c r="A1831" s="2" t="s">
        <v>1597</v>
      </c>
      <c r="B1831" s="2" t="s">
        <v>2357</v>
      </c>
    </row>
    <row r="1832" spans="1:2" ht="15.75" customHeight="1" x14ac:dyDescent="0.3">
      <c r="A1832" s="2" t="s">
        <v>847</v>
      </c>
      <c r="B1832" s="2" t="s">
        <v>2357</v>
      </c>
    </row>
    <row r="1833" spans="1:2" ht="15.75" customHeight="1" x14ac:dyDescent="0.3">
      <c r="A1833" s="2" t="s">
        <v>1164</v>
      </c>
      <c r="B1833" s="2" t="s">
        <v>2357</v>
      </c>
    </row>
    <row r="1834" spans="1:2" ht="15.75" customHeight="1" x14ac:dyDescent="0.3">
      <c r="A1834" s="2" t="s">
        <v>310</v>
      </c>
      <c r="B1834" s="2" t="s">
        <v>2357</v>
      </c>
    </row>
    <row r="1835" spans="1:2" ht="15.75" customHeight="1" x14ac:dyDescent="0.3">
      <c r="A1835" s="2" t="s">
        <v>1377</v>
      </c>
      <c r="B1835" s="2" t="s">
        <v>2357</v>
      </c>
    </row>
    <row r="1836" spans="1:2" ht="15.75" customHeight="1" x14ac:dyDescent="0.3">
      <c r="A1836" s="2" t="s">
        <v>526</v>
      </c>
      <c r="B1836" s="2" t="s">
        <v>2357</v>
      </c>
    </row>
    <row r="1837" spans="1:2" ht="15.75" customHeight="1" x14ac:dyDescent="0.3">
      <c r="A1837" s="2" t="s">
        <v>1972</v>
      </c>
      <c r="B1837" s="2" t="s">
        <v>2357</v>
      </c>
    </row>
    <row r="1838" spans="1:2" ht="15.75" customHeight="1" x14ac:dyDescent="0.3">
      <c r="A1838" s="2" t="s">
        <v>2078</v>
      </c>
      <c r="B1838" s="2" t="s">
        <v>2359</v>
      </c>
    </row>
    <row r="1839" spans="1:2" ht="15.75" customHeight="1" x14ac:dyDescent="0.3">
      <c r="A1839" s="2" t="s">
        <v>1805</v>
      </c>
      <c r="B1839" s="2" t="s">
        <v>2357</v>
      </c>
    </row>
    <row r="1840" spans="1:2" ht="15.75" customHeight="1" x14ac:dyDescent="0.3">
      <c r="A1840" s="2" t="s">
        <v>1693</v>
      </c>
      <c r="B1840" s="2" t="s">
        <v>2357</v>
      </c>
    </row>
    <row r="1841" spans="1:2" ht="15.75" customHeight="1" x14ac:dyDescent="0.3">
      <c r="A1841" s="2" t="s">
        <v>1901</v>
      </c>
      <c r="B1841" s="2" t="s">
        <v>2357</v>
      </c>
    </row>
    <row r="1842" spans="1:2" ht="15.75" customHeight="1" x14ac:dyDescent="0.3">
      <c r="A1842" s="2" t="s">
        <v>1379</v>
      </c>
      <c r="B1842" s="2" t="s">
        <v>2357</v>
      </c>
    </row>
    <row r="1843" spans="1:2" ht="15.75" customHeight="1" x14ac:dyDescent="0.3">
      <c r="A1843" s="2" t="s">
        <v>2287</v>
      </c>
      <c r="B1843" s="2" t="s">
        <v>2360</v>
      </c>
    </row>
    <row r="1844" spans="1:2" ht="15.75" customHeight="1" x14ac:dyDescent="0.3">
      <c r="A1844" s="2" t="s">
        <v>1414</v>
      </c>
      <c r="B1844" s="2" t="s">
        <v>2357</v>
      </c>
    </row>
    <row r="1845" spans="1:2" ht="15.75" customHeight="1" x14ac:dyDescent="0.3">
      <c r="A1845" s="2" t="s">
        <v>339</v>
      </c>
      <c r="B1845" s="2" t="s">
        <v>2357</v>
      </c>
    </row>
    <row r="1846" spans="1:2" ht="15.75" customHeight="1" x14ac:dyDescent="0.3">
      <c r="A1846" s="2" t="s">
        <v>1930</v>
      </c>
      <c r="B1846" s="2" t="s">
        <v>2356</v>
      </c>
    </row>
    <row r="1847" spans="1:2" ht="15.75" customHeight="1" x14ac:dyDescent="0.3">
      <c r="A1847" s="2" t="s">
        <v>2309</v>
      </c>
      <c r="B1847" s="2" t="s">
        <v>2357</v>
      </c>
    </row>
    <row r="1848" spans="1:2" ht="15.75" customHeight="1" x14ac:dyDescent="0.3">
      <c r="A1848" s="2" t="s">
        <v>1511</v>
      </c>
      <c r="B1848" s="2" t="s">
        <v>2357</v>
      </c>
    </row>
    <row r="1849" spans="1:2" ht="15.75" customHeight="1" x14ac:dyDescent="0.3">
      <c r="A1849" s="2" t="s">
        <v>981</v>
      </c>
      <c r="B1849" s="2" t="s">
        <v>2359</v>
      </c>
    </row>
    <row r="1850" spans="1:2" ht="15.75" customHeight="1" x14ac:dyDescent="0.3">
      <c r="A1850" s="2" t="s">
        <v>1378</v>
      </c>
      <c r="B1850" s="2" t="s">
        <v>2357</v>
      </c>
    </row>
    <row r="1851" spans="1:2" ht="15.75" customHeight="1" x14ac:dyDescent="0.3">
      <c r="A1851" s="2" t="s">
        <v>1013</v>
      </c>
      <c r="B1851" s="2" t="s">
        <v>2356</v>
      </c>
    </row>
    <row r="1852" spans="1:2" ht="15.75" customHeight="1" x14ac:dyDescent="0.3">
      <c r="A1852" s="2" t="s">
        <v>583</v>
      </c>
      <c r="B1852" s="2" t="s">
        <v>2356</v>
      </c>
    </row>
    <row r="1853" spans="1:2" ht="15.75" customHeight="1" x14ac:dyDescent="0.3">
      <c r="A1853" s="2" t="s">
        <v>1918</v>
      </c>
      <c r="B1853" s="2" t="s">
        <v>2357</v>
      </c>
    </row>
    <row r="1854" spans="1:2" ht="15.75" customHeight="1" x14ac:dyDescent="0.3">
      <c r="A1854" s="2" t="s">
        <v>498</v>
      </c>
      <c r="B1854" s="2" t="s">
        <v>2357</v>
      </c>
    </row>
    <row r="1855" spans="1:2" ht="15.75" customHeight="1" x14ac:dyDescent="0.3">
      <c r="A1855" s="2" t="s">
        <v>921</v>
      </c>
      <c r="B1855" s="2" t="s">
        <v>2356</v>
      </c>
    </row>
    <row r="1856" spans="1:2" ht="15.75" customHeight="1" x14ac:dyDescent="0.3">
      <c r="A1856" s="2" t="s">
        <v>18</v>
      </c>
      <c r="B1856" s="2" t="s">
        <v>2357</v>
      </c>
    </row>
    <row r="1857" spans="1:2" ht="15.75" customHeight="1" x14ac:dyDescent="0.3">
      <c r="A1857" s="2" t="s">
        <v>2032</v>
      </c>
      <c r="B1857" s="2" t="s">
        <v>2357</v>
      </c>
    </row>
    <row r="1858" spans="1:2" ht="15.75" customHeight="1" x14ac:dyDescent="0.3">
      <c r="A1858" s="2" t="s">
        <v>707</v>
      </c>
      <c r="B1858" s="2" t="s">
        <v>2357</v>
      </c>
    </row>
    <row r="1859" spans="1:2" ht="15.75" customHeight="1" x14ac:dyDescent="0.3">
      <c r="A1859" s="2" t="s">
        <v>2118</v>
      </c>
      <c r="B1859" s="2" t="s">
        <v>2360</v>
      </c>
    </row>
    <row r="1860" spans="1:2" ht="15.75" customHeight="1" x14ac:dyDescent="0.3">
      <c r="A1860" s="2" t="s">
        <v>1584</v>
      </c>
      <c r="B1860" s="2" t="s">
        <v>2357</v>
      </c>
    </row>
    <row r="1861" spans="1:2" ht="15.75" customHeight="1" x14ac:dyDescent="0.3">
      <c r="A1861" s="2" t="s">
        <v>2065</v>
      </c>
      <c r="B1861" s="2" t="s">
        <v>2357</v>
      </c>
    </row>
    <row r="1862" spans="1:2" ht="15.75" customHeight="1" x14ac:dyDescent="0.3">
      <c r="A1862" s="2" t="s">
        <v>1790</v>
      </c>
      <c r="B1862" s="2" t="s">
        <v>2357</v>
      </c>
    </row>
    <row r="1863" spans="1:2" ht="15.75" customHeight="1" x14ac:dyDescent="0.3">
      <c r="A1863" s="2" t="s">
        <v>1638</v>
      </c>
      <c r="B1863" s="2" t="s">
        <v>2357</v>
      </c>
    </row>
    <row r="1864" spans="1:2" ht="15.75" customHeight="1" x14ac:dyDescent="0.3">
      <c r="A1864" s="2" t="s">
        <v>2001</v>
      </c>
      <c r="B1864" s="2" t="s">
        <v>2357</v>
      </c>
    </row>
    <row r="1865" spans="1:2" ht="15.75" customHeight="1" x14ac:dyDescent="0.3">
      <c r="A1865" s="2" t="s">
        <v>1897</v>
      </c>
      <c r="B1865" s="2" t="s">
        <v>2357</v>
      </c>
    </row>
    <row r="1866" spans="1:2" ht="15.75" customHeight="1" x14ac:dyDescent="0.3">
      <c r="A1866" s="2" t="s">
        <v>1767</v>
      </c>
      <c r="B1866" s="2" t="s">
        <v>2357</v>
      </c>
    </row>
    <row r="1867" spans="1:2" ht="15.75" customHeight="1" x14ac:dyDescent="0.3">
      <c r="A1867" s="2" t="s">
        <v>1779</v>
      </c>
      <c r="B1867" s="2" t="s">
        <v>2357</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FF72F-70BC-4A84-B020-1558C15657EA}">
  <dimension ref="A3:G10"/>
  <sheetViews>
    <sheetView workbookViewId="0">
      <selection activeCell="H10" sqref="H10"/>
    </sheetView>
  </sheetViews>
  <sheetFormatPr defaultRowHeight="14.4" x14ac:dyDescent="0.3"/>
  <cols>
    <col min="1" max="1" width="13.109375" bestFit="1" customWidth="1"/>
    <col min="2" max="2" width="14.88671875" bestFit="1" customWidth="1"/>
    <col min="3" max="3" width="17.44140625" bestFit="1" customWidth="1"/>
    <col min="5" max="5" width="17" bestFit="1" customWidth="1"/>
  </cols>
  <sheetData>
    <row r="3" spans="1:7" x14ac:dyDescent="0.3">
      <c r="A3" s="12" t="s">
        <v>2369</v>
      </c>
      <c r="B3" t="s">
        <v>2370</v>
      </c>
      <c r="C3" t="s">
        <v>2377</v>
      </c>
    </row>
    <row r="4" spans="1:7" x14ac:dyDescent="0.3">
      <c r="A4" s="13" t="s">
        <v>2372</v>
      </c>
      <c r="B4" s="21">
        <v>10</v>
      </c>
      <c r="C4" s="6">
        <v>592000</v>
      </c>
    </row>
    <row r="5" spans="1:7" x14ac:dyDescent="0.3">
      <c r="A5" s="13" t="s">
        <v>2373</v>
      </c>
      <c r="B5" s="21">
        <v>1105</v>
      </c>
      <c r="C5" s="6">
        <v>41454500</v>
      </c>
    </row>
    <row r="6" spans="1:7" x14ac:dyDescent="0.3">
      <c r="A6" s="13" t="s">
        <v>2374</v>
      </c>
      <c r="B6" s="21">
        <v>1207</v>
      </c>
      <c r="C6" s="6">
        <v>46423250</v>
      </c>
      <c r="E6" s="6">
        <f>AVERAGE(C4:C9)</f>
        <v>38589675</v>
      </c>
      <c r="F6" s="20" t="s">
        <v>2411</v>
      </c>
      <c r="G6" s="20"/>
    </row>
    <row r="7" spans="1:7" x14ac:dyDescent="0.3">
      <c r="A7" s="13" t="s">
        <v>2375</v>
      </c>
      <c r="B7" s="21">
        <v>2896</v>
      </c>
      <c r="C7" s="6">
        <v>108161000</v>
      </c>
    </row>
    <row r="8" spans="1:7" x14ac:dyDescent="0.3">
      <c r="A8" s="13" t="s">
        <v>2376</v>
      </c>
      <c r="B8" s="21">
        <v>128</v>
      </c>
      <c r="C8" s="6">
        <v>6526750</v>
      </c>
    </row>
    <row r="9" spans="1:7" x14ac:dyDescent="0.3">
      <c r="A9" s="13" t="s">
        <v>2371</v>
      </c>
      <c r="B9" s="21">
        <v>585</v>
      </c>
      <c r="C9" s="6">
        <v>28380550</v>
      </c>
    </row>
    <row r="10" spans="1:7" x14ac:dyDescent="0.3">
      <c r="A10" s="13" t="s">
        <v>12</v>
      </c>
      <c r="B10" s="21">
        <v>5931</v>
      </c>
      <c r="C10" s="6">
        <v>231538050</v>
      </c>
    </row>
  </sheetData>
  <mergeCells count="1">
    <mergeCell ref="F6: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F9742-E019-46CC-B08B-6BE4EA9AE92D}">
  <dimension ref="A3:O42"/>
  <sheetViews>
    <sheetView workbookViewId="0">
      <selection activeCell="P29" sqref="P29"/>
    </sheetView>
  </sheetViews>
  <sheetFormatPr defaultRowHeight="14.4" x14ac:dyDescent="0.3"/>
  <cols>
    <col min="1" max="1" width="12.5546875" bestFit="1" customWidth="1"/>
    <col min="2" max="2" width="22.44140625" bestFit="1" customWidth="1"/>
    <col min="5" max="5" width="14.6640625" bestFit="1" customWidth="1"/>
    <col min="6" max="6" width="21.5546875" bestFit="1" customWidth="1"/>
    <col min="9" max="9" width="17.109375" bestFit="1" customWidth="1"/>
    <col min="10" max="10" width="24.77734375" bestFit="1" customWidth="1"/>
    <col min="11" max="11" width="17.44140625" bestFit="1" customWidth="1"/>
    <col min="12" max="12" width="15.33203125" bestFit="1" customWidth="1"/>
    <col min="13" max="13" width="21.44140625" bestFit="1" customWidth="1"/>
    <col min="14" max="15" width="17.44140625" bestFit="1" customWidth="1"/>
  </cols>
  <sheetData>
    <row r="3" spans="1:15" x14ac:dyDescent="0.3">
      <c r="A3" s="12" t="s">
        <v>2369</v>
      </c>
      <c r="B3" t="s">
        <v>2386</v>
      </c>
      <c r="E3" s="12" t="s">
        <v>2369</v>
      </c>
      <c r="F3" t="s">
        <v>2387</v>
      </c>
      <c r="I3" s="12" t="s">
        <v>2377</v>
      </c>
      <c r="J3" s="12" t="s">
        <v>2388</v>
      </c>
    </row>
    <row r="4" spans="1:15" x14ac:dyDescent="0.3">
      <c r="A4" s="13" t="s">
        <v>35</v>
      </c>
      <c r="B4" s="6">
        <v>3553450</v>
      </c>
      <c r="E4" s="13" t="s">
        <v>173</v>
      </c>
      <c r="F4" s="21">
        <v>46772.727272727272</v>
      </c>
      <c r="I4" s="12" t="s">
        <v>2369</v>
      </c>
      <c r="J4" t="s">
        <v>2359</v>
      </c>
      <c r="K4" t="s">
        <v>2357</v>
      </c>
      <c r="L4" t="s">
        <v>2360</v>
      </c>
      <c r="M4" t="s">
        <v>2356</v>
      </c>
      <c r="N4" t="s">
        <v>2358</v>
      </c>
      <c r="O4" t="s">
        <v>12</v>
      </c>
    </row>
    <row r="5" spans="1:15" x14ac:dyDescent="0.3">
      <c r="A5" s="13" t="s">
        <v>63</v>
      </c>
      <c r="B5" s="6">
        <v>3200600</v>
      </c>
      <c r="E5" s="13" t="s">
        <v>53</v>
      </c>
      <c r="F5" s="21">
        <v>17647.058823529413</v>
      </c>
      <c r="I5" s="13" t="s">
        <v>82</v>
      </c>
      <c r="J5" s="6">
        <v>2518900</v>
      </c>
      <c r="K5" s="6">
        <v>34287150</v>
      </c>
      <c r="L5" s="6">
        <v>1864100</v>
      </c>
      <c r="M5" s="6">
        <v>6209750</v>
      </c>
      <c r="N5" s="6">
        <v>1166550</v>
      </c>
      <c r="O5" s="6">
        <v>46046450</v>
      </c>
    </row>
    <row r="6" spans="1:15" x14ac:dyDescent="0.3">
      <c r="A6" s="13" t="s">
        <v>22</v>
      </c>
      <c r="B6" s="6">
        <v>3385200</v>
      </c>
      <c r="E6" s="13" t="s">
        <v>238</v>
      </c>
      <c r="F6" s="21">
        <v>26444.444444444445</v>
      </c>
      <c r="I6" s="13" t="s">
        <v>23</v>
      </c>
      <c r="J6" s="6">
        <v>3631500</v>
      </c>
      <c r="K6" s="6">
        <v>34824650</v>
      </c>
      <c r="L6" s="6">
        <v>1231150</v>
      </c>
      <c r="M6" s="6">
        <v>5833300</v>
      </c>
      <c r="N6" s="6">
        <v>1054000</v>
      </c>
      <c r="O6" s="6">
        <v>46574600</v>
      </c>
    </row>
    <row r="7" spans="1:15" x14ac:dyDescent="0.3">
      <c r="A7" s="13" t="s">
        <v>29</v>
      </c>
      <c r="B7" s="6">
        <v>3700700</v>
      </c>
      <c r="E7" s="13" t="s">
        <v>119</v>
      </c>
      <c r="F7" s="21">
        <v>0</v>
      </c>
      <c r="I7" s="13" t="s">
        <v>36</v>
      </c>
      <c r="J7" s="6">
        <v>2679950</v>
      </c>
      <c r="K7" s="6">
        <v>33355800</v>
      </c>
      <c r="L7" s="6">
        <v>1077400</v>
      </c>
      <c r="M7" s="6">
        <v>6535350</v>
      </c>
      <c r="N7" s="6">
        <v>1334050</v>
      </c>
      <c r="O7" s="6">
        <v>44982550</v>
      </c>
    </row>
    <row r="8" spans="1:15" x14ac:dyDescent="0.3">
      <c r="A8" s="13" t="s">
        <v>12</v>
      </c>
      <c r="B8" s="6">
        <v>13839950</v>
      </c>
      <c r="E8" s="13" t="s">
        <v>151</v>
      </c>
      <c r="F8" s="21">
        <v>52659.574468085106</v>
      </c>
      <c r="I8" s="13" t="s">
        <v>30</v>
      </c>
      <c r="J8" s="6">
        <v>1519900</v>
      </c>
      <c r="K8" s="6">
        <v>35524650</v>
      </c>
      <c r="L8" s="6">
        <v>2506550</v>
      </c>
      <c r="M8" s="6">
        <v>5826500</v>
      </c>
      <c r="N8" s="6">
        <v>2100050</v>
      </c>
      <c r="O8" s="6">
        <v>47477650</v>
      </c>
    </row>
    <row r="9" spans="1:15" x14ac:dyDescent="0.3">
      <c r="E9" s="13" t="s">
        <v>116</v>
      </c>
      <c r="F9" s="21">
        <v>70779.661016949147</v>
      </c>
      <c r="I9" s="13" t="s">
        <v>46</v>
      </c>
      <c r="J9" s="6">
        <v>2196000</v>
      </c>
      <c r="K9" s="6">
        <v>33457100</v>
      </c>
      <c r="L9" s="6">
        <v>1485200</v>
      </c>
      <c r="M9" s="6">
        <v>8585750</v>
      </c>
      <c r="N9" s="6">
        <v>732750</v>
      </c>
      <c r="O9" s="6">
        <v>46456800</v>
      </c>
    </row>
    <row r="10" spans="1:15" x14ac:dyDescent="0.3">
      <c r="E10" s="13" t="s">
        <v>57</v>
      </c>
      <c r="F10" s="21">
        <v>80000</v>
      </c>
      <c r="I10" s="13" t="s">
        <v>12</v>
      </c>
      <c r="J10" s="6">
        <v>12546250</v>
      </c>
      <c r="K10" s="6">
        <v>171449350</v>
      </c>
      <c r="L10" s="6">
        <v>8164400</v>
      </c>
      <c r="M10" s="6">
        <v>32990650</v>
      </c>
      <c r="N10" s="6">
        <v>6387400</v>
      </c>
      <c r="O10" s="6">
        <v>231538050</v>
      </c>
    </row>
    <row r="11" spans="1:15" x14ac:dyDescent="0.3">
      <c r="E11" s="13" t="s">
        <v>244</v>
      </c>
      <c r="F11" s="21">
        <v>74074.074074074073</v>
      </c>
    </row>
    <row r="12" spans="1:15" x14ac:dyDescent="0.3">
      <c r="E12" s="13" t="s">
        <v>107</v>
      </c>
      <c r="F12" s="21">
        <v>86640.776699029127</v>
      </c>
    </row>
    <row r="13" spans="1:15" x14ac:dyDescent="0.3">
      <c r="E13" s="13" t="s">
        <v>74</v>
      </c>
      <c r="F13" s="21">
        <v>83297.872340425529</v>
      </c>
    </row>
    <row r="14" spans="1:15" x14ac:dyDescent="0.3">
      <c r="E14" s="13" t="s">
        <v>92</v>
      </c>
      <c r="F14" s="21">
        <v>28750</v>
      </c>
    </row>
    <row r="15" spans="1:15" x14ac:dyDescent="0.3">
      <c r="E15" s="13" t="s">
        <v>66</v>
      </c>
      <c r="F15" s="21">
        <v>52789.473684210527</v>
      </c>
      <c r="I15" s="12" t="s">
        <v>2369</v>
      </c>
      <c r="J15" t="s">
        <v>2389</v>
      </c>
      <c r="M15" s="12" t="s">
        <v>2369</v>
      </c>
      <c r="N15" t="s">
        <v>2377</v>
      </c>
    </row>
    <row r="16" spans="1:15" x14ac:dyDescent="0.3">
      <c r="E16" s="13" t="s">
        <v>375</v>
      </c>
      <c r="F16" s="21">
        <v>21000</v>
      </c>
      <c r="I16" s="13" t="s">
        <v>37</v>
      </c>
      <c r="J16" s="21">
        <v>3.0275689223057642</v>
      </c>
      <c r="M16" s="13" t="s">
        <v>75</v>
      </c>
      <c r="N16" s="6">
        <v>14914750</v>
      </c>
    </row>
    <row r="17" spans="5:14" x14ac:dyDescent="0.3">
      <c r="E17" s="13" t="s">
        <v>126</v>
      </c>
      <c r="F17" s="21">
        <v>81529.411764705888</v>
      </c>
      <c r="I17" s="14" t="s">
        <v>2373</v>
      </c>
      <c r="J17" s="21">
        <v>2.8356164383561642</v>
      </c>
      <c r="M17" s="13" t="s">
        <v>21</v>
      </c>
      <c r="N17" s="6">
        <v>14698500</v>
      </c>
    </row>
    <row r="18" spans="5:14" x14ac:dyDescent="0.3">
      <c r="E18" s="13" t="s">
        <v>170</v>
      </c>
      <c r="F18" s="21">
        <v>43513.513513513513</v>
      </c>
      <c r="I18" s="14" t="s">
        <v>2374</v>
      </c>
      <c r="J18" s="21">
        <v>3.3</v>
      </c>
      <c r="M18" s="13" t="s">
        <v>62</v>
      </c>
      <c r="N18" s="6">
        <v>14227000</v>
      </c>
    </row>
    <row r="19" spans="5:14" x14ac:dyDescent="0.3">
      <c r="E19" s="13" t="s">
        <v>44</v>
      </c>
      <c r="F19" s="21">
        <v>84348.837209302321</v>
      </c>
      <c r="I19" s="14" t="s">
        <v>2375</v>
      </c>
      <c r="J19" s="21">
        <v>2.9953488372093022</v>
      </c>
      <c r="M19" s="13" t="s">
        <v>45</v>
      </c>
      <c r="N19" s="6">
        <v>14041000</v>
      </c>
    </row>
    <row r="20" spans="5:14" x14ac:dyDescent="0.3">
      <c r="E20" s="13" t="s">
        <v>113</v>
      </c>
      <c r="F20" s="21">
        <v>16524.590163934427</v>
      </c>
      <c r="I20" s="14" t="s">
        <v>2376</v>
      </c>
      <c r="J20" s="21">
        <v>2.3333333333333335</v>
      </c>
      <c r="M20" s="13" t="s">
        <v>186</v>
      </c>
      <c r="N20" s="6">
        <v>12372750</v>
      </c>
    </row>
    <row r="21" spans="5:14" x14ac:dyDescent="0.3">
      <c r="E21" s="13" t="s">
        <v>177</v>
      </c>
      <c r="F21" s="21">
        <v>53052.631578947367</v>
      </c>
      <c r="I21" s="14" t="s">
        <v>2371</v>
      </c>
      <c r="J21" s="21">
        <v>3.0714285714285716</v>
      </c>
      <c r="M21" s="13" t="s">
        <v>190</v>
      </c>
      <c r="N21" s="6">
        <v>10556750</v>
      </c>
    </row>
    <row r="22" spans="5:14" x14ac:dyDescent="0.3">
      <c r="E22" s="13" t="s">
        <v>296</v>
      </c>
      <c r="F22" s="21">
        <v>74260</v>
      </c>
      <c r="I22" s="13" t="s">
        <v>24</v>
      </c>
      <c r="J22" s="21">
        <v>2.9687695190505932</v>
      </c>
      <c r="M22" s="13" t="s">
        <v>85</v>
      </c>
      <c r="N22" s="6">
        <v>10336000</v>
      </c>
    </row>
    <row r="23" spans="5:14" x14ac:dyDescent="0.3">
      <c r="E23" s="13" t="s">
        <v>131</v>
      </c>
      <c r="F23" s="21">
        <v>56640</v>
      </c>
      <c r="I23" s="14" t="s">
        <v>2372</v>
      </c>
      <c r="J23" s="21">
        <v>3</v>
      </c>
      <c r="M23" s="13" t="s">
        <v>38</v>
      </c>
      <c r="N23" s="6">
        <v>9824600</v>
      </c>
    </row>
    <row r="24" spans="5:14" x14ac:dyDescent="0.3">
      <c r="E24" s="13" t="s">
        <v>70</v>
      </c>
      <c r="F24" s="21">
        <v>86880.952380952382</v>
      </c>
      <c r="I24" s="14" t="s">
        <v>2373</v>
      </c>
      <c r="J24" s="21">
        <v>3.040909090909091</v>
      </c>
      <c r="M24" s="13" t="s">
        <v>93</v>
      </c>
      <c r="N24" s="6">
        <v>9050750</v>
      </c>
    </row>
    <row r="25" spans="5:14" x14ac:dyDescent="0.3">
      <c r="E25" s="13" t="s">
        <v>160</v>
      </c>
      <c r="F25" s="21">
        <v>65384.615384615383</v>
      </c>
      <c r="I25" s="14" t="s">
        <v>2374</v>
      </c>
      <c r="J25" s="21">
        <v>2.911111111111111</v>
      </c>
      <c r="M25" s="13" t="s">
        <v>123</v>
      </c>
      <c r="N25" s="6">
        <v>8890000</v>
      </c>
    </row>
    <row r="26" spans="5:14" x14ac:dyDescent="0.3">
      <c r="E26" s="13" t="s">
        <v>143</v>
      </c>
      <c r="F26" s="21">
        <v>47222.222222222219</v>
      </c>
      <c r="I26" s="14" t="s">
        <v>2375</v>
      </c>
      <c r="J26" s="21">
        <v>2.9686147186147185</v>
      </c>
      <c r="M26" s="13" t="s">
        <v>12</v>
      </c>
      <c r="N26" s="6">
        <v>118912100</v>
      </c>
    </row>
    <row r="27" spans="5:14" x14ac:dyDescent="0.3">
      <c r="E27" s="13" t="s">
        <v>27</v>
      </c>
      <c r="F27" s="21">
        <v>17000</v>
      </c>
      <c r="I27" s="14" t="s">
        <v>2376</v>
      </c>
      <c r="J27" s="21">
        <v>3.0416666666666665</v>
      </c>
    </row>
    <row r="28" spans="5:14" x14ac:dyDescent="0.3">
      <c r="E28" s="13" t="s">
        <v>435</v>
      </c>
      <c r="F28" s="21">
        <v>59555.555555555555</v>
      </c>
      <c r="I28" s="14" t="s">
        <v>2371</v>
      </c>
      <c r="J28" s="21">
        <v>2.9741379310344827</v>
      </c>
    </row>
    <row r="29" spans="5:14" x14ac:dyDescent="0.3">
      <c r="E29" s="13" t="s">
        <v>262</v>
      </c>
      <c r="F29" s="21">
        <v>15868.421052631578</v>
      </c>
      <c r="I29" s="13" t="s">
        <v>12</v>
      </c>
      <c r="J29" s="21">
        <v>2.9805000000000001</v>
      </c>
    </row>
    <row r="30" spans="5:14" x14ac:dyDescent="0.3">
      <c r="E30" s="13" t="s">
        <v>96</v>
      </c>
      <c r="F30" s="21">
        <v>44625</v>
      </c>
    </row>
    <row r="31" spans="5:14" x14ac:dyDescent="0.3">
      <c r="E31" s="13" t="s">
        <v>103</v>
      </c>
      <c r="F31" s="21">
        <v>79407.894736842107</v>
      </c>
    </row>
    <row r="32" spans="5:14" x14ac:dyDescent="0.3">
      <c r="E32" s="13" t="s">
        <v>49</v>
      </c>
      <c r="F32" s="21">
        <v>38700</v>
      </c>
    </row>
    <row r="33" spans="5:6" x14ac:dyDescent="0.3">
      <c r="E33" s="13" t="s">
        <v>33</v>
      </c>
      <c r="F33" s="21">
        <v>64823.529411764706</v>
      </c>
    </row>
    <row r="34" spans="5:6" x14ac:dyDescent="0.3">
      <c r="E34" s="13" t="s">
        <v>189</v>
      </c>
      <c r="F34" s="21">
        <v>55218.75</v>
      </c>
    </row>
    <row r="35" spans="5:6" x14ac:dyDescent="0.3">
      <c r="E35" s="13" t="s">
        <v>163</v>
      </c>
      <c r="F35" s="21">
        <v>47435.897435897437</v>
      </c>
    </row>
    <row r="36" spans="5:6" x14ac:dyDescent="0.3">
      <c r="E36" s="13" t="s">
        <v>195</v>
      </c>
      <c r="F36" s="21">
        <v>82721.311475409835</v>
      </c>
    </row>
    <row r="37" spans="5:6" x14ac:dyDescent="0.3">
      <c r="E37" s="13" t="s">
        <v>80</v>
      </c>
      <c r="F37" s="21">
        <v>65236.84210526316</v>
      </c>
    </row>
    <row r="38" spans="5:6" x14ac:dyDescent="0.3">
      <c r="E38" s="13" t="s">
        <v>61</v>
      </c>
      <c r="F38" s="21">
        <v>24142.857142857141</v>
      </c>
    </row>
    <row r="39" spans="5:6" x14ac:dyDescent="0.3">
      <c r="E39" s="13" t="s">
        <v>182</v>
      </c>
      <c r="F39" s="21">
        <v>44129.032258064515</v>
      </c>
    </row>
    <row r="40" spans="5:6" x14ac:dyDescent="0.3">
      <c r="E40" s="13" t="s">
        <v>20</v>
      </c>
      <c r="F40" s="21">
        <v>13828.125</v>
      </c>
    </row>
    <row r="41" spans="5:6" x14ac:dyDescent="0.3">
      <c r="E41" s="13" t="s">
        <v>122</v>
      </c>
      <c r="F41" s="21">
        <v>75562.5</v>
      </c>
    </row>
    <row r="42" spans="5:6" x14ac:dyDescent="0.3">
      <c r="E42" s="13" t="s">
        <v>12</v>
      </c>
      <c r="F42" s="21">
        <v>51525.5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1957-AF87-4308-AC87-82F0296BD61B}">
  <dimension ref="A3:H31"/>
  <sheetViews>
    <sheetView topLeftCell="C1" workbookViewId="0">
      <selection activeCell="R25" sqref="R25"/>
    </sheetView>
  </sheetViews>
  <sheetFormatPr defaultRowHeight="14.4" x14ac:dyDescent="0.3"/>
  <cols>
    <col min="1" max="1" width="12.5546875" bestFit="1" customWidth="1"/>
    <col min="2" max="2" width="17.44140625" bestFit="1" customWidth="1"/>
    <col min="4" max="4" width="21.44140625" bestFit="1" customWidth="1"/>
    <col min="5" max="5" width="14.88671875" bestFit="1" customWidth="1"/>
    <col min="7" max="7" width="12.5546875" bestFit="1" customWidth="1"/>
    <col min="8" max="8" width="15.88671875" bestFit="1" customWidth="1"/>
  </cols>
  <sheetData>
    <row r="3" spans="1:8" x14ac:dyDescent="0.3">
      <c r="A3" s="12" t="s">
        <v>2369</v>
      </c>
      <c r="B3" t="s">
        <v>2377</v>
      </c>
      <c r="D3" s="12" t="s">
        <v>2369</v>
      </c>
      <c r="E3" t="s">
        <v>2370</v>
      </c>
      <c r="G3" s="12" t="s">
        <v>2369</v>
      </c>
      <c r="H3" t="s">
        <v>2390</v>
      </c>
    </row>
    <row r="4" spans="1:8" x14ac:dyDescent="0.3">
      <c r="A4" s="13" t="s">
        <v>29</v>
      </c>
      <c r="B4" s="6">
        <v>59977300</v>
      </c>
      <c r="D4" s="13" t="s">
        <v>110</v>
      </c>
      <c r="E4" s="21">
        <v>267</v>
      </c>
      <c r="G4" s="13" t="s">
        <v>2391</v>
      </c>
      <c r="H4">
        <v>570</v>
      </c>
    </row>
    <row r="5" spans="1:8" x14ac:dyDescent="0.3">
      <c r="A5" s="13" t="s">
        <v>12</v>
      </c>
      <c r="B5" s="6">
        <v>59977300</v>
      </c>
      <c r="D5" s="13" t="s">
        <v>45</v>
      </c>
      <c r="E5" s="21">
        <v>259</v>
      </c>
      <c r="G5" s="14" t="s">
        <v>2392</v>
      </c>
      <c r="H5">
        <v>97</v>
      </c>
    </row>
    <row r="6" spans="1:8" x14ac:dyDescent="0.3">
      <c r="D6" s="13" t="s">
        <v>50</v>
      </c>
      <c r="E6" s="21">
        <v>254</v>
      </c>
      <c r="G6" s="14" t="s">
        <v>2393</v>
      </c>
      <c r="H6">
        <v>159</v>
      </c>
    </row>
    <row r="7" spans="1:8" x14ac:dyDescent="0.3">
      <c r="D7" s="13" t="s">
        <v>21</v>
      </c>
      <c r="E7" s="21">
        <v>250</v>
      </c>
      <c r="G7" s="14" t="s">
        <v>2394</v>
      </c>
      <c r="H7">
        <v>156</v>
      </c>
    </row>
    <row r="8" spans="1:8" x14ac:dyDescent="0.3">
      <c r="D8" s="13" t="s">
        <v>34</v>
      </c>
      <c r="E8" s="21">
        <v>247</v>
      </c>
      <c r="G8" s="14" t="s">
        <v>2395</v>
      </c>
      <c r="H8">
        <v>158</v>
      </c>
    </row>
    <row r="9" spans="1:8" x14ac:dyDescent="0.3">
      <c r="D9" s="13" t="s">
        <v>93</v>
      </c>
      <c r="E9" s="21">
        <v>247</v>
      </c>
      <c r="G9" s="13" t="s">
        <v>2396</v>
      </c>
      <c r="H9">
        <v>1430</v>
      </c>
    </row>
    <row r="10" spans="1:8" x14ac:dyDescent="0.3">
      <c r="D10" s="13" t="s">
        <v>144</v>
      </c>
      <c r="E10" s="21">
        <v>238</v>
      </c>
      <c r="G10" s="14" t="s">
        <v>2397</v>
      </c>
      <c r="H10">
        <v>172</v>
      </c>
    </row>
    <row r="11" spans="1:8" x14ac:dyDescent="0.3">
      <c r="D11" s="13" t="s">
        <v>123</v>
      </c>
      <c r="E11" s="21">
        <v>235</v>
      </c>
      <c r="G11" s="14" t="s">
        <v>2398</v>
      </c>
      <c r="H11">
        <v>138</v>
      </c>
    </row>
    <row r="12" spans="1:8" x14ac:dyDescent="0.3">
      <c r="D12" s="13" t="s">
        <v>62</v>
      </c>
      <c r="E12" s="21">
        <v>229</v>
      </c>
      <c r="G12" s="14" t="s">
        <v>2399</v>
      </c>
      <c r="H12">
        <v>155</v>
      </c>
    </row>
    <row r="13" spans="1:8" x14ac:dyDescent="0.3">
      <c r="D13" s="13" t="s">
        <v>38</v>
      </c>
      <c r="E13" s="21">
        <v>224</v>
      </c>
      <c r="G13" s="14" t="s">
        <v>2400</v>
      </c>
      <c r="H13">
        <v>156</v>
      </c>
    </row>
    <row r="14" spans="1:8" x14ac:dyDescent="0.3">
      <c r="D14" s="13" t="s">
        <v>75</v>
      </c>
      <c r="E14" s="21">
        <v>224</v>
      </c>
      <c r="G14" s="14" t="s">
        <v>2401</v>
      </c>
      <c r="H14">
        <v>181</v>
      </c>
    </row>
    <row r="15" spans="1:8" x14ac:dyDescent="0.3">
      <c r="D15" s="13" t="s">
        <v>58</v>
      </c>
      <c r="E15" s="21">
        <v>221</v>
      </c>
      <c r="G15" s="14" t="s">
        <v>2402</v>
      </c>
      <c r="H15">
        <v>185</v>
      </c>
    </row>
    <row r="16" spans="1:8" x14ac:dyDescent="0.3">
      <c r="D16" s="13" t="s">
        <v>41</v>
      </c>
      <c r="E16" s="21">
        <v>220</v>
      </c>
      <c r="G16" s="14" t="s">
        <v>2403</v>
      </c>
      <c r="H16">
        <v>189</v>
      </c>
    </row>
    <row r="17" spans="4:8" x14ac:dyDescent="0.3">
      <c r="D17" s="13" t="s">
        <v>88</v>
      </c>
      <c r="E17" s="21">
        <v>219</v>
      </c>
      <c r="G17" s="14" t="s">
        <v>2404</v>
      </c>
      <c r="H17">
        <v>165</v>
      </c>
    </row>
    <row r="18" spans="4:8" x14ac:dyDescent="0.3">
      <c r="D18" s="13" t="s">
        <v>186</v>
      </c>
      <c r="E18" s="21">
        <v>219</v>
      </c>
      <c r="G18" s="14" t="s">
        <v>2392</v>
      </c>
      <c r="H18">
        <v>89</v>
      </c>
    </row>
    <row r="19" spans="4:8" x14ac:dyDescent="0.3">
      <c r="D19" s="13" t="s">
        <v>81</v>
      </c>
      <c r="E19" s="21">
        <v>216</v>
      </c>
      <c r="G19" s="13" t="s">
        <v>12</v>
      </c>
      <c r="H19">
        <v>2000</v>
      </c>
    </row>
    <row r="20" spans="4:8" x14ac:dyDescent="0.3">
      <c r="D20" s="13" t="s">
        <v>190</v>
      </c>
      <c r="E20" s="21">
        <v>215</v>
      </c>
    </row>
    <row r="21" spans="4:8" x14ac:dyDescent="0.3">
      <c r="D21" s="13" t="s">
        <v>67</v>
      </c>
      <c r="E21" s="21">
        <v>212</v>
      </c>
    </row>
    <row r="22" spans="4:8" x14ac:dyDescent="0.3">
      <c r="D22" s="13" t="s">
        <v>85</v>
      </c>
      <c r="E22" s="21">
        <v>210</v>
      </c>
    </row>
    <row r="23" spans="4:8" x14ac:dyDescent="0.3">
      <c r="D23" s="13" t="s">
        <v>136</v>
      </c>
      <c r="E23" s="21">
        <v>208</v>
      </c>
    </row>
    <row r="24" spans="4:8" x14ac:dyDescent="0.3">
      <c r="D24" s="13" t="s">
        <v>174</v>
      </c>
      <c r="E24" s="21">
        <v>205</v>
      </c>
    </row>
    <row r="25" spans="4:8" x14ac:dyDescent="0.3">
      <c r="D25" s="13" t="s">
        <v>138</v>
      </c>
      <c r="E25" s="21">
        <v>205</v>
      </c>
    </row>
    <row r="26" spans="4:8" x14ac:dyDescent="0.3">
      <c r="D26" s="13" t="s">
        <v>28</v>
      </c>
      <c r="E26" s="21">
        <v>203</v>
      </c>
    </row>
    <row r="27" spans="4:8" x14ac:dyDescent="0.3">
      <c r="D27" s="13" t="s">
        <v>104</v>
      </c>
      <c r="E27" s="21">
        <v>194</v>
      </c>
    </row>
    <row r="28" spans="4:8" x14ac:dyDescent="0.3">
      <c r="D28" s="13" t="s">
        <v>54</v>
      </c>
      <c r="E28" s="21">
        <v>193</v>
      </c>
    </row>
    <row r="29" spans="4:8" x14ac:dyDescent="0.3">
      <c r="D29" s="13" t="s">
        <v>250</v>
      </c>
      <c r="E29" s="21">
        <v>171</v>
      </c>
    </row>
    <row r="30" spans="4:8" x14ac:dyDescent="0.3">
      <c r="D30" s="13" t="s">
        <v>71</v>
      </c>
      <c r="E30" s="21">
        <v>146</v>
      </c>
    </row>
    <row r="31" spans="4:8" x14ac:dyDescent="0.3">
      <c r="D31" s="13" t="s">
        <v>12</v>
      </c>
      <c r="E31" s="21">
        <v>5931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FF11-EA81-47EB-8691-D851E61E6BD0}">
  <dimension ref="A1"/>
  <sheetViews>
    <sheetView tabSelected="1" zoomScale="73" zoomScaleNormal="85" workbookViewId="0">
      <selection activeCell="U19" sqref="U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Status</vt:lpstr>
      <vt:lpstr>Day2</vt:lpstr>
      <vt:lpstr>Day 3</vt:lpstr>
      <vt:lpstr>dash</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Nicholas elvis</cp:lastModifiedBy>
  <dcterms:created xsi:type="dcterms:W3CDTF">2026-03-11T02:23:02Z</dcterms:created>
  <dcterms:modified xsi:type="dcterms:W3CDTF">2026-03-11T02:23:02Z</dcterms:modified>
</cp:coreProperties>
</file>